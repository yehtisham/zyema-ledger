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hmedehtisham/Desktop/Bizniz/Zyema finances/"/>
    </mc:Choice>
  </mc:AlternateContent>
  <xr:revisionPtr revIDLastSave="0" documentId="13_ncr:1_{7C93FCDC-35A6-1943-933E-0DC7D00E5DE1}" xr6:coauthVersionLast="47" xr6:coauthVersionMax="47" xr10:uidLastSave="{00000000-0000-0000-0000-000000000000}"/>
  <bookViews>
    <workbookView xWindow="0" yWindow="660" windowWidth="29400" windowHeight="18460" firstSheet="30" activeTab="45" xr2:uid="{00000000-000D-0000-FFFF-FFFF00000000}"/>
  </bookViews>
  <sheets>
    <sheet name="Master Sheet" sheetId="22" r:id="rId1"/>
    <sheet name="Analytics" sheetId="126" r:id="rId2"/>
    <sheet name="Inventory" sheetId="19" r:id="rId3"/>
    <sheet name="V001" sheetId="10" r:id="rId4"/>
    <sheet name="C001" sheetId="70" r:id="rId5"/>
    <sheet name="T001" sheetId="71" r:id="rId6"/>
    <sheet name="T002" sheetId="72" r:id="rId7"/>
    <sheet name="L001" sheetId="73" r:id="rId8"/>
    <sheet name="L001 (2)" sheetId="128" r:id="rId9"/>
    <sheet name="L002" sheetId="74" r:id="rId10"/>
    <sheet name="L003" sheetId="127" r:id="rId11"/>
    <sheet name="V002" sheetId="75" r:id="rId12"/>
    <sheet name="V003" sheetId="76" r:id="rId13"/>
    <sheet name="V004" sheetId="77" r:id="rId14"/>
    <sheet name="V005" sheetId="78" r:id="rId15"/>
    <sheet name="V006" sheetId="79" r:id="rId16"/>
    <sheet name="V007" sheetId="80" r:id="rId17"/>
    <sheet name="V008" sheetId="81" r:id="rId18"/>
    <sheet name="V009" sheetId="82" r:id="rId19"/>
    <sheet name="V010" sheetId="83" r:id="rId20"/>
    <sheet name="V011" sheetId="84" r:id="rId21"/>
    <sheet name="V012" sheetId="85" r:id="rId22"/>
    <sheet name="V013" sheetId="86" r:id="rId23"/>
    <sheet name="V014" sheetId="87" r:id="rId24"/>
    <sheet name="V015" sheetId="88" r:id="rId25"/>
    <sheet name="V016" sheetId="89" r:id="rId26"/>
    <sheet name="V017" sheetId="90" r:id="rId27"/>
    <sheet name="V018" sheetId="91" r:id="rId28"/>
    <sheet name="V019" sheetId="92" r:id="rId29"/>
    <sheet name="V020" sheetId="93" r:id="rId30"/>
    <sheet name="V021" sheetId="94" r:id="rId31"/>
    <sheet name="V022" sheetId="95" r:id="rId32"/>
    <sheet name="V023" sheetId="96" r:id="rId33"/>
    <sheet name="C002" sheetId="97" r:id="rId34"/>
    <sheet name="C003" sheetId="98" r:id="rId35"/>
    <sheet name="C004" sheetId="99" r:id="rId36"/>
    <sheet name="C005" sheetId="100" r:id="rId37"/>
    <sheet name="C006" sheetId="101" r:id="rId38"/>
    <sheet name="C007" sheetId="102" r:id="rId39"/>
    <sheet name="C008" sheetId="103" r:id="rId40"/>
    <sheet name="C009" sheetId="104" r:id="rId41"/>
    <sheet name="C010" sheetId="105" r:id="rId42"/>
    <sheet name="C011" sheetId="106" r:id="rId43"/>
    <sheet name="C012" sheetId="107" r:id="rId44"/>
    <sheet name="C013" sheetId="108" r:id="rId45"/>
    <sheet name="C014" sheetId="109" r:id="rId46"/>
    <sheet name="C015" sheetId="110" r:id="rId47"/>
    <sheet name="C016" sheetId="111" r:id="rId48"/>
    <sheet name="C017" sheetId="112" r:id="rId49"/>
    <sheet name="C018" sheetId="113" r:id="rId50"/>
    <sheet name="C019" sheetId="114" r:id="rId51"/>
    <sheet name="C020" sheetId="115" r:id="rId52"/>
    <sheet name="C021" sheetId="116" r:id="rId53"/>
    <sheet name="C022" sheetId="117" r:id="rId54"/>
    <sheet name="C023" sheetId="118" r:id="rId55"/>
    <sheet name="C024" sheetId="119" r:id="rId56"/>
    <sheet name="C025" sheetId="120" r:id="rId57"/>
    <sheet name="C026" sheetId="121" r:id="rId58"/>
    <sheet name="C027" sheetId="122" r:id="rId59"/>
    <sheet name="C028" sheetId="123" r:id="rId60"/>
    <sheet name="C029" sheetId="124" r:id="rId61"/>
    <sheet name="C030" sheetId="125" r:id="rId62"/>
  </sheets>
  <definedNames>
    <definedName name="_xlnm._FilterDatabase" localSheetId="1" hidden="1">Analytics!$B$3:$E$60</definedName>
    <definedName name="_xlnm._FilterDatabase" localSheetId="4" hidden="1">'C001'!$A$8:$S$208</definedName>
    <definedName name="_xlnm._FilterDatabase" localSheetId="33" hidden="1">'C002'!$A$8:$S$208</definedName>
    <definedName name="_xlnm._FilterDatabase" localSheetId="34" hidden="1">'C003'!$A$8:$S$208</definedName>
    <definedName name="_xlnm._FilterDatabase" localSheetId="35" hidden="1">'C004'!$A$8:$S$208</definedName>
    <definedName name="_xlnm._FilterDatabase" localSheetId="36" hidden="1">'C005'!$A$8:$S$208</definedName>
    <definedName name="_xlnm._FilterDatabase" localSheetId="37" hidden="1">'C006'!$A$8:$S$208</definedName>
    <definedName name="_xlnm._FilterDatabase" localSheetId="38" hidden="1">'C007'!$A$8:$R$208</definedName>
    <definedName name="_xlnm._FilterDatabase" localSheetId="39" hidden="1">'C008'!$A$8:$R$208</definedName>
    <definedName name="_xlnm._FilterDatabase" localSheetId="40" hidden="1">'C009'!$A$8:$R$208</definedName>
    <definedName name="_xlnm._FilterDatabase" localSheetId="41" hidden="1">'C010'!$A$8:$R$208</definedName>
    <definedName name="_xlnm._FilterDatabase" localSheetId="42" hidden="1">'C011'!$A$8:$R$208</definedName>
    <definedName name="_xlnm._FilterDatabase" localSheetId="43" hidden="1">'C012'!$A$8:$R$208</definedName>
    <definedName name="_xlnm._FilterDatabase" localSheetId="44" hidden="1">'C013'!$A$8:$R$208</definedName>
    <definedName name="_xlnm._FilterDatabase" localSheetId="45" hidden="1">'C014'!$A$8:$S$208</definedName>
    <definedName name="_xlnm._FilterDatabase" localSheetId="46" hidden="1">'C015'!$A$8:$R$208</definedName>
    <definedName name="_xlnm._FilterDatabase" localSheetId="47" hidden="1">'C016'!$A$8:$R$208</definedName>
    <definedName name="_xlnm._FilterDatabase" localSheetId="48" hidden="1">'C017'!$A$8:$R$208</definedName>
    <definedName name="_xlnm._FilterDatabase" localSheetId="49" hidden="1">'C018'!$A$8:$R$208</definedName>
    <definedName name="_xlnm._FilterDatabase" localSheetId="50" hidden="1">'C019'!$A$8:$R$208</definedName>
    <definedName name="_xlnm._FilterDatabase" localSheetId="51" hidden="1">'C020'!$A$8:$R$208</definedName>
    <definedName name="_xlnm._FilterDatabase" localSheetId="52" hidden="1">'C021'!$A$8:$R$208</definedName>
    <definedName name="_xlnm._FilterDatabase" localSheetId="53" hidden="1">'C022'!$A$8:$R$208</definedName>
    <definedName name="_xlnm._FilterDatabase" localSheetId="54" hidden="1">'C023'!$A$8:$R$208</definedName>
    <definedName name="_xlnm._FilterDatabase" localSheetId="55" hidden="1">'C024'!$A$8:$R$208</definedName>
    <definedName name="_xlnm._FilterDatabase" localSheetId="56" hidden="1">'C025'!$A$8:$R$208</definedName>
    <definedName name="_xlnm._FilterDatabase" localSheetId="57" hidden="1">'C026'!$A$8:$R$208</definedName>
    <definedName name="_xlnm._FilterDatabase" localSheetId="58" hidden="1">'C027'!$A$8:$R$208</definedName>
    <definedName name="_xlnm._FilterDatabase" localSheetId="59" hidden="1">'C028'!$A$8:$R$208</definedName>
    <definedName name="_xlnm._FilterDatabase" localSheetId="60" hidden="1">'C029'!$A$8:$R$208</definedName>
    <definedName name="_xlnm._FilterDatabase" localSheetId="61" hidden="1">'C030'!$A$8:$R$208</definedName>
    <definedName name="_xlnm._FilterDatabase" localSheetId="7" hidden="1">'L001'!$A$8:$J$208</definedName>
    <definedName name="_xlnm._FilterDatabase" localSheetId="8" hidden="1">'L001 (2)'!$A$8:$J$208</definedName>
    <definedName name="_xlnm._FilterDatabase" localSheetId="9" hidden="1">'L002'!$A$8:$J$208</definedName>
    <definedName name="_xlnm._FilterDatabase" localSheetId="10" hidden="1">'L003'!$A$8:$J$208</definedName>
    <definedName name="_xlnm._FilterDatabase" localSheetId="5" hidden="1">'T001'!$A$8:$J$208</definedName>
    <definedName name="_xlnm._FilterDatabase" localSheetId="6" hidden="1">'T002'!$A$8:$J$208</definedName>
    <definedName name="_xlnm._FilterDatabase" localSheetId="3" hidden="1">'V001'!$A$8:$R$208</definedName>
    <definedName name="_xlnm._FilterDatabase" localSheetId="11" hidden="1">'V002'!$A$8:$R$208</definedName>
    <definedName name="_xlnm._FilterDatabase" localSheetId="12" hidden="1">'V003'!$A$8:$R$208</definedName>
    <definedName name="_xlnm._FilterDatabase" localSheetId="13" hidden="1">'V004'!$A$8:$R$208</definedName>
    <definedName name="_xlnm._FilterDatabase" localSheetId="14" hidden="1">'V005'!$A$8:$R$208</definedName>
    <definedName name="_xlnm._FilterDatabase" localSheetId="15" hidden="1">'V006'!$A$8:$R$208</definedName>
    <definedName name="_xlnm._FilterDatabase" localSheetId="16" hidden="1">'V007'!$A$8:$S$208</definedName>
    <definedName name="_xlnm._FilterDatabase" localSheetId="17" hidden="1">'V008'!$A$8:$S$208</definedName>
    <definedName name="_xlnm._FilterDatabase" localSheetId="18" hidden="1">'V009'!$A$8:$R$208</definedName>
    <definedName name="_xlnm._FilterDatabase" localSheetId="19" hidden="1">'V010'!$A$8:$R$208</definedName>
    <definedName name="_xlnm._FilterDatabase" localSheetId="20" hidden="1">'V011'!$A$8:$R$208</definedName>
    <definedName name="_xlnm._FilterDatabase" localSheetId="21" hidden="1">'V012'!$A$8:$R$208</definedName>
    <definedName name="_xlnm._FilterDatabase" localSheetId="22" hidden="1">'V013'!$A$8:$R$208</definedName>
    <definedName name="_xlnm._FilterDatabase" localSheetId="23" hidden="1">'V014'!$A$8:$R$208</definedName>
    <definedName name="_xlnm._FilterDatabase" localSheetId="24" hidden="1">'V015'!$A$8:$R$208</definedName>
    <definedName name="_xlnm._FilterDatabase" localSheetId="25" hidden="1">'V016'!$A$8:$R$208</definedName>
    <definedName name="_xlnm._FilterDatabase" localSheetId="26" hidden="1">'V017'!$A$8:$R$208</definedName>
    <definedName name="_xlnm._FilterDatabase" localSheetId="27" hidden="1">'V018'!$A$8:$R$208</definedName>
    <definedName name="_xlnm._FilterDatabase" localSheetId="28" hidden="1">'V019'!$A$8:$R$208</definedName>
    <definedName name="_xlnm._FilterDatabase" localSheetId="29" hidden="1">'V020'!$A$8:$R$208</definedName>
    <definedName name="_xlnm._FilterDatabase" localSheetId="30" hidden="1">'V021'!$A$8:$R$208</definedName>
    <definedName name="_xlnm._FilterDatabase" localSheetId="31" hidden="1">'V022'!$A$8:$R$208</definedName>
    <definedName name="_xlnm._FilterDatabase" localSheetId="32" hidden="1">'V023'!$A$8:$R$208</definedName>
    <definedName name="acct_AP">#REF!</definedName>
    <definedName name="acct_AR">#REF!</definedName>
    <definedName name="acct_Cash">#REF!</definedName>
    <definedName name="acct_COGS">#REF!</definedName>
    <definedName name="acct_FreightIn">#REF!</definedName>
    <definedName name="acct_FreightOut">#REF!</definedName>
    <definedName name="acct_InTax">#REF!</definedName>
    <definedName name="acct_InvGain">#REF!</definedName>
    <definedName name="acct_InvPlant">#REF!</definedName>
    <definedName name="acct_InvWh">#REF!</definedName>
    <definedName name="acct_LaborExp">#REF!</definedName>
    <definedName name="acct_LandingExp">#REF!</definedName>
    <definedName name="acct_OutTax">#REF!</definedName>
    <definedName name="acct_Sales">#REF!</definedName>
    <definedName name="acct_Shrink">#REF!</definedName>
    <definedName name="acct_WHT">#REF!</definedName>
    <definedName name="lst_Customers">#REF!</definedName>
    <definedName name="lst_Labor">#REF!</definedName>
    <definedName name="lst_Locations">#REF!</definedName>
    <definedName name="lst_LocationsMaster">#REF!</definedName>
    <definedName name="lst_Products">#REF!</definedName>
    <definedName name="lst_Transporters">#REF!</definedName>
    <definedName name="lst_TxnTypes">#REF!</definedName>
    <definedName name="lst_Vendors">#REF!</definedName>
    <definedName name="lst_YesNo">#REF!</definedName>
    <definedName name="rng_COA_Accounts">#REF!</definedName>
    <definedName name="rng_PostingMap_Key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0" i="128" l="1"/>
  <c r="U30" i="98"/>
  <c r="U29" i="98"/>
  <c r="U28" i="98"/>
  <c r="U27" i="98"/>
  <c r="U26" i="98"/>
  <c r="U25" i="98"/>
  <c r="U24" i="98"/>
  <c r="U23" i="98"/>
  <c r="U22" i="98"/>
  <c r="U21" i="98"/>
  <c r="U20" i="98"/>
  <c r="U19" i="98"/>
  <c r="Q20" i="98"/>
  <c r="R20" i="98"/>
  <c r="S20" i="98"/>
  <c r="U18" i="98"/>
  <c r="U17" i="98"/>
  <c r="U16" i="98"/>
  <c r="U15" i="98"/>
  <c r="U14" i="98"/>
  <c r="U13" i="98"/>
  <c r="U12" i="98"/>
  <c r="U11" i="98"/>
  <c r="U10" i="98"/>
  <c r="U9" i="98"/>
  <c r="J69" i="71"/>
  <c r="F52" i="71"/>
  <c r="AB28" i="98"/>
  <c r="G20" i="128"/>
  <c r="G19" i="128"/>
  <c r="G18" i="128"/>
  <c r="G17" i="128"/>
  <c r="G16" i="128"/>
  <c r="G15" i="128"/>
  <c r="J15" i="128"/>
  <c r="G14" i="128"/>
  <c r="G13" i="128"/>
  <c r="G12" i="128"/>
  <c r="G11" i="128"/>
  <c r="G10" i="128"/>
  <c r="V6" i="22"/>
  <c r="J208" i="128"/>
  <c r="J207" i="128"/>
  <c r="J206" i="128"/>
  <c r="J205" i="128"/>
  <c r="J204" i="128"/>
  <c r="J203" i="128"/>
  <c r="J202" i="128"/>
  <c r="J201" i="128"/>
  <c r="J200" i="128"/>
  <c r="J199" i="128"/>
  <c r="J198" i="128"/>
  <c r="J197" i="128"/>
  <c r="J196" i="128"/>
  <c r="J195" i="128"/>
  <c r="J194" i="128"/>
  <c r="J193" i="128"/>
  <c r="J192" i="128"/>
  <c r="J191" i="128"/>
  <c r="J190" i="128"/>
  <c r="J189" i="128"/>
  <c r="J188" i="128"/>
  <c r="J187" i="128"/>
  <c r="J186" i="128"/>
  <c r="J185" i="128"/>
  <c r="J184" i="128"/>
  <c r="J183" i="128"/>
  <c r="J182" i="128"/>
  <c r="J181" i="128"/>
  <c r="J180" i="128"/>
  <c r="J179" i="128"/>
  <c r="J178" i="128"/>
  <c r="J177" i="128"/>
  <c r="J176" i="128"/>
  <c r="J175" i="128"/>
  <c r="J174" i="128"/>
  <c r="J173" i="128"/>
  <c r="J172" i="128"/>
  <c r="J171" i="128"/>
  <c r="J170" i="128"/>
  <c r="J169" i="128"/>
  <c r="J168" i="128"/>
  <c r="J167" i="128"/>
  <c r="J166" i="128"/>
  <c r="J165" i="128"/>
  <c r="J164" i="128"/>
  <c r="J163" i="128"/>
  <c r="J162" i="128"/>
  <c r="J161" i="128"/>
  <c r="J160" i="128"/>
  <c r="J159" i="128"/>
  <c r="J158" i="128"/>
  <c r="J157" i="128"/>
  <c r="J156" i="128"/>
  <c r="J155" i="128"/>
  <c r="J154" i="128"/>
  <c r="J153" i="128"/>
  <c r="J152" i="128"/>
  <c r="J151" i="128"/>
  <c r="J150" i="128"/>
  <c r="J149" i="128"/>
  <c r="J148" i="128"/>
  <c r="J147" i="128"/>
  <c r="J146" i="128"/>
  <c r="J145" i="128"/>
  <c r="J144" i="128"/>
  <c r="J143" i="128"/>
  <c r="J142" i="128"/>
  <c r="J141" i="128"/>
  <c r="J140" i="128"/>
  <c r="J139" i="128"/>
  <c r="J138" i="128"/>
  <c r="J137" i="128"/>
  <c r="J136" i="128"/>
  <c r="J135" i="128"/>
  <c r="J134" i="128"/>
  <c r="J133" i="128"/>
  <c r="J132" i="128"/>
  <c r="J131" i="128"/>
  <c r="J130" i="128"/>
  <c r="J129" i="128"/>
  <c r="J128" i="128"/>
  <c r="J127" i="128"/>
  <c r="J126" i="128"/>
  <c r="J125" i="128"/>
  <c r="J124" i="128"/>
  <c r="J123" i="128"/>
  <c r="J122" i="128"/>
  <c r="J121" i="128"/>
  <c r="J120" i="128"/>
  <c r="J119" i="128"/>
  <c r="J118" i="128"/>
  <c r="J117" i="128"/>
  <c r="J116" i="128"/>
  <c r="J115" i="128"/>
  <c r="J114" i="128"/>
  <c r="J113" i="128"/>
  <c r="J112" i="128"/>
  <c r="J111" i="128"/>
  <c r="J110" i="128"/>
  <c r="J109" i="128"/>
  <c r="J108" i="128"/>
  <c r="J107" i="128"/>
  <c r="J106" i="128"/>
  <c r="J105" i="128"/>
  <c r="J104" i="128"/>
  <c r="J103" i="128"/>
  <c r="J102" i="128"/>
  <c r="J101" i="128"/>
  <c r="J100" i="128"/>
  <c r="J99" i="128"/>
  <c r="J98" i="128"/>
  <c r="J97" i="128"/>
  <c r="J96" i="128"/>
  <c r="J95" i="128"/>
  <c r="J94" i="128"/>
  <c r="J93" i="128"/>
  <c r="J92" i="128"/>
  <c r="J91" i="128"/>
  <c r="J90" i="128"/>
  <c r="J89" i="128"/>
  <c r="J88" i="128"/>
  <c r="J87" i="128"/>
  <c r="J86" i="128"/>
  <c r="J85" i="128"/>
  <c r="J84" i="128"/>
  <c r="J83" i="128"/>
  <c r="J82" i="128"/>
  <c r="J81" i="128"/>
  <c r="J80" i="128"/>
  <c r="J79" i="128"/>
  <c r="J78" i="128"/>
  <c r="J77" i="128"/>
  <c r="J76" i="128"/>
  <c r="J75" i="128"/>
  <c r="J74" i="128"/>
  <c r="J73" i="128"/>
  <c r="J72" i="128"/>
  <c r="J71" i="128"/>
  <c r="J70" i="128"/>
  <c r="J69" i="128"/>
  <c r="J68" i="128"/>
  <c r="J67" i="128"/>
  <c r="J66" i="128"/>
  <c r="J65" i="128"/>
  <c r="J64" i="128"/>
  <c r="J63" i="128"/>
  <c r="J62" i="128"/>
  <c r="J61" i="128"/>
  <c r="J60" i="128"/>
  <c r="J59" i="128"/>
  <c r="J58" i="128"/>
  <c r="J57" i="128"/>
  <c r="J56" i="128"/>
  <c r="J55" i="128"/>
  <c r="J54" i="128"/>
  <c r="J53" i="128"/>
  <c r="J52" i="128"/>
  <c r="J51" i="128"/>
  <c r="J50" i="128"/>
  <c r="J49" i="128"/>
  <c r="J48" i="128"/>
  <c r="J47" i="128"/>
  <c r="J46" i="128"/>
  <c r="J45" i="128"/>
  <c r="J44" i="128"/>
  <c r="J43" i="128"/>
  <c r="J42" i="128"/>
  <c r="J41" i="128"/>
  <c r="J40" i="128"/>
  <c r="J39" i="128"/>
  <c r="J38" i="128"/>
  <c r="J37" i="128"/>
  <c r="J36" i="128"/>
  <c r="J35" i="128"/>
  <c r="J34" i="128"/>
  <c r="J33" i="128"/>
  <c r="J32" i="128"/>
  <c r="J31" i="128"/>
  <c r="J30" i="128"/>
  <c r="J29" i="128"/>
  <c r="J28" i="128"/>
  <c r="J27" i="128"/>
  <c r="J26" i="128"/>
  <c r="J25" i="128"/>
  <c r="J24" i="128"/>
  <c r="J23" i="128"/>
  <c r="J22" i="128"/>
  <c r="J21" i="128"/>
  <c r="J20" i="128"/>
  <c r="J19" i="128"/>
  <c r="J18" i="128"/>
  <c r="J17" i="128"/>
  <c r="J16" i="128"/>
  <c r="J14" i="128"/>
  <c r="J13" i="128"/>
  <c r="J12" i="128"/>
  <c r="J11" i="128"/>
  <c r="J10" i="128"/>
  <c r="J9" i="128"/>
  <c r="A2" i="128" a="1"/>
  <c r="A2" i="128" s="1"/>
  <c r="A1" i="128" s="1"/>
  <c r="G47" i="73"/>
  <c r="G48" i="73"/>
  <c r="G49" i="73"/>
  <c r="G52" i="73"/>
  <c r="G53" i="73"/>
  <c r="G54" i="73"/>
  <c r="G55" i="73"/>
  <c r="G56" i="73"/>
  <c r="G57" i="73"/>
  <c r="G58" i="73"/>
  <c r="G60" i="73"/>
  <c r="G62" i="73"/>
  <c r="G64" i="73"/>
  <c r="G65" i="73"/>
  <c r="G67" i="73"/>
  <c r="G69" i="73"/>
  <c r="G70" i="73"/>
  <c r="G71" i="73"/>
  <c r="G72" i="73"/>
  <c r="J64" i="73"/>
  <c r="G45" i="73"/>
  <c r="G43" i="73"/>
  <c r="G42" i="73"/>
  <c r="G41" i="73"/>
  <c r="G39" i="73"/>
  <c r="G38" i="73"/>
  <c r="G37" i="73"/>
  <c r="G36" i="73"/>
  <c r="G35" i="73"/>
  <c r="G34" i="73"/>
  <c r="G33" i="73"/>
  <c r="G32" i="73"/>
  <c r="G30" i="73"/>
  <c r="G28" i="73"/>
  <c r="G27" i="73"/>
  <c r="G25" i="73"/>
  <c r="G26" i="73"/>
  <c r="G24" i="73"/>
  <c r="G23" i="73"/>
  <c r="G21" i="73"/>
  <c r="G17" i="73"/>
  <c r="G19" i="73"/>
  <c r="G12" i="73"/>
  <c r="J9" i="73"/>
  <c r="J9" i="127"/>
  <c r="V8" i="22"/>
  <c r="J208" i="127"/>
  <c r="J207" i="127"/>
  <c r="J206" i="127"/>
  <c r="J205" i="127"/>
  <c r="J204" i="127"/>
  <c r="J203" i="127"/>
  <c r="J202" i="127"/>
  <c r="J201" i="127"/>
  <c r="J200" i="127"/>
  <c r="J199" i="127"/>
  <c r="J198" i="127"/>
  <c r="J197" i="127"/>
  <c r="J196" i="127"/>
  <c r="J195" i="127"/>
  <c r="J194" i="127"/>
  <c r="J193" i="127"/>
  <c r="J192" i="127"/>
  <c r="J191" i="127"/>
  <c r="J190" i="127"/>
  <c r="J189" i="127"/>
  <c r="J188" i="127"/>
  <c r="J187" i="127"/>
  <c r="J186" i="127"/>
  <c r="J185" i="127"/>
  <c r="J184" i="127"/>
  <c r="J183" i="127"/>
  <c r="J182" i="127"/>
  <c r="J181" i="127"/>
  <c r="J180" i="127"/>
  <c r="J179" i="127"/>
  <c r="J178" i="127"/>
  <c r="J177" i="127"/>
  <c r="J176" i="127"/>
  <c r="J175" i="127"/>
  <c r="J174" i="127"/>
  <c r="J173" i="127"/>
  <c r="J172" i="127"/>
  <c r="J171" i="127"/>
  <c r="J170" i="127"/>
  <c r="J169" i="127"/>
  <c r="J168" i="127"/>
  <c r="J167" i="127"/>
  <c r="J166" i="127"/>
  <c r="J165" i="127"/>
  <c r="J164" i="127"/>
  <c r="J163" i="127"/>
  <c r="J162" i="127"/>
  <c r="J161" i="127"/>
  <c r="J160" i="127"/>
  <c r="J159" i="127"/>
  <c r="J158" i="127"/>
  <c r="J157" i="127"/>
  <c r="J156" i="127"/>
  <c r="J155" i="127"/>
  <c r="J154" i="127"/>
  <c r="J153" i="127"/>
  <c r="J152" i="127"/>
  <c r="J151" i="127"/>
  <c r="J150" i="127"/>
  <c r="J149" i="127"/>
  <c r="J148" i="127"/>
  <c r="J147" i="127"/>
  <c r="J146" i="127"/>
  <c r="J145" i="127"/>
  <c r="J144" i="127"/>
  <c r="J143" i="127"/>
  <c r="J142" i="127"/>
  <c r="J141" i="127"/>
  <c r="J140" i="127"/>
  <c r="J139" i="127"/>
  <c r="J138" i="127"/>
  <c r="J137" i="127"/>
  <c r="J136" i="127"/>
  <c r="J135" i="127"/>
  <c r="J134" i="127"/>
  <c r="J133" i="127"/>
  <c r="J132" i="127"/>
  <c r="J131" i="127"/>
  <c r="J130" i="127"/>
  <c r="J129" i="127"/>
  <c r="J128" i="127"/>
  <c r="J127" i="127"/>
  <c r="J126" i="127"/>
  <c r="J125" i="127"/>
  <c r="J124" i="127"/>
  <c r="J123" i="127"/>
  <c r="J122" i="127"/>
  <c r="J121" i="127"/>
  <c r="J120" i="127"/>
  <c r="J119" i="127"/>
  <c r="J118" i="127"/>
  <c r="J117" i="127"/>
  <c r="J116" i="127"/>
  <c r="J115" i="127"/>
  <c r="J114" i="127"/>
  <c r="J113" i="127"/>
  <c r="J112" i="127"/>
  <c r="J111" i="127"/>
  <c r="J110" i="127"/>
  <c r="J109" i="127"/>
  <c r="J108" i="127"/>
  <c r="J107" i="127"/>
  <c r="J106" i="127"/>
  <c r="J105" i="127"/>
  <c r="J104" i="127"/>
  <c r="J103" i="127"/>
  <c r="J102" i="127"/>
  <c r="J101" i="127"/>
  <c r="J100" i="127"/>
  <c r="J99" i="127"/>
  <c r="J98" i="127"/>
  <c r="J97" i="127"/>
  <c r="J96" i="127"/>
  <c r="J95" i="127"/>
  <c r="J94" i="127"/>
  <c r="J93" i="127"/>
  <c r="J92" i="127"/>
  <c r="J91" i="127"/>
  <c r="J90" i="127"/>
  <c r="J89" i="127"/>
  <c r="J88" i="127"/>
  <c r="J87" i="127"/>
  <c r="J86" i="127"/>
  <c r="J85" i="127"/>
  <c r="J84" i="127"/>
  <c r="J83" i="127"/>
  <c r="J82" i="127"/>
  <c r="J81" i="127"/>
  <c r="J80" i="127"/>
  <c r="J79" i="127"/>
  <c r="J78" i="127"/>
  <c r="J77" i="127"/>
  <c r="J76" i="127"/>
  <c r="J75" i="127"/>
  <c r="J74" i="127"/>
  <c r="J73" i="127"/>
  <c r="J72" i="127"/>
  <c r="J71" i="127"/>
  <c r="J70" i="127"/>
  <c r="J69" i="127"/>
  <c r="J68" i="127"/>
  <c r="J67" i="127"/>
  <c r="J66" i="127"/>
  <c r="J65" i="127"/>
  <c r="J64" i="127"/>
  <c r="J63" i="127"/>
  <c r="J62" i="127"/>
  <c r="J61" i="127"/>
  <c r="J60" i="127"/>
  <c r="J59" i="127"/>
  <c r="J58" i="127"/>
  <c r="J57" i="127"/>
  <c r="J56" i="127"/>
  <c r="J55" i="127"/>
  <c r="J54" i="127"/>
  <c r="J53" i="127"/>
  <c r="J52" i="127"/>
  <c r="J51" i="127"/>
  <c r="J50" i="127"/>
  <c r="J49" i="127"/>
  <c r="J48" i="127"/>
  <c r="J47" i="127"/>
  <c r="J46" i="127"/>
  <c r="J45" i="127"/>
  <c r="J44" i="127"/>
  <c r="J43" i="127"/>
  <c r="J42" i="127"/>
  <c r="J41" i="127"/>
  <c r="J40" i="127"/>
  <c r="J39" i="127"/>
  <c r="J38" i="127"/>
  <c r="J37" i="127"/>
  <c r="J36" i="127"/>
  <c r="J35" i="127"/>
  <c r="J34" i="127"/>
  <c r="J33" i="127"/>
  <c r="J32" i="127"/>
  <c r="J31" i="127"/>
  <c r="J30" i="127"/>
  <c r="J29" i="127"/>
  <c r="J28" i="127"/>
  <c r="J27" i="127"/>
  <c r="J26" i="127"/>
  <c r="J25" i="127"/>
  <c r="J24" i="127"/>
  <c r="J23" i="127"/>
  <c r="J22" i="127"/>
  <c r="J21" i="127"/>
  <c r="J20" i="127"/>
  <c r="J19" i="127"/>
  <c r="J18" i="127"/>
  <c r="J17" i="127"/>
  <c r="J16" i="127"/>
  <c r="J15" i="127"/>
  <c r="J14" i="127"/>
  <c r="J13" i="127"/>
  <c r="J12" i="127"/>
  <c r="J11" i="127"/>
  <c r="J10" i="127"/>
  <c r="A2" i="127" a="1"/>
  <c r="A2" i="127" s="1"/>
  <c r="A1" i="127" s="1"/>
  <c r="S10" i="81"/>
  <c r="S11" i="81"/>
  <c r="S12" i="81"/>
  <c r="S13" i="81"/>
  <c r="S14" i="81"/>
  <c r="S15" i="81"/>
  <c r="S16" i="81"/>
  <c r="S17" i="81"/>
  <c r="S18" i="81"/>
  <c r="S19" i="81"/>
  <c r="S20" i="81"/>
  <c r="S21" i="81"/>
  <c r="S22" i="81"/>
  <c r="S23" i="81"/>
  <c r="S24" i="81"/>
  <c r="S25" i="81"/>
  <c r="S26" i="81"/>
  <c r="S27" i="81"/>
  <c r="S28" i="81"/>
  <c r="S29" i="81"/>
  <c r="S30" i="81"/>
  <c r="S31" i="81"/>
  <c r="S32" i="81"/>
  <c r="S33" i="81"/>
  <c r="S34" i="81"/>
  <c r="S35" i="81"/>
  <c r="S36" i="81"/>
  <c r="S37" i="81"/>
  <c r="S38" i="81"/>
  <c r="S39" i="81"/>
  <c r="S40" i="81"/>
  <c r="S41" i="81"/>
  <c r="S42" i="81"/>
  <c r="S43" i="81"/>
  <c r="S44" i="81"/>
  <c r="S45" i="81"/>
  <c r="S46" i="81"/>
  <c r="S47" i="81"/>
  <c r="S48" i="81"/>
  <c r="S49" i="81"/>
  <c r="S50" i="81"/>
  <c r="S51" i="81"/>
  <c r="S52" i="81"/>
  <c r="S53" i="81"/>
  <c r="S54" i="81"/>
  <c r="S55" i="81"/>
  <c r="S56" i="81"/>
  <c r="S57" i="81"/>
  <c r="S58" i="81"/>
  <c r="S59" i="81"/>
  <c r="S60" i="81"/>
  <c r="S61" i="81"/>
  <c r="S62" i="81"/>
  <c r="S63" i="81"/>
  <c r="S64" i="81"/>
  <c r="S65" i="81"/>
  <c r="S66" i="81"/>
  <c r="S67" i="81"/>
  <c r="S68" i="81"/>
  <c r="S69" i="81"/>
  <c r="S70" i="81"/>
  <c r="S71" i="81"/>
  <c r="S72" i="81"/>
  <c r="S73" i="81"/>
  <c r="S74" i="81"/>
  <c r="S75" i="81"/>
  <c r="S76" i="81"/>
  <c r="S77" i="81"/>
  <c r="S78" i="81"/>
  <c r="S79" i="81"/>
  <c r="S80" i="81"/>
  <c r="S81" i="81"/>
  <c r="S82" i="81"/>
  <c r="S83" i="81"/>
  <c r="S84" i="81"/>
  <c r="S85" i="81"/>
  <c r="S86" i="81"/>
  <c r="S87" i="81"/>
  <c r="S88" i="81"/>
  <c r="S89" i="81"/>
  <c r="S90" i="81"/>
  <c r="S91" i="81"/>
  <c r="S92" i="81"/>
  <c r="S93" i="81"/>
  <c r="S94" i="81"/>
  <c r="S95" i="81"/>
  <c r="S96" i="81"/>
  <c r="S97" i="81"/>
  <c r="S98" i="81"/>
  <c r="S99" i="81"/>
  <c r="S100" i="81"/>
  <c r="S101" i="81"/>
  <c r="S102" i="81"/>
  <c r="S103" i="81"/>
  <c r="S104" i="81"/>
  <c r="S105" i="81"/>
  <c r="S106" i="81"/>
  <c r="S107" i="81"/>
  <c r="S108" i="81"/>
  <c r="S109" i="81"/>
  <c r="S110" i="81"/>
  <c r="S111" i="81"/>
  <c r="S112" i="81"/>
  <c r="S113" i="81"/>
  <c r="S114" i="81"/>
  <c r="S115" i="81"/>
  <c r="S116" i="81"/>
  <c r="S117" i="81"/>
  <c r="S118" i="81"/>
  <c r="S119" i="81"/>
  <c r="S120" i="81"/>
  <c r="S121" i="81"/>
  <c r="S122" i="81"/>
  <c r="S123" i="81"/>
  <c r="S124" i="81"/>
  <c r="S125" i="81"/>
  <c r="S126" i="81"/>
  <c r="S127" i="81"/>
  <c r="S128" i="81"/>
  <c r="S129" i="81"/>
  <c r="S130" i="81"/>
  <c r="S131" i="81"/>
  <c r="S132" i="81"/>
  <c r="S133" i="81"/>
  <c r="S134" i="81"/>
  <c r="S135" i="81"/>
  <c r="S136" i="81"/>
  <c r="S137" i="81"/>
  <c r="S138" i="81"/>
  <c r="S139" i="81"/>
  <c r="S140" i="81"/>
  <c r="S141" i="81"/>
  <c r="S142" i="81"/>
  <c r="S143" i="81"/>
  <c r="S144" i="81"/>
  <c r="S145" i="81"/>
  <c r="S146" i="81"/>
  <c r="S147" i="81"/>
  <c r="S148" i="81"/>
  <c r="S149" i="81"/>
  <c r="S150" i="81"/>
  <c r="S151" i="81"/>
  <c r="S152" i="81"/>
  <c r="S153" i="81"/>
  <c r="S154" i="81"/>
  <c r="S155" i="81"/>
  <c r="S156" i="81"/>
  <c r="S157" i="81"/>
  <c r="S158" i="81"/>
  <c r="S159" i="81"/>
  <c r="S160" i="81"/>
  <c r="S161" i="81"/>
  <c r="S162" i="81"/>
  <c r="S163" i="81"/>
  <c r="S164" i="81"/>
  <c r="S165" i="81"/>
  <c r="S166" i="81"/>
  <c r="S167" i="81"/>
  <c r="S168" i="81"/>
  <c r="S169" i="81"/>
  <c r="S170" i="81"/>
  <c r="S171" i="81"/>
  <c r="S172" i="81"/>
  <c r="S173" i="81"/>
  <c r="S174" i="81"/>
  <c r="S175" i="81"/>
  <c r="S176" i="81"/>
  <c r="S177" i="81"/>
  <c r="S178" i="81"/>
  <c r="S179" i="81"/>
  <c r="S180" i="81"/>
  <c r="S181" i="81"/>
  <c r="S182" i="81"/>
  <c r="S183" i="81"/>
  <c r="S184" i="81"/>
  <c r="S185" i="81"/>
  <c r="S186" i="81"/>
  <c r="S187" i="81"/>
  <c r="S188" i="81"/>
  <c r="S189" i="81"/>
  <c r="S190" i="81"/>
  <c r="S191" i="81"/>
  <c r="S192" i="81"/>
  <c r="S193" i="81"/>
  <c r="S194" i="81"/>
  <c r="S195" i="81"/>
  <c r="S196" i="81"/>
  <c r="S197" i="81"/>
  <c r="S198" i="81"/>
  <c r="S199" i="81"/>
  <c r="S200" i="81"/>
  <c r="S201" i="81"/>
  <c r="S202" i="81"/>
  <c r="S203" i="81"/>
  <c r="S204" i="81"/>
  <c r="S205" i="81"/>
  <c r="S206" i="81"/>
  <c r="S207" i="81"/>
  <c r="S208" i="81"/>
  <c r="R10" i="81"/>
  <c r="R11" i="81"/>
  <c r="R12" i="81"/>
  <c r="R13" i="81"/>
  <c r="R14" i="81"/>
  <c r="R15" i="81"/>
  <c r="R16" i="81"/>
  <c r="R17" i="81"/>
  <c r="R18" i="81"/>
  <c r="R19" i="81"/>
  <c r="R20" i="81"/>
  <c r="R21" i="81"/>
  <c r="R22" i="81"/>
  <c r="R23" i="81"/>
  <c r="R24" i="81"/>
  <c r="R25" i="81"/>
  <c r="R26" i="81"/>
  <c r="R27" i="81"/>
  <c r="R28" i="81"/>
  <c r="R29" i="81"/>
  <c r="R30" i="81"/>
  <c r="R31" i="81"/>
  <c r="R32" i="81"/>
  <c r="R33" i="81"/>
  <c r="R34" i="81"/>
  <c r="R35" i="81"/>
  <c r="R36" i="81"/>
  <c r="R37" i="81"/>
  <c r="R38" i="81"/>
  <c r="R39" i="81"/>
  <c r="R40" i="81"/>
  <c r="R41" i="81"/>
  <c r="R42" i="81"/>
  <c r="R43" i="81"/>
  <c r="R44" i="81"/>
  <c r="R45" i="81"/>
  <c r="R46" i="81"/>
  <c r="R47" i="81"/>
  <c r="R48" i="81"/>
  <c r="R49" i="81"/>
  <c r="R50" i="81"/>
  <c r="R51" i="81"/>
  <c r="R52" i="81"/>
  <c r="R53" i="81"/>
  <c r="R54" i="81"/>
  <c r="R55" i="81"/>
  <c r="R56" i="81"/>
  <c r="R57" i="81"/>
  <c r="R58" i="81"/>
  <c r="R59" i="81"/>
  <c r="R60" i="81"/>
  <c r="R61" i="81"/>
  <c r="R62" i="81"/>
  <c r="R63" i="81"/>
  <c r="R64" i="81"/>
  <c r="R65" i="81"/>
  <c r="R66" i="81"/>
  <c r="R67" i="81"/>
  <c r="R68" i="81"/>
  <c r="R69" i="81"/>
  <c r="R70" i="81"/>
  <c r="R71" i="81"/>
  <c r="R72" i="81"/>
  <c r="R73" i="81"/>
  <c r="R74" i="81"/>
  <c r="R75" i="81"/>
  <c r="R76" i="81"/>
  <c r="R77" i="81"/>
  <c r="R78" i="81"/>
  <c r="R79" i="81"/>
  <c r="R80" i="81"/>
  <c r="R81" i="81"/>
  <c r="R82" i="81"/>
  <c r="R83" i="81"/>
  <c r="R84" i="81"/>
  <c r="R85" i="81"/>
  <c r="R86" i="81"/>
  <c r="R87" i="81"/>
  <c r="R88" i="81"/>
  <c r="R89" i="81"/>
  <c r="R90" i="81"/>
  <c r="R91" i="81"/>
  <c r="R92" i="81"/>
  <c r="R93" i="81"/>
  <c r="R94" i="81"/>
  <c r="R95" i="81"/>
  <c r="R96" i="81"/>
  <c r="R97" i="81"/>
  <c r="R98" i="81"/>
  <c r="R99" i="81"/>
  <c r="R100" i="81"/>
  <c r="R101" i="81"/>
  <c r="R102" i="81"/>
  <c r="R103" i="81"/>
  <c r="R104" i="81"/>
  <c r="R105" i="81"/>
  <c r="R106" i="81"/>
  <c r="R107" i="81"/>
  <c r="R108" i="81"/>
  <c r="R109" i="81"/>
  <c r="R110" i="81"/>
  <c r="R111" i="81"/>
  <c r="R112" i="81"/>
  <c r="R113" i="81"/>
  <c r="R114" i="81"/>
  <c r="R115" i="81"/>
  <c r="R116" i="81"/>
  <c r="R117" i="81"/>
  <c r="R118" i="81"/>
  <c r="R119" i="81"/>
  <c r="R120" i="81"/>
  <c r="R121" i="81"/>
  <c r="R122" i="81"/>
  <c r="R123" i="81"/>
  <c r="R124" i="81"/>
  <c r="R125" i="81"/>
  <c r="R126" i="81"/>
  <c r="R127" i="81"/>
  <c r="R128" i="81"/>
  <c r="R129" i="81"/>
  <c r="R130" i="81"/>
  <c r="R131" i="81"/>
  <c r="R132" i="81"/>
  <c r="R133" i="81"/>
  <c r="R134" i="81"/>
  <c r="R135" i="81"/>
  <c r="R136" i="81"/>
  <c r="R137" i="81"/>
  <c r="R138" i="81"/>
  <c r="R139" i="81"/>
  <c r="R140" i="81"/>
  <c r="R141" i="81"/>
  <c r="R142" i="81"/>
  <c r="R143" i="81"/>
  <c r="R144" i="81"/>
  <c r="R145" i="81"/>
  <c r="R146" i="81"/>
  <c r="R147" i="81"/>
  <c r="R148" i="81"/>
  <c r="R149" i="81"/>
  <c r="R150" i="81"/>
  <c r="R151" i="81"/>
  <c r="R152" i="81"/>
  <c r="R153" i="81"/>
  <c r="R154" i="81"/>
  <c r="R155" i="81"/>
  <c r="R156" i="81"/>
  <c r="R157" i="81"/>
  <c r="R158" i="81"/>
  <c r="R159" i="81"/>
  <c r="R160" i="81"/>
  <c r="R161" i="81"/>
  <c r="R162" i="81"/>
  <c r="R163" i="81"/>
  <c r="R164" i="81"/>
  <c r="R165" i="81"/>
  <c r="R166" i="81"/>
  <c r="R167" i="81"/>
  <c r="R168" i="81"/>
  <c r="R169" i="81"/>
  <c r="R170" i="81"/>
  <c r="R171" i="81"/>
  <c r="R172" i="81"/>
  <c r="R173" i="81"/>
  <c r="R174" i="81"/>
  <c r="R175" i="81"/>
  <c r="R176" i="81"/>
  <c r="R177" i="81"/>
  <c r="R178" i="81"/>
  <c r="R179" i="81"/>
  <c r="R180" i="81"/>
  <c r="R181" i="81"/>
  <c r="R182" i="81"/>
  <c r="R183" i="81"/>
  <c r="R184" i="81"/>
  <c r="R185" i="81"/>
  <c r="R186" i="81"/>
  <c r="R187" i="81"/>
  <c r="R188" i="81"/>
  <c r="R189" i="81"/>
  <c r="R190" i="81"/>
  <c r="R191" i="81"/>
  <c r="R192" i="81"/>
  <c r="R193" i="81"/>
  <c r="R194" i="81"/>
  <c r="R195" i="81"/>
  <c r="R196" i="81"/>
  <c r="R197" i="81"/>
  <c r="R198" i="81"/>
  <c r="R199" i="81"/>
  <c r="R200" i="81"/>
  <c r="R201" i="81"/>
  <c r="R202" i="81"/>
  <c r="R203" i="81"/>
  <c r="R204" i="81"/>
  <c r="R205" i="81"/>
  <c r="R206" i="81"/>
  <c r="R207" i="81"/>
  <c r="R208" i="81"/>
  <c r="R9" i="81"/>
  <c r="S9" i="81"/>
  <c r="S10" i="80"/>
  <c r="S11" i="80"/>
  <c r="S12" i="80"/>
  <c r="S13" i="80"/>
  <c r="S14" i="80"/>
  <c r="S15" i="80"/>
  <c r="S16" i="80"/>
  <c r="S17" i="80"/>
  <c r="S18" i="80"/>
  <c r="S19" i="80"/>
  <c r="S20" i="80"/>
  <c r="S21" i="80"/>
  <c r="S22" i="80"/>
  <c r="S23" i="80"/>
  <c r="S24" i="80"/>
  <c r="S25" i="80"/>
  <c r="S26" i="80"/>
  <c r="S27" i="80"/>
  <c r="S28" i="80"/>
  <c r="S29" i="80"/>
  <c r="S30" i="80"/>
  <c r="S31" i="80"/>
  <c r="S32" i="80"/>
  <c r="S33" i="80"/>
  <c r="S34" i="80"/>
  <c r="S35" i="80"/>
  <c r="S36" i="80"/>
  <c r="S37" i="80"/>
  <c r="S38" i="80"/>
  <c r="S39" i="80"/>
  <c r="S40" i="80"/>
  <c r="S41" i="80"/>
  <c r="S42" i="80"/>
  <c r="S43" i="80"/>
  <c r="S44" i="80"/>
  <c r="S45" i="80"/>
  <c r="S46" i="80"/>
  <c r="S47" i="80"/>
  <c r="S48" i="80"/>
  <c r="S49" i="80"/>
  <c r="S50" i="80"/>
  <c r="S51" i="80"/>
  <c r="S52" i="80"/>
  <c r="S53" i="80"/>
  <c r="S54" i="80"/>
  <c r="S55" i="80"/>
  <c r="S56" i="80"/>
  <c r="S57" i="80"/>
  <c r="S58" i="80"/>
  <c r="S59" i="80"/>
  <c r="S60" i="80"/>
  <c r="S61" i="80"/>
  <c r="S62" i="80"/>
  <c r="S63" i="80"/>
  <c r="S64" i="80"/>
  <c r="S65" i="80"/>
  <c r="S66" i="80"/>
  <c r="S67" i="80"/>
  <c r="S68" i="80"/>
  <c r="S69" i="80"/>
  <c r="S70" i="80"/>
  <c r="S71" i="80"/>
  <c r="S72" i="80"/>
  <c r="S73" i="80"/>
  <c r="S74" i="80"/>
  <c r="S75" i="80"/>
  <c r="S76" i="80"/>
  <c r="S77" i="80"/>
  <c r="S78" i="80"/>
  <c r="S79" i="80"/>
  <c r="S80" i="80"/>
  <c r="S81" i="80"/>
  <c r="S82" i="80"/>
  <c r="S83" i="80"/>
  <c r="S84" i="80"/>
  <c r="S85" i="80"/>
  <c r="S86" i="80"/>
  <c r="S87" i="80"/>
  <c r="S88" i="80"/>
  <c r="S89" i="80"/>
  <c r="S90" i="80"/>
  <c r="S91" i="80"/>
  <c r="S92" i="80"/>
  <c r="S93" i="80"/>
  <c r="S94" i="80"/>
  <c r="S95" i="80"/>
  <c r="S96" i="80"/>
  <c r="S97" i="80"/>
  <c r="S98" i="80"/>
  <c r="S99" i="80"/>
  <c r="S100" i="80"/>
  <c r="S101" i="80"/>
  <c r="S102" i="80"/>
  <c r="S103" i="80"/>
  <c r="S104" i="80"/>
  <c r="S105" i="80"/>
  <c r="S106" i="80"/>
  <c r="S107" i="80"/>
  <c r="S108" i="80"/>
  <c r="S109" i="80"/>
  <c r="S110" i="80"/>
  <c r="S111" i="80"/>
  <c r="S112" i="80"/>
  <c r="S113" i="80"/>
  <c r="S114" i="80"/>
  <c r="S115" i="80"/>
  <c r="S116" i="80"/>
  <c r="S117" i="80"/>
  <c r="S118" i="80"/>
  <c r="S119" i="80"/>
  <c r="S120" i="80"/>
  <c r="S121" i="80"/>
  <c r="S122" i="80"/>
  <c r="S123" i="80"/>
  <c r="S124" i="80"/>
  <c r="S125" i="80"/>
  <c r="S126" i="80"/>
  <c r="S127" i="80"/>
  <c r="S128" i="80"/>
  <c r="S129" i="80"/>
  <c r="S130" i="80"/>
  <c r="S131" i="80"/>
  <c r="S132" i="80"/>
  <c r="S133" i="80"/>
  <c r="S134" i="80"/>
  <c r="S135" i="80"/>
  <c r="S136" i="80"/>
  <c r="S137" i="80"/>
  <c r="S138" i="80"/>
  <c r="S139" i="80"/>
  <c r="S140" i="80"/>
  <c r="S141" i="80"/>
  <c r="S142" i="80"/>
  <c r="S143" i="80"/>
  <c r="S144" i="80"/>
  <c r="S145" i="80"/>
  <c r="S146" i="80"/>
  <c r="S147" i="80"/>
  <c r="S148" i="80"/>
  <c r="S149" i="80"/>
  <c r="S150" i="80"/>
  <c r="S151" i="80"/>
  <c r="S152" i="80"/>
  <c r="S153" i="80"/>
  <c r="S154" i="80"/>
  <c r="S155" i="80"/>
  <c r="S156" i="80"/>
  <c r="S157" i="80"/>
  <c r="S158" i="80"/>
  <c r="S159" i="80"/>
  <c r="S160" i="80"/>
  <c r="S161" i="80"/>
  <c r="S162" i="80"/>
  <c r="S163" i="80"/>
  <c r="S164" i="80"/>
  <c r="S165" i="80"/>
  <c r="S166" i="80"/>
  <c r="S167" i="80"/>
  <c r="S168" i="80"/>
  <c r="S169" i="80"/>
  <c r="S170" i="80"/>
  <c r="S171" i="80"/>
  <c r="S172" i="80"/>
  <c r="S173" i="80"/>
  <c r="S174" i="80"/>
  <c r="S175" i="80"/>
  <c r="S176" i="80"/>
  <c r="S177" i="80"/>
  <c r="S178" i="80"/>
  <c r="S179" i="80"/>
  <c r="S180" i="80"/>
  <c r="S181" i="80"/>
  <c r="S182" i="80"/>
  <c r="S183" i="80"/>
  <c r="S184" i="80"/>
  <c r="S185" i="80"/>
  <c r="S186" i="80"/>
  <c r="S187" i="80"/>
  <c r="S188" i="80"/>
  <c r="S189" i="80"/>
  <c r="S190" i="80"/>
  <c r="S191" i="80"/>
  <c r="S192" i="80"/>
  <c r="S193" i="80"/>
  <c r="S194" i="80"/>
  <c r="S195" i="80"/>
  <c r="S196" i="80"/>
  <c r="S197" i="80"/>
  <c r="S198" i="80"/>
  <c r="S199" i="80"/>
  <c r="S200" i="80"/>
  <c r="S201" i="80"/>
  <c r="S202" i="80"/>
  <c r="S203" i="80"/>
  <c r="S204" i="80"/>
  <c r="S205" i="80"/>
  <c r="S206" i="80"/>
  <c r="S207" i="80"/>
  <c r="S208" i="80"/>
  <c r="R10" i="80"/>
  <c r="R11" i="80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33" i="80"/>
  <c r="R34" i="80"/>
  <c r="R35" i="80"/>
  <c r="R36" i="80"/>
  <c r="R37" i="80"/>
  <c r="R38" i="80"/>
  <c r="R39" i="80"/>
  <c r="R40" i="80"/>
  <c r="R41" i="80"/>
  <c r="R42" i="80"/>
  <c r="R43" i="80"/>
  <c r="R44" i="80"/>
  <c r="R45" i="80"/>
  <c r="R46" i="80"/>
  <c r="R47" i="80"/>
  <c r="R48" i="80"/>
  <c r="R49" i="80"/>
  <c r="R50" i="80"/>
  <c r="R51" i="80"/>
  <c r="R52" i="80"/>
  <c r="R53" i="80"/>
  <c r="R54" i="80"/>
  <c r="R55" i="80"/>
  <c r="R56" i="80"/>
  <c r="R57" i="80"/>
  <c r="R58" i="80"/>
  <c r="R59" i="80"/>
  <c r="R60" i="80"/>
  <c r="R61" i="80"/>
  <c r="R62" i="80"/>
  <c r="R63" i="80"/>
  <c r="R64" i="80"/>
  <c r="R65" i="80"/>
  <c r="R66" i="80"/>
  <c r="R67" i="80"/>
  <c r="R68" i="80"/>
  <c r="R69" i="80"/>
  <c r="R70" i="80"/>
  <c r="R71" i="80"/>
  <c r="R72" i="80"/>
  <c r="R73" i="80"/>
  <c r="R74" i="80"/>
  <c r="R75" i="80"/>
  <c r="R76" i="80"/>
  <c r="R77" i="80"/>
  <c r="R78" i="80"/>
  <c r="R79" i="80"/>
  <c r="R80" i="80"/>
  <c r="R81" i="80"/>
  <c r="R82" i="80"/>
  <c r="R83" i="80"/>
  <c r="R84" i="80"/>
  <c r="R85" i="80"/>
  <c r="R86" i="80"/>
  <c r="R87" i="80"/>
  <c r="R88" i="80"/>
  <c r="R89" i="80"/>
  <c r="R90" i="80"/>
  <c r="R91" i="80"/>
  <c r="R92" i="80"/>
  <c r="R93" i="80"/>
  <c r="R94" i="80"/>
  <c r="R95" i="80"/>
  <c r="R96" i="80"/>
  <c r="R97" i="80"/>
  <c r="R98" i="80"/>
  <c r="R99" i="80"/>
  <c r="R100" i="80"/>
  <c r="R101" i="80"/>
  <c r="R102" i="80"/>
  <c r="R103" i="80"/>
  <c r="R104" i="80"/>
  <c r="R105" i="80"/>
  <c r="R106" i="80"/>
  <c r="R107" i="80"/>
  <c r="R108" i="80"/>
  <c r="R109" i="80"/>
  <c r="R110" i="80"/>
  <c r="R111" i="80"/>
  <c r="R112" i="80"/>
  <c r="R113" i="80"/>
  <c r="R114" i="80"/>
  <c r="R115" i="80"/>
  <c r="R116" i="80"/>
  <c r="R117" i="80"/>
  <c r="R118" i="80"/>
  <c r="R119" i="80"/>
  <c r="R120" i="80"/>
  <c r="R121" i="80"/>
  <c r="R122" i="80"/>
  <c r="R123" i="80"/>
  <c r="R124" i="80"/>
  <c r="R125" i="80"/>
  <c r="R126" i="80"/>
  <c r="R127" i="80"/>
  <c r="R128" i="80"/>
  <c r="R129" i="80"/>
  <c r="R130" i="80"/>
  <c r="R131" i="80"/>
  <c r="R132" i="80"/>
  <c r="R133" i="80"/>
  <c r="R134" i="80"/>
  <c r="R135" i="80"/>
  <c r="R136" i="80"/>
  <c r="R137" i="80"/>
  <c r="R138" i="80"/>
  <c r="R139" i="80"/>
  <c r="R140" i="80"/>
  <c r="R141" i="80"/>
  <c r="R142" i="80"/>
  <c r="R143" i="80"/>
  <c r="R144" i="80"/>
  <c r="R145" i="80"/>
  <c r="R146" i="80"/>
  <c r="R147" i="80"/>
  <c r="R148" i="80"/>
  <c r="R149" i="80"/>
  <c r="R150" i="80"/>
  <c r="R151" i="80"/>
  <c r="R152" i="80"/>
  <c r="R153" i="80"/>
  <c r="R154" i="80"/>
  <c r="R155" i="80"/>
  <c r="R156" i="80"/>
  <c r="R157" i="80"/>
  <c r="R158" i="80"/>
  <c r="R159" i="80"/>
  <c r="R160" i="80"/>
  <c r="R161" i="80"/>
  <c r="R162" i="80"/>
  <c r="R163" i="80"/>
  <c r="R164" i="80"/>
  <c r="R165" i="80"/>
  <c r="R166" i="80"/>
  <c r="R167" i="80"/>
  <c r="R168" i="80"/>
  <c r="R169" i="80"/>
  <c r="R170" i="80"/>
  <c r="R171" i="80"/>
  <c r="R172" i="80"/>
  <c r="R173" i="80"/>
  <c r="R174" i="80"/>
  <c r="R175" i="80"/>
  <c r="R176" i="80"/>
  <c r="R177" i="80"/>
  <c r="R178" i="80"/>
  <c r="R179" i="80"/>
  <c r="R180" i="80"/>
  <c r="R181" i="80"/>
  <c r="R182" i="80"/>
  <c r="R183" i="80"/>
  <c r="R184" i="80"/>
  <c r="R185" i="80"/>
  <c r="R186" i="80"/>
  <c r="R187" i="80"/>
  <c r="R188" i="80"/>
  <c r="R189" i="80"/>
  <c r="R190" i="80"/>
  <c r="R191" i="80"/>
  <c r="R192" i="80"/>
  <c r="R193" i="80"/>
  <c r="R194" i="80"/>
  <c r="R195" i="80"/>
  <c r="R196" i="80"/>
  <c r="R197" i="80"/>
  <c r="R198" i="80"/>
  <c r="R199" i="80"/>
  <c r="R200" i="80"/>
  <c r="R201" i="80"/>
  <c r="R202" i="80"/>
  <c r="R203" i="80"/>
  <c r="R204" i="80"/>
  <c r="R205" i="80"/>
  <c r="R206" i="80"/>
  <c r="R207" i="80"/>
  <c r="R208" i="80"/>
  <c r="R9" i="80"/>
  <c r="S9" i="80"/>
  <c r="D4" i="80"/>
  <c r="E10" i="126" a="1"/>
  <c r="E10" i="126" s="1"/>
  <c r="S10" i="70"/>
  <c r="S11" i="70"/>
  <c r="S12" i="70"/>
  <c r="S13" i="70"/>
  <c r="S14" i="70"/>
  <c r="S15" i="70"/>
  <c r="S16" i="70"/>
  <c r="S17" i="70"/>
  <c r="S18" i="70"/>
  <c r="S19" i="70"/>
  <c r="S20" i="70"/>
  <c r="S21" i="70"/>
  <c r="S22" i="70"/>
  <c r="S23" i="70"/>
  <c r="S24" i="70"/>
  <c r="S25" i="70"/>
  <c r="S26" i="70"/>
  <c r="S27" i="70"/>
  <c r="S28" i="70"/>
  <c r="S29" i="70"/>
  <c r="S30" i="70"/>
  <c r="S31" i="70"/>
  <c r="S32" i="70"/>
  <c r="S33" i="70"/>
  <c r="S36" i="70"/>
  <c r="D4" i="70"/>
  <c r="E27" i="126" a="1"/>
  <c r="E27" i="126" s="1"/>
  <c r="S37" i="70"/>
  <c r="S38" i="70"/>
  <c r="S39" i="70"/>
  <c r="S40" i="70"/>
  <c r="S41" i="70"/>
  <c r="S42" i="70"/>
  <c r="S43" i="70"/>
  <c r="S44" i="70"/>
  <c r="S45" i="70"/>
  <c r="S46" i="70"/>
  <c r="S47" i="70"/>
  <c r="S48" i="70"/>
  <c r="S49" i="70"/>
  <c r="S50" i="70"/>
  <c r="S51" i="70"/>
  <c r="S52" i="70"/>
  <c r="S53" i="70"/>
  <c r="S54" i="70"/>
  <c r="S55" i="70"/>
  <c r="S56" i="70"/>
  <c r="S57" i="70"/>
  <c r="S58" i="70"/>
  <c r="S59" i="70"/>
  <c r="S60" i="70"/>
  <c r="S61" i="70"/>
  <c r="S62" i="70"/>
  <c r="S63" i="70"/>
  <c r="S64" i="70"/>
  <c r="S65" i="70"/>
  <c r="S66" i="70"/>
  <c r="S67" i="70"/>
  <c r="S68" i="70"/>
  <c r="S69" i="70"/>
  <c r="S70" i="70"/>
  <c r="S71" i="70"/>
  <c r="S72" i="70"/>
  <c r="S73" i="70"/>
  <c r="S74" i="70"/>
  <c r="S75" i="70"/>
  <c r="S76" i="70"/>
  <c r="S77" i="70"/>
  <c r="S78" i="70"/>
  <c r="S79" i="70"/>
  <c r="S80" i="70"/>
  <c r="S81" i="70"/>
  <c r="S82" i="70"/>
  <c r="S83" i="70"/>
  <c r="S84" i="70"/>
  <c r="S85" i="70"/>
  <c r="S86" i="70"/>
  <c r="S87" i="70"/>
  <c r="S88" i="70"/>
  <c r="S89" i="70"/>
  <c r="S90" i="70"/>
  <c r="S91" i="70"/>
  <c r="S92" i="70"/>
  <c r="S93" i="70"/>
  <c r="S94" i="70"/>
  <c r="S95" i="70"/>
  <c r="S96" i="70"/>
  <c r="S97" i="70"/>
  <c r="S98" i="70"/>
  <c r="S99" i="70"/>
  <c r="S100" i="70"/>
  <c r="S101" i="70"/>
  <c r="S102" i="70"/>
  <c r="S103" i="70"/>
  <c r="S104" i="70"/>
  <c r="S105" i="70"/>
  <c r="S106" i="70"/>
  <c r="S107" i="70"/>
  <c r="S108" i="70"/>
  <c r="S109" i="70"/>
  <c r="S110" i="70"/>
  <c r="S111" i="70"/>
  <c r="S112" i="70"/>
  <c r="S113" i="70"/>
  <c r="S114" i="70"/>
  <c r="S115" i="70"/>
  <c r="S116" i="70"/>
  <c r="S117" i="70"/>
  <c r="S118" i="70"/>
  <c r="S119" i="70"/>
  <c r="S120" i="70"/>
  <c r="S121" i="70"/>
  <c r="S122" i="70"/>
  <c r="S123" i="70"/>
  <c r="S124" i="70"/>
  <c r="S125" i="70"/>
  <c r="S126" i="70"/>
  <c r="S127" i="70"/>
  <c r="S128" i="70"/>
  <c r="S129" i="70"/>
  <c r="S130" i="70"/>
  <c r="S131" i="70"/>
  <c r="S132" i="70"/>
  <c r="S133" i="70"/>
  <c r="S134" i="70"/>
  <c r="S135" i="70"/>
  <c r="S136" i="70"/>
  <c r="S137" i="70"/>
  <c r="S138" i="70"/>
  <c r="S139" i="70"/>
  <c r="S140" i="70"/>
  <c r="S141" i="70"/>
  <c r="S142" i="70"/>
  <c r="S143" i="70"/>
  <c r="S144" i="70"/>
  <c r="S145" i="70"/>
  <c r="S146" i="70"/>
  <c r="S147" i="70"/>
  <c r="S148" i="70"/>
  <c r="S149" i="70"/>
  <c r="S150" i="70"/>
  <c r="S151" i="70"/>
  <c r="S152" i="70"/>
  <c r="S153" i="70"/>
  <c r="S154" i="70"/>
  <c r="S155" i="70"/>
  <c r="S156" i="70"/>
  <c r="S157" i="70"/>
  <c r="S158" i="70"/>
  <c r="S159" i="70"/>
  <c r="S160" i="70"/>
  <c r="S161" i="70"/>
  <c r="S162" i="70"/>
  <c r="S163" i="70"/>
  <c r="S164" i="70"/>
  <c r="S165" i="70"/>
  <c r="S166" i="70"/>
  <c r="S167" i="70"/>
  <c r="S168" i="70"/>
  <c r="S169" i="70"/>
  <c r="S170" i="70"/>
  <c r="S171" i="70"/>
  <c r="S172" i="70"/>
  <c r="S173" i="70"/>
  <c r="S174" i="70"/>
  <c r="S175" i="70"/>
  <c r="S176" i="70"/>
  <c r="S177" i="70"/>
  <c r="S178" i="70"/>
  <c r="S179" i="70"/>
  <c r="S180" i="70"/>
  <c r="S181" i="70"/>
  <c r="S182" i="70"/>
  <c r="S183" i="70"/>
  <c r="S184" i="70"/>
  <c r="S185" i="70"/>
  <c r="S186" i="70"/>
  <c r="S187" i="70"/>
  <c r="S188" i="70"/>
  <c r="S189" i="70"/>
  <c r="S190" i="70"/>
  <c r="S191" i="70"/>
  <c r="S192" i="70"/>
  <c r="S193" i="70"/>
  <c r="S194" i="70"/>
  <c r="S195" i="70"/>
  <c r="S196" i="70"/>
  <c r="S197" i="70"/>
  <c r="S198" i="70"/>
  <c r="S199" i="70"/>
  <c r="S200" i="70"/>
  <c r="S201" i="70"/>
  <c r="S202" i="70"/>
  <c r="S203" i="70"/>
  <c r="S204" i="70"/>
  <c r="S205" i="70"/>
  <c r="S206" i="70"/>
  <c r="S207" i="70"/>
  <c r="S208" i="70"/>
  <c r="R10" i="70"/>
  <c r="R11" i="70"/>
  <c r="R12" i="70"/>
  <c r="R13" i="70"/>
  <c r="R14" i="70"/>
  <c r="R15" i="70"/>
  <c r="R16" i="70"/>
  <c r="R17" i="70"/>
  <c r="R18" i="70"/>
  <c r="R19" i="70"/>
  <c r="R20" i="70"/>
  <c r="R21" i="70"/>
  <c r="R22" i="70"/>
  <c r="R23" i="70"/>
  <c r="R24" i="70"/>
  <c r="R25" i="70"/>
  <c r="R26" i="70"/>
  <c r="R27" i="70"/>
  <c r="R28" i="70"/>
  <c r="R29" i="70"/>
  <c r="R30" i="70"/>
  <c r="R31" i="70"/>
  <c r="R32" i="70"/>
  <c r="R33" i="70"/>
  <c r="R36" i="70"/>
  <c r="R37" i="70"/>
  <c r="R38" i="70"/>
  <c r="R39" i="70"/>
  <c r="R40" i="70"/>
  <c r="R41" i="70"/>
  <c r="R42" i="70"/>
  <c r="R43" i="70"/>
  <c r="R44" i="70"/>
  <c r="R45" i="70"/>
  <c r="R46" i="70"/>
  <c r="R47" i="70"/>
  <c r="R48" i="70"/>
  <c r="R49" i="70"/>
  <c r="R50" i="70"/>
  <c r="R51" i="70"/>
  <c r="R52" i="70"/>
  <c r="R53" i="70"/>
  <c r="R54" i="70"/>
  <c r="R55" i="70"/>
  <c r="R56" i="70"/>
  <c r="R57" i="70"/>
  <c r="R58" i="70"/>
  <c r="R59" i="70"/>
  <c r="R60" i="70"/>
  <c r="R61" i="70"/>
  <c r="R62" i="70"/>
  <c r="R63" i="70"/>
  <c r="R64" i="70"/>
  <c r="R65" i="70"/>
  <c r="R66" i="70"/>
  <c r="R67" i="70"/>
  <c r="R68" i="70"/>
  <c r="R69" i="70"/>
  <c r="R70" i="70"/>
  <c r="R71" i="70"/>
  <c r="R72" i="70"/>
  <c r="R73" i="70"/>
  <c r="R74" i="70"/>
  <c r="R75" i="70"/>
  <c r="R76" i="70"/>
  <c r="R77" i="70"/>
  <c r="R78" i="70"/>
  <c r="R79" i="70"/>
  <c r="R80" i="70"/>
  <c r="R81" i="70"/>
  <c r="R82" i="70"/>
  <c r="R83" i="70"/>
  <c r="R84" i="70"/>
  <c r="R85" i="70"/>
  <c r="R86" i="70"/>
  <c r="R87" i="70"/>
  <c r="R88" i="70"/>
  <c r="R89" i="70"/>
  <c r="R90" i="70"/>
  <c r="R91" i="70"/>
  <c r="R92" i="70"/>
  <c r="R93" i="70"/>
  <c r="R94" i="70"/>
  <c r="R95" i="70"/>
  <c r="R96" i="70"/>
  <c r="R97" i="70"/>
  <c r="R98" i="70"/>
  <c r="R99" i="70"/>
  <c r="R100" i="70"/>
  <c r="R101" i="70"/>
  <c r="R102" i="70"/>
  <c r="R103" i="70"/>
  <c r="R104" i="70"/>
  <c r="R105" i="70"/>
  <c r="R106" i="70"/>
  <c r="R107" i="70"/>
  <c r="R108" i="70"/>
  <c r="R109" i="70"/>
  <c r="R110" i="70"/>
  <c r="R111" i="70"/>
  <c r="R112" i="70"/>
  <c r="R113" i="70"/>
  <c r="R114" i="70"/>
  <c r="R115" i="70"/>
  <c r="R116" i="70"/>
  <c r="R117" i="70"/>
  <c r="R118" i="70"/>
  <c r="R119" i="70"/>
  <c r="R120" i="70"/>
  <c r="R121" i="70"/>
  <c r="R122" i="70"/>
  <c r="R123" i="70"/>
  <c r="R124" i="70"/>
  <c r="R125" i="70"/>
  <c r="R126" i="70"/>
  <c r="R127" i="70"/>
  <c r="R128" i="70"/>
  <c r="R129" i="70"/>
  <c r="R130" i="70"/>
  <c r="R131" i="70"/>
  <c r="R132" i="70"/>
  <c r="R133" i="70"/>
  <c r="R134" i="70"/>
  <c r="R135" i="70"/>
  <c r="R136" i="70"/>
  <c r="R137" i="70"/>
  <c r="R138" i="70"/>
  <c r="R139" i="70"/>
  <c r="R140" i="70"/>
  <c r="R141" i="70"/>
  <c r="R142" i="70"/>
  <c r="R143" i="70"/>
  <c r="R144" i="70"/>
  <c r="R145" i="70"/>
  <c r="R146" i="70"/>
  <c r="R147" i="70"/>
  <c r="R148" i="70"/>
  <c r="R149" i="70"/>
  <c r="R150" i="70"/>
  <c r="R151" i="70"/>
  <c r="R152" i="70"/>
  <c r="R153" i="70"/>
  <c r="R154" i="70"/>
  <c r="R155" i="70"/>
  <c r="R156" i="70"/>
  <c r="R157" i="70"/>
  <c r="R158" i="70"/>
  <c r="R159" i="70"/>
  <c r="R160" i="70"/>
  <c r="R161" i="70"/>
  <c r="R162" i="70"/>
  <c r="R163" i="70"/>
  <c r="R164" i="70"/>
  <c r="R165" i="70"/>
  <c r="R166" i="70"/>
  <c r="R167" i="70"/>
  <c r="R168" i="70"/>
  <c r="R169" i="70"/>
  <c r="R170" i="70"/>
  <c r="R171" i="70"/>
  <c r="R172" i="70"/>
  <c r="R173" i="70"/>
  <c r="R174" i="70"/>
  <c r="R175" i="70"/>
  <c r="R176" i="70"/>
  <c r="R177" i="70"/>
  <c r="R178" i="70"/>
  <c r="R179" i="70"/>
  <c r="R180" i="70"/>
  <c r="R181" i="70"/>
  <c r="R182" i="70"/>
  <c r="R183" i="70"/>
  <c r="R184" i="70"/>
  <c r="R185" i="70"/>
  <c r="R186" i="70"/>
  <c r="R187" i="70"/>
  <c r="R188" i="70"/>
  <c r="R189" i="70"/>
  <c r="R190" i="70"/>
  <c r="R191" i="70"/>
  <c r="R192" i="70"/>
  <c r="R193" i="70"/>
  <c r="R194" i="70"/>
  <c r="R195" i="70"/>
  <c r="R196" i="70"/>
  <c r="R197" i="70"/>
  <c r="R198" i="70"/>
  <c r="R199" i="70"/>
  <c r="R200" i="70"/>
  <c r="R201" i="70"/>
  <c r="R202" i="70"/>
  <c r="R203" i="70"/>
  <c r="R204" i="70"/>
  <c r="R205" i="70"/>
  <c r="R206" i="70"/>
  <c r="R207" i="70"/>
  <c r="R208" i="70"/>
  <c r="R9" i="70"/>
  <c r="S9" i="70"/>
  <c r="S10" i="109"/>
  <c r="S11" i="109"/>
  <c r="S12" i="109"/>
  <c r="S13" i="109"/>
  <c r="S14" i="109"/>
  <c r="S15" i="109"/>
  <c r="S16" i="109"/>
  <c r="S17" i="109"/>
  <c r="S18" i="109"/>
  <c r="S19" i="109"/>
  <c r="S20" i="109"/>
  <c r="S21" i="109"/>
  <c r="S22" i="109"/>
  <c r="S23" i="109"/>
  <c r="S26" i="109"/>
  <c r="S27" i="109"/>
  <c r="S29" i="109"/>
  <c r="S30" i="109"/>
  <c r="S31" i="109"/>
  <c r="S32" i="109"/>
  <c r="S33" i="109"/>
  <c r="S34" i="109"/>
  <c r="S35" i="109"/>
  <c r="S36" i="109"/>
  <c r="S37" i="109"/>
  <c r="S38" i="109"/>
  <c r="S39" i="109"/>
  <c r="S40" i="109"/>
  <c r="S41" i="109"/>
  <c r="S42" i="109"/>
  <c r="S43" i="109"/>
  <c r="S44" i="109"/>
  <c r="S45" i="109"/>
  <c r="S46" i="109"/>
  <c r="S47" i="109"/>
  <c r="S48" i="109"/>
  <c r="S49" i="109"/>
  <c r="S50" i="109"/>
  <c r="S51" i="109"/>
  <c r="S52" i="109"/>
  <c r="S53" i="109"/>
  <c r="S54" i="109"/>
  <c r="S55" i="109"/>
  <c r="S56" i="109"/>
  <c r="S57" i="109"/>
  <c r="S58" i="109"/>
  <c r="S59" i="109"/>
  <c r="S60" i="109"/>
  <c r="S61" i="109"/>
  <c r="S62" i="109"/>
  <c r="S63" i="109"/>
  <c r="S64" i="109"/>
  <c r="S65" i="109"/>
  <c r="S66" i="109"/>
  <c r="S67" i="109"/>
  <c r="S68" i="109"/>
  <c r="S69" i="109"/>
  <c r="S70" i="109"/>
  <c r="S71" i="109"/>
  <c r="S72" i="109"/>
  <c r="S73" i="109"/>
  <c r="S74" i="109"/>
  <c r="S75" i="109"/>
  <c r="S76" i="109"/>
  <c r="S77" i="109"/>
  <c r="S78" i="109"/>
  <c r="S79" i="109"/>
  <c r="S80" i="109"/>
  <c r="S81" i="109"/>
  <c r="S82" i="109"/>
  <c r="S83" i="109"/>
  <c r="S84" i="109"/>
  <c r="S85" i="109"/>
  <c r="S86" i="109"/>
  <c r="S87" i="109"/>
  <c r="S88" i="109"/>
  <c r="S89" i="109"/>
  <c r="S90" i="109"/>
  <c r="S91" i="109"/>
  <c r="S92" i="109"/>
  <c r="S93" i="109"/>
  <c r="S94" i="109"/>
  <c r="S95" i="109"/>
  <c r="S96" i="109"/>
  <c r="S97" i="109"/>
  <c r="S98" i="109"/>
  <c r="S99" i="109"/>
  <c r="S100" i="109"/>
  <c r="S101" i="109"/>
  <c r="S102" i="109"/>
  <c r="S103" i="109"/>
  <c r="S104" i="109"/>
  <c r="S105" i="109"/>
  <c r="S106" i="109"/>
  <c r="S107" i="109"/>
  <c r="S108" i="109"/>
  <c r="S109" i="109"/>
  <c r="S110" i="109"/>
  <c r="S111" i="109"/>
  <c r="S112" i="109"/>
  <c r="S113" i="109"/>
  <c r="S114" i="109"/>
  <c r="S115" i="109"/>
  <c r="S116" i="109"/>
  <c r="S117" i="109"/>
  <c r="S118" i="109"/>
  <c r="S119" i="109"/>
  <c r="S120" i="109"/>
  <c r="S121" i="109"/>
  <c r="S122" i="109"/>
  <c r="S123" i="109"/>
  <c r="S124" i="109"/>
  <c r="S125" i="109"/>
  <c r="S126" i="109"/>
  <c r="S127" i="109"/>
  <c r="S128" i="109"/>
  <c r="S129" i="109"/>
  <c r="S130" i="109"/>
  <c r="S131" i="109"/>
  <c r="S132" i="109"/>
  <c r="S133" i="109"/>
  <c r="S134" i="109"/>
  <c r="S135" i="109"/>
  <c r="S136" i="109"/>
  <c r="S137" i="109"/>
  <c r="S138" i="109"/>
  <c r="S139" i="109"/>
  <c r="S140" i="109"/>
  <c r="S141" i="109"/>
  <c r="S142" i="109"/>
  <c r="S143" i="109"/>
  <c r="S144" i="109"/>
  <c r="S145" i="109"/>
  <c r="S146" i="109"/>
  <c r="S147" i="109"/>
  <c r="S148" i="109"/>
  <c r="S149" i="109"/>
  <c r="S150" i="109"/>
  <c r="S151" i="109"/>
  <c r="S152" i="109"/>
  <c r="S153" i="109"/>
  <c r="S154" i="109"/>
  <c r="S155" i="109"/>
  <c r="S156" i="109"/>
  <c r="S157" i="109"/>
  <c r="S158" i="109"/>
  <c r="S159" i="109"/>
  <c r="S160" i="109"/>
  <c r="S161" i="109"/>
  <c r="S162" i="109"/>
  <c r="S163" i="109"/>
  <c r="S164" i="109"/>
  <c r="S165" i="109"/>
  <c r="S166" i="109"/>
  <c r="S167" i="109"/>
  <c r="S168" i="109"/>
  <c r="S169" i="109"/>
  <c r="S170" i="109"/>
  <c r="S171" i="109"/>
  <c r="S172" i="109"/>
  <c r="S173" i="109"/>
  <c r="S174" i="109"/>
  <c r="S175" i="109"/>
  <c r="S176" i="109"/>
  <c r="S177" i="109"/>
  <c r="S178" i="109"/>
  <c r="S179" i="109"/>
  <c r="S180" i="109"/>
  <c r="S181" i="109"/>
  <c r="S182" i="109"/>
  <c r="S183" i="109"/>
  <c r="S184" i="109"/>
  <c r="S185" i="109"/>
  <c r="S186" i="109"/>
  <c r="S187" i="109"/>
  <c r="S188" i="109"/>
  <c r="S189" i="109"/>
  <c r="S190" i="109"/>
  <c r="S191" i="109"/>
  <c r="S192" i="109"/>
  <c r="S193" i="109"/>
  <c r="S194" i="109"/>
  <c r="S195" i="109"/>
  <c r="S196" i="109"/>
  <c r="S197" i="109"/>
  <c r="S198" i="109"/>
  <c r="S199" i="109"/>
  <c r="S200" i="109"/>
  <c r="S201" i="109"/>
  <c r="S202" i="109"/>
  <c r="S203" i="109"/>
  <c r="S204" i="109"/>
  <c r="S205" i="109"/>
  <c r="S206" i="109"/>
  <c r="S207" i="109"/>
  <c r="S208" i="109"/>
  <c r="R10" i="109"/>
  <c r="R11" i="109"/>
  <c r="R12" i="109"/>
  <c r="R13" i="109"/>
  <c r="R14" i="109"/>
  <c r="R15" i="109"/>
  <c r="R16" i="109"/>
  <c r="R29" i="109"/>
  <c r="R30" i="109"/>
  <c r="R32" i="109"/>
  <c r="R33" i="109"/>
  <c r="R34" i="109"/>
  <c r="R35" i="109"/>
  <c r="R36" i="109"/>
  <c r="R37" i="109"/>
  <c r="R38" i="109"/>
  <c r="R39" i="109"/>
  <c r="R40" i="109"/>
  <c r="R41" i="109"/>
  <c r="R42" i="109"/>
  <c r="R43" i="109"/>
  <c r="R44" i="109"/>
  <c r="R45" i="109"/>
  <c r="R46" i="109"/>
  <c r="R47" i="109"/>
  <c r="R48" i="109"/>
  <c r="R49" i="109"/>
  <c r="R50" i="109"/>
  <c r="R51" i="109"/>
  <c r="R52" i="109"/>
  <c r="R53" i="109"/>
  <c r="R54" i="109"/>
  <c r="R55" i="109"/>
  <c r="R56" i="109"/>
  <c r="R57" i="109"/>
  <c r="R58" i="109"/>
  <c r="R59" i="109"/>
  <c r="R60" i="109"/>
  <c r="R61" i="109"/>
  <c r="R62" i="109"/>
  <c r="R63" i="109"/>
  <c r="R64" i="109"/>
  <c r="R65" i="109"/>
  <c r="R66" i="109"/>
  <c r="R67" i="109"/>
  <c r="R68" i="109"/>
  <c r="R69" i="109"/>
  <c r="R70" i="109"/>
  <c r="R71" i="109"/>
  <c r="R72" i="109"/>
  <c r="R73" i="109"/>
  <c r="R74" i="109"/>
  <c r="R75" i="109"/>
  <c r="R76" i="109"/>
  <c r="R77" i="109"/>
  <c r="R78" i="109"/>
  <c r="R79" i="109"/>
  <c r="R80" i="109"/>
  <c r="R81" i="109"/>
  <c r="R82" i="109"/>
  <c r="R83" i="109"/>
  <c r="R84" i="109"/>
  <c r="R85" i="109"/>
  <c r="R86" i="109"/>
  <c r="R87" i="109"/>
  <c r="R88" i="109"/>
  <c r="R89" i="109"/>
  <c r="R90" i="109"/>
  <c r="R91" i="109"/>
  <c r="R92" i="109"/>
  <c r="R93" i="109"/>
  <c r="R94" i="109"/>
  <c r="R95" i="109"/>
  <c r="R96" i="109"/>
  <c r="R97" i="109"/>
  <c r="R98" i="109"/>
  <c r="R99" i="109"/>
  <c r="R100" i="109"/>
  <c r="R101" i="109"/>
  <c r="R102" i="109"/>
  <c r="R103" i="109"/>
  <c r="R104" i="109"/>
  <c r="R105" i="109"/>
  <c r="R106" i="109"/>
  <c r="R107" i="109"/>
  <c r="R108" i="109"/>
  <c r="R109" i="109"/>
  <c r="R110" i="109"/>
  <c r="R111" i="109"/>
  <c r="R112" i="109"/>
  <c r="R113" i="109"/>
  <c r="R114" i="109"/>
  <c r="R115" i="109"/>
  <c r="R116" i="109"/>
  <c r="R117" i="109"/>
  <c r="R118" i="109"/>
  <c r="R119" i="109"/>
  <c r="R120" i="109"/>
  <c r="R121" i="109"/>
  <c r="R122" i="109"/>
  <c r="R123" i="109"/>
  <c r="R124" i="109"/>
  <c r="R125" i="109"/>
  <c r="R126" i="109"/>
  <c r="R127" i="109"/>
  <c r="R128" i="109"/>
  <c r="R129" i="109"/>
  <c r="R130" i="109"/>
  <c r="R131" i="109"/>
  <c r="R132" i="109"/>
  <c r="R133" i="109"/>
  <c r="R134" i="109"/>
  <c r="R135" i="109"/>
  <c r="R136" i="109"/>
  <c r="R137" i="109"/>
  <c r="R138" i="109"/>
  <c r="R139" i="109"/>
  <c r="R140" i="109"/>
  <c r="R141" i="109"/>
  <c r="R142" i="109"/>
  <c r="R143" i="109"/>
  <c r="R144" i="109"/>
  <c r="R145" i="109"/>
  <c r="R146" i="109"/>
  <c r="R147" i="109"/>
  <c r="R148" i="109"/>
  <c r="R149" i="109"/>
  <c r="R150" i="109"/>
  <c r="R151" i="109"/>
  <c r="R152" i="109"/>
  <c r="R153" i="109"/>
  <c r="R154" i="109"/>
  <c r="R155" i="109"/>
  <c r="R156" i="109"/>
  <c r="R157" i="109"/>
  <c r="R158" i="109"/>
  <c r="R159" i="109"/>
  <c r="R160" i="109"/>
  <c r="R161" i="109"/>
  <c r="R162" i="109"/>
  <c r="R163" i="109"/>
  <c r="R164" i="109"/>
  <c r="R165" i="109"/>
  <c r="R166" i="109"/>
  <c r="R167" i="109"/>
  <c r="R168" i="109"/>
  <c r="R169" i="109"/>
  <c r="R170" i="109"/>
  <c r="R171" i="109"/>
  <c r="R172" i="109"/>
  <c r="R173" i="109"/>
  <c r="R174" i="109"/>
  <c r="R175" i="109"/>
  <c r="R176" i="109"/>
  <c r="R177" i="109"/>
  <c r="R178" i="109"/>
  <c r="R179" i="109"/>
  <c r="R180" i="109"/>
  <c r="R181" i="109"/>
  <c r="R182" i="109"/>
  <c r="R183" i="109"/>
  <c r="R184" i="109"/>
  <c r="R185" i="109"/>
  <c r="R186" i="109"/>
  <c r="R187" i="109"/>
  <c r="R188" i="109"/>
  <c r="R189" i="109"/>
  <c r="R190" i="109"/>
  <c r="R191" i="109"/>
  <c r="R192" i="109"/>
  <c r="R193" i="109"/>
  <c r="R194" i="109"/>
  <c r="R195" i="109"/>
  <c r="R196" i="109"/>
  <c r="R197" i="109"/>
  <c r="R198" i="109"/>
  <c r="R199" i="109"/>
  <c r="R200" i="109"/>
  <c r="R201" i="109"/>
  <c r="R202" i="109"/>
  <c r="R203" i="109"/>
  <c r="R204" i="109"/>
  <c r="R205" i="109"/>
  <c r="R206" i="109"/>
  <c r="R207" i="109"/>
  <c r="R208" i="109"/>
  <c r="R9" i="109"/>
  <c r="S9" i="109"/>
  <c r="S14" i="101"/>
  <c r="S15" i="101"/>
  <c r="S16" i="101"/>
  <c r="S17" i="101"/>
  <c r="S18" i="101"/>
  <c r="S22" i="101"/>
  <c r="S23" i="101"/>
  <c r="S24" i="101"/>
  <c r="S25" i="101"/>
  <c r="S26" i="101"/>
  <c r="S27" i="101"/>
  <c r="S28" i="101"/>
  <c r="S29" i="101"/>
  <c r="S30" i="101"/>
  <c r="S31" i="101"/>
  <c r="S32" i="101"/>
  <c r="S33" i="101"/>
  <c r="S34" i="101"/>
  <c r="S35" i="101"/>
  <c r="S36" i="101"/>
  <c r="S37" i="101"/>
  <c r="S38" i="101"/>
  <c r="S39" i="101"/>
  <c r="S40" i="101"/>
  <c r="S41" i="101"/>
  <c r="S42" i="101"/>
  <c r="S43" i="101"/>
  <c r="S44" i="101"/>
  <c r="S45" i="101"/>
  <c r="S46" i="101"/>
  <c r="S47" i="101"/>
  <c r="S48" i="101"/>
  <c r="S49" i="101"/>
  <c r="S50" i="101"/>
  <c r="S51" i="101"/>
  <c r="S52" i="101"/>
  <c r="S53" i="101"/>
  <c r="S54" i="101"/>
  <c r="S55" i="101"/>
  <c r="S56" i="101"/>
  <c r="S57" i="101"/>
  <c r="S58" i="101"/>
  <c r="S59" i="101"/>
  <c r="S60" i="101"/>
  <c r="S61" i="101"/>
  <c r="S62" i="101"/>
  <c r="S63" i="101"/>
  <c r="S64" i="101"/>
  <c r="S65" i="101"/>
  <c r="S66" i="101"/>
  <c r="S67" i="101"/>
  <c r="S68" i="101"/>
  <c r="S69" i="101"/>
  <c r="S70" i="101"/>
  <c r="S71" i="101"/>
  <c r="S72" i="101"/>
  <c r="S73" i="101"/>
  <c r="S74" i="101"/>
  <c r="S75" i="101"/>
  <c r="S76" i="101"/>
  <c r="S77" i="101"/>
  <c r="S78" i="101"/>
  <c r="S79" i="101"/>
  <c r="S80" i="101"/>
  <c r="S81" i="101"/>
  <c r="S82" i="101"/>
  <c r="S83" i="101"/>
  <c r="S84" i="101"/>
  <c r="S85" i="101"/>
  <c r="S86" i="101"/>
  <c r="S87" i="101"/>
  <c r="S88" i="101"/>
  <c r="S89" i="101"/>
  <c r="S90" i="101"/>
  <c r="S91" i="101"/>
  <c r="S92" i="101"/>
  <c r="S93" i="101"/>
  <c r="S94" i="101"/>
  <c r="S95" i="101"/>
  <c r="S96" i="101"/>
  <c r="S97" i="101"/>
  <c r="S98" i="101"/>
  <c r="S99" i="101"/>
  <c r="S100" i="101"/>
  <c r="S101" i="101"/>
  <c r="S102" i="101"/>
  <c r="S103" i="101"/>
  <c r="S104" i="101"/>
  <c r="S105" i="101"/>
  <c r="S106" i="101"/>
  <c r="S107" i="101"/>
  <c r="S108" i="101"/>
  <c r="S109" i="101"/>
  <c r="S110" i="101"/>
  <c r="S111" i="101"/>
  <c r="S112" i="101"/>
  <c r="S113" i="101"/>
  <c r="S114" i="101"/>
  <c r="S115" i="101"/>
  <c r="S116" i="101"/>
  <c r="S117" i="101"/>
  <c r="S118" i="101"/>
  <c r="S119" i="101"/>
  <c r="S120" i="101"/>
  <c r="S121" i="101"/>
  <c r="S122" i="101"/>
  <c r="S123" i="101"/>
  <c r="S124" i="101"/>
  <c r="S125" i="101"/>
  <c r="S126" i="101"/>
  <c r="S127" i="101"/>
  <c r="S128" i="101"/>
  <c r="S129" i="101"/>
  <c r="S130" i="101"/>
  <c r="S131" i="101"/>
  <c r="S132" i="101"/>
  <c r="S133" i="101"/>
  <c r="S134" i="101"/>
  <c r="S135" i="101"/>
  <c r="S136" i="101"/>
  <c r="S137" i="101"/>
  <c r="S138" i="101"/>
  <c r="S139" i="101"/>
  <c r="S140" i="101"/>
  <c r="S141" i="101"/>
  <c r="S142" i="101"/>
  <c r="S143" i="101"/>
  <c r="S144" i="101"/>
  <c r="S145" i="101"/>
  <c r="S146" i="101"/>
  <c r="S147" i="101"/>
  <c r="S148" i="101"/>
  <c r="S149" i="101"/>
  <c r="S150" i="101"/>
  <c r="S151" i="101"/>
  <c r="S152" i="101"/>
  <c r="S153" i="101"/>
  <c r="S154" i="101"/>
  <c r="S155" i="101"/>
  <c r="S156" i="101"/>
  <c r="S157" i="101"/>
  <c r="S158" i="101"/>
  <c r="S159" i="101"/>
  <c r="S160" i="101"/>
  <c r="S161" i="101"/>
  <c r="S162" i="101"/>
  <c r="S163" i="101"/>
  <c r="S164" i="101"/>
  <c r="S165" i="101"/>
  <c r="S166" i="101"/>
  <c r="S167" i="101"/>
  <c r="S168" i="101"/>
  <c r="S169" i="101"/>
  <c r="S170" i="101"/>
  <c r="S171" i="101"/>
  <c r="S172" i="101"/>
  <c r="S173" i="101"/>
  <c r="S174" i="101"/>
  <c r="S175" i="101"/>
  <c r="S176" i="101"/>
  <c r="S177" i="101"/>
  <c r="S178" i="101"/>
  <c r="S179" i="101"/>
  <c r="S180" i="101"/>
  <c r="S181" i="101"/>
  <c r="S182" i="101"/>
  <c r="S183" i="101"/>
  <c r="S184" i="101"/>
  <c r="S185" i="101"/>
  <c r="S186" i="101"/>
  <c r="S187" i="101"/>
  <c r="S188" i="101"/>
  <c r="S189" i="101"/>
  <c r="S190" i="101"/>
  <c r="S191" i="101"/>
  <c r="S192" i="101"/>
  <c r="S193" i="101"/>
  <c r="S194" i="101"/>
  <c r="S195" i="101"/>
  <c r="S196" i="101"/>
  <c r="S197" i="101"/>
  <c r="S198" i="101"/>
  <c r="S199" i="101"/>
  <c r="S200" i="101"/>
  <c r="S201" i="101"/>
  <c r="S202" i="101"/>
  <c r="S203" i="101"/>
  <c r="S204" i="101"/>
  <c r="S205" i="101"/>
  <c r="S206" i="101"/>
  <c r="S207" i="101"/>
  <c r="S208" i="101"/>
  <c r="R11" i="101"/>
  <c r="S11" i="101"/>
  <c r="R12" i="101"/>
  <c r="S12" i="101"/>
  <c r="R13" i="101"/>
  <c r="S13" i="101"/>
  <c r="R14" i="101"/>
  <c r="R15" i="101"/>
  <c r="R16" i="101"/>
  <c r="R17" i="101"/>
  <c r="R18" i="101"/>
  <c r="R22" i="101"/>
  <c r="R23" i="101"/>
  <c r="R24" i="101"/>
  <c r="R25" i="101"/>
  <c r="R26" i="101"/>
  <c r="R27" i="101"/>
  <c r="R28" i="101"/>
  <c r="R29" i="101"/>
  <c r="R30" i="101"/>
  <c r="R31" i="101"/>
  <c r="R32" i="101"/>
  <c r="R33" i="101"/>
  <c r="R34" i="101"/>
  <c r="R35" i="101"/>
  <c r="R36" i="101"/>
  <c r="R37" i="101"/>
  <c r="R38" i="101"/>
  <c r="R39" i="101"/>
  <c r="R40" i="101"/>
  <c r="R41" i="101"/>
  <c r="R42" i="101"/>
  <c r="R43" i="101"/>
  <c r="R44" i="101"/>
  <c r="R45" i="101"/>
  <c r="R46" i="101"/>
  <c r="R47" i="101"/>
  <c r="R48" i="101"/>
  <c r="R49" i="101"/>
  <c r="R50" i="101"/>
  <c r="R51" i="101"/>
  <c r="R52" i="101"/>
  <c r="R53" i="101"/>
  <c r="R54" i="101"/>
  <c r="R55" i="101"/>
  <c r="R56" i="101"/>
  <c r="R57" i="101"/>
  <c r="R58" i="101"/>
  <c r="R59" i="101"/>
  <c r="R60" i="101"/>
  <c r="R61" i="101"/>
  <c r="R62" i="101"/>
  <c r="R63" i="101"/>
  <c r="R64" i="101"/>
  <c r="R65" i="101"/>
  <c r="R66" i="101"/>
  <c r="R67" i="101"/>
  <c r="R68" i="101"/>
  <c r="R69" i="101"/>
  <c r="R70" i="101"/>
  <c r="R71" i="101"/>
  <c r="R72" i="101"/>
  <c r="R73" i="101"/>
  <c r="R74" i="101"/>
  <c r="R75" i="101"/>
  <c r="R76" i="101"/>
  <c r="R77" i="101"/>
  <c r="R78" i="101"/>
  <c r="R79" i="101"/>
  <c r="R80" i="101"/>
  <c r="R81" i="101"/>
  <c r="R82" i="101"/>
  <c r="R83" i="101"/>
  <c r="R84" i="101"/>
  <c r="R85" i="101"/>
  <c r="R86" i="101"/>
  <c r="R87" i="101"/>
  <c r="R88" i="101"/>
  <c r="R89" i="101"/>
  <c r="R90" i="101"/>
  <c r="R91" i="101"/>
  <c r="R92" i="101"/>
  <c r="R93" i="101"/>
  <c r="R94" i="101"/>
  <c r="R95" i="101"/>
  <c r="R96" i="101"/>
  <c r="R97" i="101"/>
  <c r="R98" i="101"/>
  <c r="R99" i="101"/>
  <c r="R100" i="101"/>
  <c r="R101" i="101"/>
  <c r="R102" i="101"/>
  <c r="R103" i="101"/>
  <c r="R104" i="101"/>
  <c r="R105" i="101"/>
  <c r="R106" i="101"/>
  <c r="R107" i="101"/>
  <c r="R108" i="101"/>
  <c r="R109" i="101"/>
  <c r="R110" i="101"/>
  <c r="R111" i="101"/>
  <c r="R112" i="101"/>
  <c r="R113" i="101"/>
  <c r="R114" i="101"/>
  <c r="R115" i="101"/>
  <c r="R116" i="101"/>
  <c r="R117" i="101"/>
  <c r="R118" i="101"/>
  <c r="R119" i="101"/>
  <c r="R120" i="101"/>
  <c r="R121" i="101"/>
  <c r="R122" i="101"/>
  <c r="R123" i="101"/>
  <c r="R124" i="101"/>
  <c r="R125" i="101"/>
  <c r="R126" i="101"/>
  <c r="R127" i="101"/>
  <c r="R128" i="101"/>
  <c r="R129" i="101"/>
  <c r="R130" i="101"/>
  <c r="R131" i="101"/>
  <c r="R132" i="101"/>
  <c r="R133" i="101"/>
  <c r="R134" i="101"/>
  <c r="R135" i="101"/>
  <c r="R136" i="101"/>
  <c r="R137" i="101"/>
  <c r="R138" i="101"/>
  <c r="R139" i="101"/>
  <c r="R140" i="101"/>
  <c r="R141" i="101"/>
  <c r="R142" i="101"/>
  <c r="R143" i="101"/>
  <c r="R144" i="101"/>
  <c r="R145" i="101"/>
  <c r="R146" i="101"/>
  <c r="R147" i="101"/>
  <c r="R148" i="101"/>
  <c r="R149" i="101"/>
  <c r="R150" i="101"/>
  <c r="R151" i="101"/>
  <c r="R152" i="101"/>
  <c r="R153" i="101"/>
  <c r="R154" i="101"/>
  <c r="R155" i="101"/>
  <c r="R156" i="101"/>
  <c r="R157" i="101"/>
  <c r="R158" i="101"/>
  <c r="R159" i="101"/>
  <c r="R160" i="101"/>
  <c r="R161" i="101"/>
  <c r="R162" i="101"/>
  <c r="R163" i="101"/>
  <c r="R164" i="101"/>
  <c r="R165" i="101"/>
  <c r="R166" i="101"/>
  <c r="R167" i="101"/>
  <c r="R168" i="101"/>
  <c r="R169" i="101"/>
  <c r="R170" i="101"/>
  <c r="R171" i="101"/>
  <c r="R172" i="101"/>
  <c r="R173" i="101"/>
  <c r="R174" i="101"/>
  <c r="R175" i="101"/>
  <c r="R176" i="101"/>
  <c r="R177" i="101"/>
  <c r="R178" i="101"/>
  <c r="R179" i="101"/>
  <c r="R180" i="101"/>
  <c r="R181" i="101"/>
  <c r="R182" i="101"/>
  <c r="R183" i="101"/>
  <c r="R184" i="101"/>
  <c r="R185" i="101"/>
  <c r="R186" i="101"/>
  <c r="R187" i="101"/>
  <c r="R188" i="101"/>
  <c r="R189" i="101"/>
  <c r="R190" i="101"/>
  <c r="R191" i="101"/>
  <c r="R192" i="101"/>
  <c r="R193" i="101"/>
  <c r="R194" i="101"/>
  <c r="R195" i="101"/>
  <c r="R196" i="101"/>
  <c r="R197" i="101"/>
  <c r="R198" i="101"/>
  <c r="R199" i="101"/>
  <c r="R200" i="101"/>
  <c r="R201" i="101"/>
  <c r="R202" i="101"/>
  <c r="R203" i="101"/>
  <c r="R204" i="101"/>
  <c r="R205" i="101"/>
  <c r="R206" i="101"/>
  <c r="R207" i="101"/>
  <c r="R208" i="101"/>
  <c r="R9" i="101"/>
  <c r="S9" i="101"/>
  <c r="S10" i="100"/>
  <c r="S11" i="100"/>
  <c r="S12" i="100"/>
  <c r="S13" i="100"/>
  <c r="S14" i="100"/>
  <c r="S15" i="100"/>
  <c r="S16" i="100"/>
  <c r="S17" i="100"/>
  <c r="S19" i="100"/>
  <c r="S20" i="100"/>
  <c r="S21" i="100"/>
  <c r="S22" i="100"/>
  <c r="S23" i="100"/>
  <c r="S24" i="100"/>
  <c r="S25" i="100"/>
  <c r="S26" i="100"/>
  <c r="S27" i="100"/>
  <c r="S28" i="100"/>
  <c r="S29" i="100"/>
  <c r="S30" i="100"/>
  <c r="S31" i="100"/>
  <c r="S32" i="100"/>
  <c r="S33" i="100"/>
  <c r="S34" i="100"/>
  <c r="S35" i="100"/>
  <c r="S36" i="100"/>
  <c r="S37" i="100"/>
  <c r="S38" i="100"/>
  <c r="S39" i="100"/>
  <c r="S40" i="100"/>
  <c r="S41" i="100"/>
  <c r="S42" i="100"/>
  <c r="S43" i="100"/>
  <c r="S44" i="100"/>
  <c r="S45" i="100"/>
  <c r="S46" i="100"/>
  <c r="S47" i="100"/>
  <c r="S48" i="100"/>
  <c r="S49" i="100"/>
  <c r="S50" i="100"/>
  <c r="S51" i="100"/>
  <c r="S52" i="100"/>
  <c r="S53" i="100"/>
  <c r="S54" i="100"/>
  <c r="S55" i="100"/>
  <c r="S56" i="100"/>
  <c r="S57" i="100"/>
  <c r="S58" i="100"/>
  <c r="S59" i="100"/>
  <c r="S60" i="100"/>
  <c r="S61" i="100"/>
  <c r="S62" i="100"/>
  <c r="S63" i="100"/>
  <c r="S64" i="100"/>
  <c r="S65" i="100"/>
  <c r="S66" i="100"/>
  <c r="S67" i="100"/>
  <c r="S68" i="100"/>
  <c r="S69" i="100"/>
  <c r="S70" i="100"/>
  <c r="S71" i="100"/>
  <c r="S72" i="100"/>
  <c r="S73" i="100"/>
  <c r="S74" i="100"/>
  <c r="S75" i="100"/>
  <c r="S76" i="100"/>
  <c r="S77" i="100"/>
  <c r="S78" i="100"/>
  <c r="S79" i="100"/>
  <c r="S80" i="100"/>
  <c r="S81" i="100"/>
  <c r="S82" i="100"/>
  <c r="S83" i="100"/>
  <c r="S84" i="100"/>
  <c r="S85" i="100"/>
  <c r="S86" i="100"/>
  <c r="S87" i="100"/>
  <c r="S88" i="100"/>
  <c r="S89" i="100"/>
  <c r="S90" i="100"/>
  <c r="S91" i="100"/>
  <c r="S92" i="100"/>
  <c r="S93" i="100"/>
  <c r="S94" i="100"/>
  <c r="S95" i="100"/>
  <c r="S96" i="100"/>
  <c r="S97" i="100"/>
  <c r="S98" i="100"/>
  <c r="S99" i="100"/>
  <c r="S100" i="100"/>
  <c r="S101" i="100"/>
  <c r="S102" i="100"/>
  <c r="S103" i="100"/>
  <c r="S104" i="100"/>
  <c r="S105" i="100"/>
  <c r="S106" i="100"/>
  <c r="S107" i="100"/>
  <c r="S108" i="100"/>
  <c r="S109" i="100"/>
  <c r="S110" i="100"/>
  <c r="S111" i="100"/>
  <c r="S112" i="100"/>
  <c r="S113" i="100"/>
  <c r="S114" i="100"/>
  <c r="S115" i="100"/>
  <c r="S116" i="100"/>
  <c r="S117" i="100"/>
  <c r="S118" i="100"/>
  <c r="S119" i="100"/>
  <c r="S120" i="100"/>
  <c r="S121" i="100"/>
  <c r="S122" i="100"/>
  <c r="S123" i="100"/>
  <c r="S124" i="100"/>
  <c r="S125" i="100"/>
  <c r="S126" i="100"/>
  <c r="S127" i="100"/>
  <c r="S128" i="100"/>
  <c r="S129" i="100"/>
  <c r="S130" i="100"/>
  <c r="S131" i="100"/>
  <c r="S132" i="100"/>
  <c r="S133" i="100"/>
  <c r="S134" i="100"/>
  <c r="S135" i="100"/>
  <c r="S136" i="100"/>
  <c r="S137" i="100"/>
  <c r="S138" i="100"/>
  <c r="S139" i="100"/>
  <c r="S140" i="100"/>
  <c r="S141" i="100"/>
  <c r="S142" i="100"/>
  <c r="S143" i="100"/>
  <c r="S144" i="100"/>
  <c r="S145" i="100"/>
  <c r="S146" i="100"/>
  <c r="S147" i="100"/>
  <c r="S148" i="100"/>
  <c r="S149" i="100"/>
  <c r="S150" i="100"/>
  <c r="S151" i="100"/>
  <c r="S152" i="100"/>
  <c r="S153" i="100"/>
  <c r="S154" i="100"/>
  <c r="S155" i="100"/>
  <c r="S156" i="100"/>
  <c r="S157" i="100"/>
  <c r="S158" i="100"/>
  <c r="S159" i="100"/>
  <c r="S160" i="100"/>
  <c r="S161" i="100"/>
  <c r="S162" i="100"/>
  <c r="S163" i="100"/>
  <c r="S164" i="100"/>
  <c r="S165" i="100"/>
  <c r="S166" i="100"/>
  <c r="S167" i="100"/>
  <c r="S168" i="100"/>
  <c r="S169" i="100"/>
  <c r="S170" i="100"/>
  <c r="S171" i="100"/>
  <c r="S172" i="100"/>
  <c r="S173" i="100"/>
  <c r="S174" i="100"/>
  <c r="S175" i="100"/>
  <c r="S176" i="100"/>
  <c r="S177" i="100"/>
  <c r="S178" i="100"/>
  <c r="S179" i="100"/>
  <c r="S180" i="100"/>
  <c r="S181" i="100"/>
  <c r="S182" i="100"/>
  <c r="S183" i="100"/>
  <c r="S184" i="100"/>
  <c r="S185" i="100"/>
  <c r="S186" i="100"/>
  <c r="S187" i="100"/>
  <c r="S188" i="100"/>
  <c r="S189" i="100"/>
  <c r="S190" i="100"/>
  <c r="S191" i="100"/>
  <c r="S192" i="100"/>
  <c r="S193" i="100"/>
  <c r="S194" i="100"/>
  <c r="S195" i="100"/>
  <c r="S196" i="100"/>
  <c r="S197" i="100"/>
  <c r="S198" i="100"/>
  <c r="S199" i="100"/>
  <c r="S200" i="100"/>
  <c r="S201" i="100"/>
  <c r="S202" i="100"/>
  <c r="S203" i="100"/>
  <c r="S204" i="100"/>
  <c r="S205" i="100"/>
  <c r="S206" i="100"/>
  <c r="S207" i="100"/>
  <c r="S208" i="100"/>
  <c r="R10" i="100"/>
  <c r="R11" i="100"/>
  <c r="R12" i="100"/>
  <c r="R13" i="100"/>
  <c r="R14" i="100"/>
  <c r="R15" i="100"/>
  <c r="R16" i="100"/>
  <c r="R17" i="100"/>
  <c r="R19" i="100"/>
  <c r="R20" i="100"/>
  <c r="R21" i="100"/>
  <c r="R22" i="100"/>
  <c r="R23" i="100"/>
  <c r="R24" i="100"/>
  <c r="R25" i="100"/>
  <c r="R26" i="100"/>
  <c r="R27" i="100"/>
  <c r="R28" i="100"/>
  <c r="R29" i="100"/>
  <c r="R30" i="100"/>
  <c r="R31" i="100"/>
  <c r="R32" i="100"/>
  <c r="R33" i="100"/>
  <c r="R34" i="100"/>
  <c r="R35" i="100"/>
  <c r="R36" i="100"/>
  <c r="R37" i="100"/>
  <c r="R38" i="100"/>
  <c r="R39" i="100"/>
  <c r="R40" i="100"/>
  <c r="R41" i="100"/>
  <c r="R42" i="100"/>
  <c r="R43" i="100"/>
  <c r="R44" i="100"/>
  <c r="R45" i="100"/>
  <c r="R46" i="100"/>
  <c r="R47" i="100"/>
  <c r="R48" i="100"/>
  <c r="R49" i="100"/>
  <c r="R50" i="100"/>
  <c r="R51" i="100"/>
  <c r="R52" i="100"/>
  <c r="R53" i="100"/>
  <c r="R54" i="100"/>
  <c r="R55" i="100"/>
  <c r="R56" i="100"/>
  <c r="R57" i="100"/>
  <c r="R58" i="100"/>
  <c r="R59" i="100"/>
  <c r="R60" i="100"/>
  <c r="R61" i="100"/>
  <c r="R62" i="100"/>
  <c r="R63" i="100"/>
  <c r="R64" i="100"/>
  <c r="R65" i="100"/>
  <c r="R66" i="100"/>
  <c r="R67" i="100"/>
  <c r="R68" i="100"/>
  <c r="R69" i="100"/>
  <c r="R70" i="100"/>
  <c r="R71" i="100"/>
  <c r="R72" i="100"/>
  <c r="R73" i="100"/>
  <c r="R74" i="100"/>
  <c r="R75" i="100"/>
  <c r="R76" i="100"/>
  <c r="R77" i="100"/>
  <c r="R78" i="100"/>
  <c r="R79" i="100"/>
  <c r="R80" i="100"/>
  <c r="R81" i="100"/>
  <c r="R82" i="100"/>
  <c r="R83" i="100"/>
  <c r="R84" i="100"/>
  <c r="R85" i="100"/>
  <c r="R86" i="100"/>
  <c r="R87" i="100"/>
  <c r="R88" i="100"/>
  <c r="R89" i="100"/>
  <c r="R90" i="100"/>
  <c r="R91" i="100"/>
  <c r="R92" i="100"/>
  <c r="R93" i="100"/>
  <c r="R94" i="100"/>
  <c r="R95" i="100"/>
  <c r="R96" i="100"/>
  <c r="R97" i="100"/>
  <c r="R98" i="100"/>
  <c r="R99" i="100"/>
  <c r="R100" i="100"/>
  <c r="R101" i="100"/>
  <c r="R102" i="100"/>
  <c r="R103" i="100"/>
  <c r="R104" i="100"/>
  <c r="R105" i="100"/>
  <c r="R106" i="100"/>
  <c r="R107" i="100"/>
  <c r="R108" i="100"/>
  <c r="R109" i="100"/>
  <c r="R110" i="100"/>
  <c r="R111" i="100"/>
  <c r="R112" i="100"/>
  <c r="R113" i="100"/>
  <c r="R114" i="100"/>
  <c r="R115" i="100"/>
  <c r="R116" i="100"/>
  <c r="R117" i="100"/>
  <c r="R118" i="100"/>
  <c r="R119" i="100"/>
  <c r="R120" i="100"/>
  <c r="R121" i="100"/>
  <c r="R122" i="100"/>
  <c r="R123" i="100"/>
  <c r="R124" i="100"/>
  <c r="R125" i="100"/>
  <c r="R126" i="100"/>
  <c r="R127" i="100"/>
  <c r="R128" i="100"/>
  <c r="R129" i="100"/>
  <c r="R130" i="100"/>
  <c r="R131" i="100"/>
  <c r="R132" i="100"/>
  <c r="R133" i="100"/>
  <c r="R134" i="100"/>
  <c r="R135" i="100"/>
  <c r="R136" i="100"/>
  <c r="R137" i="100"/>
  <c r="R138" i="100"/>
  <c r="R139" i="100"/>
  <c r="R140" i="100"/>
  <c r="R141" i="100"/>
  <c r="R142" i="100"/>
  <c r="R143" i="100"/>
  <c r="R144" i="100"/>
  <c r="R145" i="100"/>
  <c r="R146" i="100"/>
  <c r="R147" i="100"/>
  <c r="R148" i="100"/>
  <c r="R149" i="100"/>
  <c r="R150" i="100"/>
  <c r="R151" i="100"/>
  <c r="R152" i="100"/>
  <c r="R153" i="100"/>
  <c r="R154" i="100"/>
  <c r="R155" i="100"/>
  <c r="R156" i="100"/>
  <c r="R157" i="100"/>
  <c r="R158" i="100"/>
  <c r="R159" i="100"/>
  <c r="R160" i="100"/>
  <c r="R161" i="100"/>
  <c r="R162" i="100"/>
  <c r="R163" i="100"/>
  <c r="R164" i="100"/>
  <c r="R165" i="100"/>
  <c r="R166" i="100"/>
  <c r="R167" i="100"/>
  <c r="R168" i="100"/>
  <c r="R169" i="100"/>
  <c r="R170" i="100"/>
  <c r="R171" i="100"/>
  <c r="R172" i="100"/>
  <c r="R173" i="100"/>
  <c r="R174" i="100"/>
  <c r="R175" i="100"/>
  <c r="R176" i="100"/>
  <c r="R177" i="100"/>
  <c r="R178" i="100"/>
  <c r="R179" i="100"/>
  <c r="R180" i="100"/>
  <c r="R181" i="100"/>
  <c r="R182" i="100"/>
  <c r="R183" i="100"/>
  <c r="R184" i="100"/>
  <c r="R185" i="100"/>
  <c r="R186" i="100"/>
  <c r="R187" i="100"/>
  <c r="R188" i="100"/>
  <c r="R189" i="100"/>
  <c r="R190" i="100"/>
  <c r="R191" i="100"/>
  <c r="R192" i="100"/>
  <c r="R193" i="100"/>
  <c r="R194" i="100"/>
  <c r="R195" i="100"/>
  <c r="R196" i="100"/>
  <c r="R197" i="100"/>
  <c r="R198" i="100"/>
  <c r="R199" i="100"/>
  <c r="R200" i="100"/>
  <c r="R201" i="100"/>
  <c r="R202" i="100"/>
  <c r="R203" i="100"/>
  <c r="R204" i="100"/>
  <c r="R205" i="100"/>
  <c r="R206" i="100"/>
  <c r="R207" i="100"/>
  <c r="R208" i="100"/>
  <c r="R9" i="100"/>
  <c r="S9" i="100"/>
  <c r="S12" i="99"/>
  <c r="S17" i="99"/>
  <c r="S18" i="99"/>
  <c r="S23" i="99"/>
  <c r="S24" i="99"/>
  <c r="S29" i="99"/>
  <c r="S33" i="99"/>
  <c r="S37" i="99"/>
  <c r="S38" i="99"/>
  <c r="S39" i="99"/>
  <c r="S40" i="99"/>
  <c r="S41" i="99"/>
  <c r="S42" i="99"/>
  <c r="S43" i="99"/>
  <c r="S44" i="99"/>
  <c r="S45" i="99"/>
  <c r="S46" i="99"/>
  <c r="S47" i="99"/>
  <c r="S48" i="99"/>
  <c r="S49" i="99"/>
  <c r="S50" i="99"/>
  <c r="S51" i="99"/>
  <c r="S52" i="99"/>
  <c r="S53" i="99"/>
  <c r="S54" i="99"/>
  <c r="S55" i="99"/>
  <c r="S56" i="99"/>
  <c r="S57" i="99"/>
  <c r="S58" i="99"/>
  <c r="S59" i="99"/>
  <c r="S60" i="99"/>
  <c r="S61" i="99"/>
  <c r="S62" i="99"/>
  <c r="S63" i="99"/>
  <c r="S64" i="99"/>
  <c r="S65" i="99"/>
  <c r="S66" i="99"/>
  <c r="S67" i="99"/>
  <c r="S68" i="99"/>
  <c r="S69" i="99"/>
  <c r="S70" i="99"/>
  <c r="S71" i="99"/>
  <c r="S72" i="99"/>
  <c r="S73" i="99"/>
  <c r="S74" i="99"/>
  <c r="S75" i="99"/>
  <c r="S76" i="99"/>
  <c r="S77" i="99"/>
  <c r="S78" i="99"/>
  <c r="S79" i="99"/>
  <c r="S80" i="99"/>
  <c r="S81" i="99"/>
  <c r="S82" i="99"/>
  <c r="S83" i="99"/>
  <c r="S84" i="99"/>
  <c r="S85" i="99"/>
  <c r="S86" i="99"/>
  <c r="S87" i="99"/>
  <c r="S88" i="99"/>
  <c r="S89" i="99"/>
  <c r="S90" i="99"/>
  <c r="S91" i="99"/>
  <c r="S92" i="99"/>
  <c r="S93" i="99"/>
  <c r="S94" i="99"/>
  <c r="S95" i="99"/>
  <c r="S96" i="99"/>
  <c r="S97" i="99"/>
  <c r="S98" i="99"/>
  <c r="S99" i="99"/>
  <c r="S100" i="99"/>
  <c r="S101" i="99"/>
  <c r="S102" i="99"/>
  <c r="S103" i="99"/>
  <c r="S104" i="99"/>
  <c r="S105" i="99"/>
  <c r="S106" i="99"/>
  <c r="S107" i="99"/>
  <c r="S108" i="99"/>
  <c r="S109" i="99"/>
  <c r="S110" i="99"/>
  <c r="S111" i="99"/>
  <c r="S112" i="99"/>
  <c r="S113" i="99"/>
  <c r="S114" i="99"/>
  <c r="S115" i="99"/>
  <c r="S116" i="99"/>
  <c r="S117" i="99"/>
  <c r="S118" i="99"/>
  <c r="S119" i="99"/>
  <c r="S120" i="99"/>
  <c r="S121" i="99"/>
  <c r="S122" i="99"/>
  <c r="S123" i="99"/>
  <c r="S124" i="99"/>
  <c r="S125" i="99"/>
  <c r="S126" i="99"/>
  <c r="S127" i="99"/>
  <c r="S128" i="99"/>
  <c r="S129" i="99"/>
  <c r="S130" i="99"/>
  <c r="S131" i="99"/>
  <c r="S132" i="99"/>
  <c r="S133" i="99"/>
  <c r="S134" i="99"/>
  <c r="S135" i="99"/>
  <c r="S136" i="99"/>
  <c r="S137" i="99"/>
  <c r="S138" i="99"/>
  <c r="S139" i="99"/>
  <c r="S140" i="99"/>
  <c r="S141" i="99"/>
  <c r="S142" i="99"/>
  <c r="S143" i="99"/>
  <c r="S144" i="99"/>
  <c r="S145" i="99"/>
  <c r="S146" i="99"/>
  <c r="S147" i="99"/>
  <c r="S148" i="99"/>
  <c r="S149" i="99"/>
  <c r="S150" i="99"/>
  <c r="S151" i="99"/>
  <c r="S152" i="99"/>
  <c r="S153" i="99"/>
  <c r="S154" i="99"/>
  <c r="S155" i="99"/>
  <c r="S156" i="99"/>
  <c r="S157" i="99"/>
  <c r="S158" i="99"/>
  <c r="S159" i="99"/>
  <c r="S160" i="99"/>
  <c r="S161" i="99"/>
  <c r="S162" i="99"/>
  <c r="S163" i="99"/>
  <c r="S164" i="99"/>
  <c r="S165" i="99"/>
  <c r="S166" i="99"/>
  <c r="S167" i="99"/>
  <c r="S168" i="99"/>
  <c r="S169" i="99"/>
  <c r="S170" i="99"/>
  <c r="S171" i="99"/>
  <c r="S172" i="99"/>
  <c r="S173" i="99"/>
  <c r="S174" i="99"/>
  <c r="S175" i="99"/>
  <c r="S176" i="99"/>
  <c r="S177" i="99"/>
  <c r="S178" i="99"/>
  <c r="S179" i="99"/>
  <c r="S180" i="99"/>
  <c r="S181" i="99"/>
  <c r="S182" i="99"/>
  <c r="S183" i="99"/>
  <c r="S184" i="99"/>
  <c r="S185" i="99"/>
  <c r="S186" i="99"/>
  <c r="S187" i="99"/>
  <c r="S188" i="99"/>
  <c r="S189" i="99"/>
  <c r="S190" i="99"/>
  <c r="S191" i="99"/>
  <c r="S192" i="99"/>
  <c r="S193" i="99"/>
  <c r="S194" i="99"/>
  <c r="S195" i="99"/>
  <c r="S196" i="99"/>
  <c r="S197" i="99"/>
  <c r="S198" i="99"/>
  <c r="S199" i="99"/>
  <c r="S200" i="99"/>
  <c r="S201" i="99"/>
  <c r="S202" i="99"/>
  <c r="S203" i="99"/>
  <c r="S204" i="99"/>
  <c r="S205" i="99"/>
  <c r="S206" i="99"/>
  <c r="S207" i="99"/>
  <c r="S208" i="99"/>
  <c r="R12" i="99"/>
  <c r="R17" i="99"/>
  <c r="R18" i="99"/>
  <c r="R23" i="99"/>
  <c r="R24" i="99"/>
  <c r="R29" i="99"/>
  <c r="R33" i="99"/>
  <c r="R37" i="99"/>
  <c r="R39" i="99"/>
  <c r="R40" i="99"/>
  <c r="R41" i="99"/>
  <c r="R42" i="99"/>
  <c r="R43" i="99"/>
  <c r="R44" i="99"/>
  <c r="R45" i="99"/>
  <c r="R46" i="99"/>
  <c r="R47" i="99"/>
  <c r="R48" i="99"/>
  <c r="R49" i="99"/>
  <c r="R50" i="99"/>
  <c r="R51" i="99"/>
  <c r="R52" i="99"/>
  <c r="R53" i="99"/>
  <c r="R54" i="99"/>
  <c r="R55" i="99"/>
  <c r="R56" i="99"/>
  <c r="R57" i="99"/>
  <c r="R58" i="99"/>
  <c r="R59" i="99"/>
  <c r="R60" i="99"/>
  <c r="R61" i="99"/>
  <c r="R62" i="99"/>
  <c r="R63" i="99"/>
  <c r="R64" i="99"/>
  <c r="R65" i="99"/>
  <c r="R66" i="99"/>
  <c r="R67" i="99"/>
  <c r="R68" i="99"/>
  <c r="R69" i="99"/>
  <c r="R70" i="99"/>
  <c r="R71" i="99"/>
  <c r="R72" i="99"/>
  <c r="R73" i="99"/>
  <c r="R74" i="99"/>
  <c r="R75" i="99"/>
  <c r="R76" i="99"/>
  <c r="R77" i="99"/>
  <c r="R78" i="99"/>
  <c r="R79" i="99"/>
  <c r="R80" i="99"/>
  <c r="R81" i="99"/>
  <c r="R82" i="99"/>
  <c r="R83" i="99"/>
  <c r="R84" i="99"/>
  <c r="R85" i="99"/>
  <c r="R86" i="99"/>
  <c r="R87" i="99"/>
  <c r="R88" i="99"/>
  <c r="R89" i="99"/>
  <c r="R90" i="99"/>
  <c r="R91" i="99"/>
  <c r="R92" i="99"/>
  <c r="R93" i="99"/>
  <c r="R94" i="99"/>
  <c r="R95" i="99"/>
  <c r="R96" i="99"/>
  <c r="R97" i="99"/>
  <c r="R98" i="99"/>
  <c r="R99" i="99"/>
  <c r="R100" i="99"/>
  <c r="R101" i="99"/>
  <c r="R102" i="99"/>
  <c r="R103" i="99"/>
  <c r="R104" i="99"/>
  <c r="R105" i="99"/>
  <c r="R106" i="99"/>
  <c r="R107" i="99"/>
  <c r="R108" i="99"/>
  <c r="R109" i="99"/>
  <c r="R110" i="99"/>
  <c r="R111" i="99"/>
  <c r="R112" i="99"/>
  <c r="R113" i="99"/>
  <c r="R114" i="99"/>
  <c r="R115" i="99"/>
  <c r="R116" i="99"/>
  <c r="R117" i="99"/>
  <c r="R118" i="99"/>
  <c r="R119" i="99"/>
  <c r="R120" i="99"/>
  <c r="R121" i="99"/>
  <c r="R122" i="99"/>
  <c r="R123" i="99"/>
  <c r="R124" i="99"/>
  <c r="R125" i="99"/>
  <c r="R126" i="99"/>
  <c r="R127" i="99"/>
  <c r="R128" i="99"/>
  <c r="R129" i="99"/>
  <c r="R130" i="99"/>
  <c r="R131" i="99"/>
  <c r="R132" i="99"/>
  <c r="R133" i="99"/>
  <c r="R134" i="99"/>
  <c r="R135" i="99"/>
  <c r="R136" i="99"/>
  <c r="R137" i="99"/>
  <c r="R138" i="99"/>
  <c r="R139" i="99"/>
  <c r="R140" i="99"/>
  <c r="R141" i="99"/>
  <c r="R142" i="99"/>
  <c r="R143" i="99"/>
  <c r="R144" i="99"/>
  <c r="R145" i="99"/>
  <c r="R146" i="99"/>
  <c r="R147" i="99"/>
  <c r="R148" i="99"/>
  <c r="R149" i="99"/>
  <c r="R150" i="99"/>
  <c r="R151" i="99"/>
  <c r="R152" i="99"/>
  <c r="R153" i="99"/>
  <c r="R154" i="99"/>
  <c r="R155" i="99"/>
  <c r="R156" i="99"/>
  <c r="R157" i="99"/>
  <c r="R158" i="99"/>
  <c r="R159" i="99"/>
  <c r="R160" i="99"/>
  <c r="R161" i="99"/>
  <c r="R162" i="99"/>
  <c r="R163" i="99"/>
  <c r="R164" i="99"/>
  <c r="R165" i="99"/>
  <c r="R166" i="99"/>
  <c r="R167" i="99"/>
  <c r="R168" i="99"/>
  <c r="R169" i="99"/>
  <c r="R170" i="99"/>
  <c r="R171" i="99"/>
  <c r="R172" i="99"/>
  <c r="R173" i="99"/>
  <c r="R174" i="99"/>
  <c r="R175" i="99"/>
  <c r="R176" i="99"/>
  <c r="R177" i="99"/>
  <c r="R178" i="99"/>
  <c r="R179" i="99"/>
  <c r="R180" i="99"/>
  <c r="R181" i="99"/>
  <c r="R182" i="99"/>
  <c r="R183" i="99"/>
  <c r="R184" i="99"/>
  <c r="R185" i="99"/>
  <c r="R186" i="99"/>
  <c r="R187" i="99"/>
  <c r="R188" i="99"/>
  <c r="R189" i="99"/>
  <c r="R190" i="99"/>
  <c r="R191" i="99"/>
  <c r="R192" i="99"/>
  <c r="R193" i="99"/>
  <c r="R194" i="99"/>
  <c r="R195" i="99"/>
  <c r="R196" i="99"/>
  <c r="R197" i="99"/>
  <c r="R198" i="99"/>
  <c r="R199" i="99"/>
  <c r="R200" i="99"/>
  <c r="R201" i="99"/>
  <c r="R202" i="99"/>
  <c r="R203" i="99"/>
  <c r="R204" i="99"/>
  <c r="R205" i="99"/>
  <c r="R206" i="99"/>
  <c r="R207" i="99"/>
  <c r="R208" i="99"/>
  <c r="S10" i="97"/>
  <c r="S11" i="97"/>
  <c r="S12" i="97"/>
  <c r="S13" i="97"/>
  <c r="S14" i="97"/>
  <c r="S15" i="97"/>
  <c r="S16" i="97"/>
  <c r="S17" i="97"/>
  <c r="S18" i="97"/>
  <c r="S19" i="97"/>
  <c r="S20" i="97"/>
  <c r="S21" i="97"/>
  <c r="S22" i="97"/>
  <c r="S23" i="97"/>
  <c r="S24" i="97"/>
  <c r="S25" i="97"/>
  <c r="S26" i="97"/>
  <c r="S27" i="97"/>
  <c r="S28" i="97"/>
  <c r="S29" i="97"/>
  <c r="S30" i="97"/>
  <c r="S31" i="97"/>
  <c r="S32" i="97"/>
  <c r="S33" i="97"/>
  <c r="S34" i="97"/>
  <c r="S35" i="97"/>
  <c r="S36" i="97"/>
  <c r="S37" i="97"/>
  <c r="S38" i="97"/>
  <c r="S39" i="97"/>
  <c r="S40" i="97"/>
  <c r="S41" i="97"/>
  <c r="S42" i="97"/>
  <c r="S43" i="97"/>
  <c r="S44" i="97"/>
  <c r="S45" i="97"/>
  <c r="S46" i="97"/>
  <c r="S47" i="97"/>
  <c r="S48" i="97"/>
  <c r="S49" i="97"/>
  <c r="S50" i="97"/>
  <c r="S51" i="97"/>
  <c r="S52" i="97"/>
  <c r="S53" i="97"/>
  <c r="S54" i="97"/>
  <c r="S55" i="97"/>
  <c r="S56" i="97"/>
  <c r="S57" i="97"/>
  <c r="S58" i="97"/>
  <c r="S59" i="97"/>
  <c r="S60" i="97"/>
  <c r="S61" i="97"/>
  <c r="S62" i="97"/>
  <c r="S63" i="97"/>
  <c r="S64" i="97"/>
  <c r="S65" i="97"/>
  <c r="S66" i="97"/>
  <c r="S67" i="97"/>
  <c r="S68" i="97"/>
  <c r="S69" i="97"/>
  <c r="S70" i="97"/>
  <c r="S71" i="97"/>
  <c r="S72" i="97"/>
  <c r="S73" i="97"/>
  <c r="S74" i="97"/>
  <c r="S75" i="97"/>
  <c r="S76" i="97"/>
  <c r="S77" i="97"/>
  <c r="S78" i="97"/>
  <c r="S79" i="97"/>
  <c r="S80" i="97"/>
  <c r="S81" i="97"/>
  <c r="S82" i="97"/>
  <c r="S83" i="97"/>
  <c r="S84" i="97"/>
  <c r="S85" i="97"/>
  <c r="S86" i="97"/>
  <c r="S87" i="97"/>
  <c r="S88" i="97"/>
  <c r="S89" i="97"/>
  <c r="S90" i="97"/>
  <c r="S91" i="97"/>
  <c r="S92" i="97"/>
  <c r="S93" i="97"/>
  <c r="S94" i="97"/>
  <c r="S95" i="97"/>
  <c r="S96" i="97"/>
  <c r="S97" i="97"/>
  <c r="S98" i="97"/>
  <c r="D4" i="97"/>
  <c r="E28" i="126" a="1"/>
  <c r="E28" i="126" s="1"/>
  <c r="S99" i="97"/>
  <c r="S100" i="97"/>
  <c r="S101" i="97"/>
  <c r="S102" i="97"/>
  <c r="S103" i="97"/>
  <c r="S104" i="97"/>
  <c r="S105" i="97"/>
  <c r="S106" i="97"/>
  <c r="S107" i="97"/>
  <c r="S108" i="97"/>
  <c r="S109" i="97"/>
  <c r="S110" i="97"/>
  <c r="S111" i="97"/>
  <c r="S112" i="97"/>
  <c r="S113" i="97"/>
  <c r="S114" i="97"/>
  <c r="S115" i="97"/>
  <c r="S116" i="97"/>
  <c r="S117" i="97"/>
  <c r="S118" i="97"/>
  <c r="S119" i="97"/>
  <c r="S120" i="97"/>
  <c r="S121" i="97"/>
  <c r="S122" i="97"/>
  <c r="S123" i="97"/>
  <c r="S124" i="97"/>
  <c r="S125" i="97"/>
  <c r="S126" i="97"/>
  <c r="S127" i="97"/>
  <c r="S128" i="97"/>
  <c r="S129" i="97"/>
  <c r="S130" i="97"/>
  <c r="S131" i="97"/>
  <c r="S132" i="97"/>
  <c r="S133" i="97"/>
  <c r="S134" i="97"/>
  <c r="S135" i="97"/>
  <c r="S136" i="97"/>
  <c r="S137" i="97"/>
  <c r="S138" i="97"/>
  <c r="S139" i="97"/>
  <c r="S140" i="97"/>
  <c r="S141" i="97"/>
  <c r="S142" i="97"/>
  <c r="S143" i="97"/>
  <c r="S144" i="97"/>
  <c r="S145" i="97"/>
  <c r="S146" i="97"/>
  <c r="S147" i="97"/>
  <c r="S148" i="97"/>
  <c r="S149" i="97"/>
  <c r="S150" i="97"/>
  <c r="S151" i="97"/>
  <c r="S152" i="97"/>
  <c r="S153" i="97"/>
  <c r="S154" i="97"/>
  <c r="S155" i="97"/>
  <c r="S156" i="97"/>
  <c r="S157" i="97"/>
  <c r="S158" i="97"/>
  <c r="S159" i="97"/>
  <c r="S160" i="97"/>
  <c r="S161" i="97"/>
  <c r="S162" i="97"/>
  <c r="S163" i="97"/>
  <c r="S164" i="97"/>
  <c r="S165" i="97"/>
  <c r="S166" i="97"/>
  <c r="S167" i="97"/>
  <c r="S168" i="97"/>
  <c r="S169" i="97"/>
  <c r="S170" i="97"/>
  <c r="S171" i="97"/>
  <c r="S172" i="97"/>
  <c r="S173" i="97"/>
  <c r="S174" i="97"/>
  <c r="S175" i="97"/>
  <c r="S176" i="97"/>
  <c r="S177" i="97"/>
  <c r="S178" i="97"/>
  <c r="S179" i="97"/>
  <c r="S180" i="97"/>
  <c r="S181" i="97"/>
  <c r="S182" i="97"/>
  <c r="S183" i="97"/>
  <c r="S184" i="97"/>
  <c r="S185" i="97"/>
  <c r="S186" i="97"/>
  <c r="S187" i="97"/>
  <c r="S188" i="97"/>
  <c r="S189" i="97"/>
  <c r="S190" i="97"/>
  <c r="S191" i="97"/>
  <c r="S192" i="97"/>
  <c r="S193" i="97"/>
  <c r="S194" i="97"/>
  <c r="S195" i="97"/>
  <c r="S196" i="97"/>
  <c r="S197" i="97"/>
  <c r="S198" i="97"/>
  <c r="S199" i="97"/>
  <c r="S200" i="97"/>
  <c r="S201" i="97"/>
  <c r="S202" i="97"/>
  <c r="S203" i="97"/>
  <c r="S204" i="97"/>
  <c r="S205" i="97"/>
  <c r="S206" i="97"/>
  <c r="S207" i="97"/>
  <c r="S208" i="97"/>
  <c r="R10" i="97"/>
  <c r="R11" i="97"/>
  <c r="R12" i="97"/>
  <c r="R13" i="97"/>
  <c r="R14" i="97"/>
  <c r="R15" i="97"/>
  <c r="R16" i="97"/>
  <c r="R17" i="97"/>
  <c r="R18" i="97"/>
  <c r="R19" i="97"/>
  <c r="R20" i="97"/>
  <c r="R21" i="97"/>
  <c r="R22" i="97"/>
  <c r="R23" i="97"/>
  <c r="R24" i="97"/>
  <c r="R25" i="97"/>
  <c r="R26" i="97"/>
  <c r="R27" i="97"/>
  <c r="R28" i="97"/>
  <c r="R29" i="97"/>
  <c r="R30" i="97"/>
  <c r="R31" i="97"/>
  <c r="R32" i="97"/>
  <c r="R33" i="97"/>
  <c r="R34" i="97"/>
  <c r="R35" i="97"/>
  <c r="R36" i="97"/>
  <c r="R37" i="97"/>
  <c r="R38" i="97"/>
  <c r="R39" i="97"/>
  <c r="R40" i="97"/>
  <c r="R41" i="97"/>
  <c r="R42" i="97"/>
  <c r="R43" i="97"/>
  <c r="R44" i="97"/>
  <c r="R45" i="97"/>
  <c r="R46" i="97"/>
  <c r="R47" i="97"/>
  <c r="R48" i="97"/>
  <c r="R49" i="97"/>
  <c r="R50" i="97"/>
  <c r="R51" i="97"/>
  <c r="R52" i="97"/>
  <c r="R53" i="97"/>
  <c r="R54" i="97"/>
  <c r="R55" i="97"/>
  <c r="R56" i="97"/>
  <c r="R57" i="97"/>
  <c r="R58" i="97"/>
  <c r="R59" i="97"/>
  <c r="R60" i="97"/>
  <c r="R61" i="97"/>
  <c r="R62" i="97"/>
  <c r="R63" i="97"/>
  <c r="R64" i="97"/>
  <c r="R65" i="97"/>
  <c r="R66" i="97"/>
  <c r="R67" i="97"/>
  <c r="R68" i="97"/>
  <c r="R69" i="97"/>
  <c r="R70" i="97"/>
  <c r="R71" i="97"/>
  <c r="R72" i="97"/>
  <c r="R73" i="97"/>
  <c r="R74" i="97"/>
  <c r="R75" i="97"/>
  <c r="R76" i="97"/>
  <c r="R77" i="97"/>
  <c r="R78" i="97"/>
  <c r="R79" i="97"/>
  <c r="R80" i="97"/>
  <c r="R81" i="97"/>
  <c r="R82" i="97"/>
  <c r="R83" i="97"/>
  <c r="R84" i="97"/>
  <c r="R85" i="97"/>
  <c r="R86" i="97"/>
  <c r="R87" i="97"/>
  <c r="R88" i="97"/>
  <c r="R89" i="97"/>
  <c r="R90" i="97"/>
  <c r="R91" i="97"/>
  <c r="R92" i="97"/>
  <c r="R93" i="97"/>
  <c r="R94" i="97"/>
  <c r="R95" i="97"/>
  <c r="R96" i="97"/>
  <c r="R97" i="97"/>
  <c r="R98" i="97"/>
  <c r="R99" i="97"/>
  <c r="R100" i="97"/>
  <c r="R101" i="97"/>
  <c r="R102" i="97"/>
  <c r="R103" i="97"/>
  <c r="R104" i="97"/>
  <c r="R105" i="97"/>
  <c r="R106" i="97"/>
  <c r="R107" i="97"/>
  <c r="R108" i="97"/>
  <c r="R109" i="97"/>
  <c r="R110" i="97"/>
  <c r="R111" i="97"/>
  <c r="R112" i="97"/>
  <c r="R113" i="97"/>
  <c r="R114" i="97"/>
  <c r="R115" i="97"/>
  <c r="R116" i="97"/>
  <c r="R117" i="97"/>
  <c r="R118" i="97"/>
  <c r="R119" i="97"/>
  <c r="R120" i="97"/>
  <c r="R121" i="97"/>
  <c r="R122" i="97"/>
  <c r="R123" i="97"/>
  <c r="R124" i="97"/>
  <c r="R125" i="97"/>
  <c r="R126" i="97"/>
  <c r="R127" i="97"/>
  <c r="R128" i="97"/>
  <c r="R129" i="97"/>
  <c r="R130" i="97"/>
  <c r="R131" i="97"/>
  <c r="R132" i="97"/>
  <c r="R133" i="97"/>
  <c r="R134" i="97"/>
  <c r="R135" i="97"/>
  <c r="R136" i="97"/>
  <c r="R137" i="97"/>
  <c r="R138" i="97"/>
  <c r="R139" i="97"/>
  <c r="R140" i="97"/>
  <c r="R141" i="97"/>
  <c r="R142" i="97"/>
  <c r="R143" i="97"/>
  <c r="R144" i="97"/>
  <c r="R145" i="97"/>
  <c r="R146" i="97"/>
  <c r="R147" i="97"/>
  <c r="R148" i="97"/>
  <c r="R149" i="97"/>
  <c r="R150" i="97"/>
  <c r="R151" i="97"/>
  <c r="R152" i="97"/>
  <c r="R153" i="97"/>
  <c r="R154" i="97"/>
  <c r="R155" i="97"/>
  <c r="R156" i="97"/>
  <c r="R157" i="97"/>
  <c r="R158" i="97"/>
  <c r="R159" i="97"/>
  <c r="R160" i="97"/>
  <c r="R161" i="97"/>
  <c r="R162" i="97"/>
  <c r="R163" i="97"/>
  <c r="R164" i="97"/>
  <c r="R165" i="97"/>
  <c r="R166" i="97"/>
  <c r="R167" i="97"/>
  <c r="R168" i="97"/>
  <c r="R169" i="97"/>
  <c r="R170" i="97"/>
  <c r="R171" i="97"/>
  <c r="R172" i="97"/>
  <c r="R173" i="97"/>
  <c r="R174" i="97"/>
  <c r="R175" i="97"/>
  <c r="R176" i="97"/>
  <c r="R177" i="97"/>
  <c r="R178" i="97"/>
  <c r="R179" i="97"/>
  <c r="R180" i="97"/>
  <c r="R181" i="97"/>
  <c r="R182" i="97"/>
  <c r="R183" i="97"/>
  <c r="R184" i="97"/>
  <c r="R185" i="97"/>
  <c r="R186" i="97"/>
  <c r="R187" i="97"/>
  <c r="R188" i="97"/>
  <c r="R189" i="97"/>
  <c r="R190" i="97"/>
  <c r="R191" i="97"/>
  <c r="R192" i="97"/>
  <c r="R193" i="97"/>
  <c r="R194" i="97"/>
  <c r="R195" i="97"/>
  <c r="R196" i="97"/>
  <c r="R197" i="97"/>
  <c r="R198" i="97"/>
  <c r="R199" i="97"/>
  <c r="R200" i="97"/>
  <c r="R201" i="97"/>
  <c r="R202" i="97"/>
  <c r="R203" i="97"/>
  <c r="R204" i="97"/>
  <c r="R205" i="97"/>
  <c r="R206" i="97"/>
  <c r="R207" i="97"/>
  <c r="R208" i="97"/>
  <c r="S9" i="97"/>
  <c r="S9" i="98"/>
  <c r="R9" i="97"/>
  <c r="R9" i="98"/>
  <c r="S10" i="98"/>
  <c r="S11" i="98"/>
  <c r="S12" i="98"/>
  <c r="S13" i="98"/>
  <c r="S14" i="98"/>
  <c r="S15" i="98"/>
  <c r="S16" i="98"/>
  <c r="S17" i="98"/>
  <c r="S18" i="98"/>
  <c r="S21" i="98"/>
  <c r="S22" i="98"/>
  <c r="S23" i="98"/>
  <c r="S25" i="98"/>
  <c r="S26" i="98"/>
  <c r="S29" i="98"/>
  <c r="S30" i="98"/>
  <c r="S33" i="98"/>
  <c r="S34" i="98"/>
  <c r="S35" i="98"/>
  <c r="S36" i="98"/>
  <c r="S37" i="98"/>
  <c r="S38" i="98"/>
  <c r="S39" i="98"/>
  <c r="S40" i="98"/>
  <c r="S41" i="98"/>
  <c r="S42" i="98"/>
  <c r="S43" i="98"/>
  <c r="S44" i="98"/>
  <c r="S45" i="98"/>
  <c r="S46" i="98"/>
  <c r="S47" i="98"/>
  <c r="S48" i="98"/>
  <c r="S49" i="98"/>
  <c r="S50" i="98"/>
  <c r="S51" i="98"/>
  <c r="S52" i="98"/>
  <c r="S53" i="98"/>
  <c r="S54" i="98"/>
  <c r="S55" i="98"/>
  <c r="S56" i="98"/>
  <c r="S57" i="98"/>
  <c r="S58" i="98"/>
  <c r="S59" i="98"/>
  <c r="S60" i="98"/>
  <c r="S61" i="98"/>
  <c r="S62" i="98"/>
  <c r="S63" i="98"/>
  <c r="S64" i="98"/>
  <c r="S65" i="98"/>
  <c r="S66" i="98"/>
  <c r="S67" i="98"/>
  <c r="S68" i="98"/>
  <c r="S69" i="98"/>
  <c r="S70" i="98"/>
  <c r="S71" i="98"/>
  <c r="S72" i="98"/>
  <c r="S73" i="98"/>
  <c r="S74" i="98"/>
  <c r="S75" i="98"/>
  <c r="S76" i="98"/>
  <c r="S77" i="98"/>
  <c r="S78" i="98"/>
  <c r="S79" i="98"/>
  <c r="S80" i="98"/>
  <c r="S81" i="98"/>
  <c r="S82" i="98"/>
  <c r="S83" i="98"/>
  <c r="S84" i="98"/>
  <c r="S85" i="98"/>
  <c r="S86" i="98"/>
  <c r="S87" i="98"/>
  <c r="S88" i="98"/>
  <c r="S89" i="98"/>
  <c r="S90" i="98"/>
  <c r="S91" i="98"/>
  <c r="S92" i="98"/>
  <c r="S93" i="98"/>
  <c r="S94" i="98"/>
  <c r="S95" i="98"/>
  <c r="S96" i="98"/>
  <c r="S97" i="98"/>
  <c r="S98" i="98"/>
  <c r="S99" i="98"/>
  <c r="S100" i="98"/>
  <c r="S101" i="98"/>
  <c r="S102" i="98"/>
  <c r="S103" i="98"/>
  <c r="S104" i="98"/>
  <c r="S105" i="98"/>
  <c r="S106" i="98"/>
  <c r="S107" i="98"/>
  <c r="S108" i="98"/>
  <c r="S109" i="98"/>
  <c r="S110" i="98"/>
  <c r="S111" i="98"/>
  <c r="S112" i="98"/>
  <c r="S113" i="98"/>
  <c r="S114" i="98"/>
  <c r="S115" i="98"/>
  <c r="S116" i="98"/>
  <c r="S117" i="98"/>
  <c r="S118" i="98"/>
  <c r="S119" i="98"/>
  <c r="S120" i="98"/>
  <c r="S121" i="98"/>
  <c r="S122" i="98"/>
  <c r="S123" i="98"/>
  <c r="S124" i="98"/>
  <c r="S125" i="98"/>
  <c r="S126" i="98"/>
  <c r="S127" i="98"/>
  <c r="S128" i="98"/>
  <c r="S129" i="98"/>
  <c r="S130" i="98"/>
  <c r="S131" i="98"/>
  <c r="S132" i="98"/>
  <c r="S133" i="98"/>
  <c r="S134" i="98"/>
  <c r="S135" i="98"/>
  <c r="S136" i="98"/>
  <c r="S137" i="98"/>
  <c r="S138" i="98"/>
  <c r="S139" i="98"/>
  <c r="S140" i="98"/>
  <c r="S141" i="98"/>
  <c r="S142" i="98"/>
  <c r="S143" i="98"/>
  <c r="S144" i="98"/>
  <c r="S145" i="98"/>
  <c r="S146" i="98"/>
  <c r="S147" i="98"/>
  <c r="S148" i="98"/>
  <c r="S149" i="98"/>
  <c r="S150" i="98"/>
  <c r="S151" i="98"/>
  <c r="S152" i="98"/>
  <c r="S153" i="98"/>
  <c r="S154" i="98"/>
  <c r="S155" i="98"/>
  <c r="S156" i="98"/>
  <c r="S157" i="98"/>
  <c r="S158" i="98"/>
  <c r="S159" i="98"/>
  <c r="S160" i="98"/>
  <c r="S161" i="98"/>
  <c r="S162" i="98"/>
  <c r="S163" i="98"/>
  <c r="S164" i="98"/>
  <c r="S165" i="98"/>
  <c r="S166" i="98"/>
  <c r="S167" i="98"/>
  <c r="S168" i="98"/>
  <c r="S169" i="98"/>
  <c r="S170" i="98"/>
  <c r="S171" i="98"/>
  <c r="S172" i="98"/>
  <c r="S173" i="98"/>
  <c r="S174" i="98"/>
  <c r="S175" i="98"/>
  <c r="S176" i="98"/>
  <c r="S177" i="98"/>
  <c r="S178" i="98"/>
  <c r="S179" i="98"/>
  <c r="S180" i="98"/>
  <c r="S181" i="98"/>
  <c r="S182" i="98"/>
  <c r="S183" i="98"/>
  <c r="S184" i="98"/>
  <c r="S185" i="98"/>
  <c r="S186" i="98"/>
  <c r="S187" i="98"/>
  <c r="S188" i="98"/>
  <c r="S189" i="98"/>
  <c r="S190" i="98"/>
  <c r="S191" i="98"/>
  <c r="S192" i="98"/>
  <c r="S193" i="98"/>
  <c r="S194" i="98"/>
  <c r="S195" i="98"/>
  <c r="S196" i="98"/>
  <c r="S197" i="98"/>
  <c r="S198" i="98"/>
  <c r="S199" i="98"/>
  <c r="S200" i="98"/>
  <c r="S201" i="98"/>
  <c r="S202" i="98"/>
  <c r="S203" i="98"/>
  <c r="S204" i="98"/>
  <c r="S205" i="98"/>
  <c r="S206" i="98"/>
  <c r="S207" i="98"/>
  <c r="S208" i="98"/>
  <c r="R10" i="98"/>
  <c r="R11" i="98"/>
  <c r="R12" i="98"/>
  <c r="R13" i="98"/>
  <c r="R14" i="98"/>
  <c r="R15" i="98"/>
  <c r="R16" i="98"/>
  <c r="R17" i="98"/>
  <c r="R18" i="98"/>
  <c r="R21" i="98"/>
  <c r="R22" i="98"/>
  <c r="R23" i="98"/>
  <c r="R25" i="98"/>
  <c r="R26" i="98"/>
  <c r="R33" i="98"/>
  <c r="R34" i="98"/>
  <c r="R35" i="98"/>
  <c r="R36" i="98"/>
  <c r="R37" i="98"/>
  <c r="R38" i="98"/>
  <c r="R39" i="98"/>
  <c r="R40" i="98"/>
  <c r="R41" i="98"/>
  <c r="R42" i="98"/>
  <c r="R43" i="98"/>
  <c r="R44" i="98"/>
  <c r="R45" i="98"/>
  <c r="R46" i="98"/>
  <c r="R47" i="98"/>
  <c r="R48" i="98"/>
  <c r="R49" i="98"/>
  <c r="R50" i="98"/>
  <c r="R51" i="98"/>
  <c r="R52" i="98"/>
  <c r="R53" i="98"/>
  <c r="R54" i="98"/>
  <c r="R55" i="98"/>
  <c r="R56" i="98"/>
  <c r="R57" i="98"/>
  <c r="R58" i="98"/>
  <c r="R59" i="98"/>
  <c r="R60" i="98"/>
  <c r="R61" i="98"/>
  <c r="R62" i="98"/>
  <c r="R63" i="98"/>
  <c r="R64" i="98"/>
  <c r="R65" i="98"/>
  <c r="R66" i="98"/>
  <c r="R67" i="98"/>
  <c r="R68" i="98"/>
  <c r="R69" i="98"/>
  <c r="R70" i="98"/>
  <c r="R71" i="98"/>
  <c r="R72" i="98"/>
  <c r="R73" i="98"/>
  <c r="R74" i="98"/>
  <c r="R75" i="98"/>
  <c r="R76" i="98"/>
  <c r="R77" i="98"/>
  <c r="R78" i="98"/>
  <c r="R79" i="98"/>
  <c r="R80" i="98"/>
  <c r="R81" i="98"/>
  <c r="R82" i="98"/>
  <c r="R83" i="98"/>
  <c r="R84" i="98"/>
  <c r="R85" i="98"/>
  <c r="R86" i="98"/>
  <c r="R87" i="98"/>
  <c r="R88" i="98"/>
  <c r="R89" i="98"/>
  <c r="R90" i="98"/>
  <c r="R91" i="98"/>
  <c r="R92" i="98"/>
  <c r="R93" i="98"/>
  <c r="R94" i="98"/>
  <c r="R95" i="98"/>
  <c r="R96" i="98"/>
  <c r="R97" i="98"/>
  <c r="R98" i="98"/>
  <c r="R99" i="98"/>
  <c r="R100" i="98"/>
  <c r="R101" i="98"/>
  <c r="R102" i="98"/>
  <c r="R103" i="98"/>
  <c r="R104" i="98"/>
  <c r="R105" i="98"/>
  <c r="R106" i="98"/>
  <c r="R107" i="98"/>
  <c r="R108" i="98"/>
  <c r="R109" i="98"/>
  <c r="R110" i="98"/>
  <c r="R111" i="98"/>
  <c r="R112" i="98"/>
  <c r="R113" i="98"/>
  <c r="R114" i="98"/>
  <c r="R115" i="98"/>
  <c r="R116" i="98"/>
  <c r="R117" i="98"/>
  <c r="R118" i="98"/>
  <c r="R119" i="98"/>
  <c r="R120" i="98"/>
  <c r="R121" i="98"/>
  <c r="R122" i="98"/>
  <c r="R123" i="98"/>
  <c r="R124" i="98"/>
  <c r="R125" i="98"/>
  <c r="R126" i="98"/>
  <c r="R127" i="98"/>
  <c r="R128" i="98"/>
  <c r="R129" i="98"/>
  <c r="R130" i="98"/>
  <c r="R131" i="98"/>
  <c r="R132" i="98"/>
  <c r="R133" i="98"/>
  <c r="R134" i="98"/>
  <c r="R135" i="98"/>
  <c r="R136" i="98"/>
  <c r="R137" i="98"/>
  <c r="R138" i="98"/>
  <c r="R139" i="98"/>
  <c r="R140" i="98"/>
  <c r="R141" i="98"/>
  <c r="R142" i="98"/>
  <c r="R143" i="98"/>
  <c r="R144" i="98"/>
  <c r="R145" i="98"/>
  <c r="R146" i="98"/>
  <c r="R147" i="98"/>
  <c r="R148" i="98"/>
  <c r="R149" i="98"/>
  <c r="R150" i="98"/>
  <c r="R151" i="98"/>
  <c r="R152" i="98"/>
  <c r="R153" i="98"/>
  <c r="R154" i="98"/>
  <c r="R155" i="98"/>
  <c r="R156" i="98"/>
  <c r="R157" i="98"/>
  <c r="R158" i="98"/>
  <c r="R159" i="98"/>
  <c r="R160" i="98"/>
  <c r="R161" i="98"/>
  <c r="R162" i="98"/>
  <c r="R163" i="98"/>
  <c r="R164" i="98"/>
  <c r="R165" i="98"/>
  <c r="R166" i="98"/>
  <c r="R167" i="98"/>
  <c r="R168" i="98"/>
  <c r="R169" i="98"/>
  <c r="R170" i="98"/>
  <c r="R171" i="98"/>
  <c r="R172" i="98"/>
  <c r="R173" i="98"/>
  <c r="R174" i="98"/>
  <c r="R175" i="98"/>
  <c r="R176" i="98"/>
  <c r="R177" i="98"/>
  <c r="R178" i="98"/>
  <c r="R179" i="98"/>
  <c r="R180" i="98"/>
  <c r="R181" i="98"/>
  <c r="R182" i="98"/>
  <c r="R183" i="98"/>
  <c r="R184" i="98"/>
  <c r="R185" i="98"/>
  <c r="R186" i="98"/>
  <c r="R187" i="98"/>
  <c r="R188" i="98"/>
  <c r="R189" i="98"/>
  <c r="R190" i="98"/>
  <c r="R191" i="98"/>
  <c r="R192" i="98"/>
  <c r="R193" i="98"/>
  <c r="R194" i="98"/>
  <c r="R195" i="98"/>
  <c r="R196" i="98"/>
  <c r="R197" i="98"/>
  <c r="R198" i="98"/>
  <c r="R199" i="98"/>
  <c r="R200" i="98"/>
  <c r="R201" i="98"/>
  <c r="R202" i="98"/>
  <c r="R203" i="98"/>
  <c r="R204" i="98"/>
  <c r="R205" i="98"/>
  <c r="R206" i="98"/>
  <c r="R207" i="98"/>
  <c r="R208" i="98"/>
  <c r="F9" i="71"/>
  <c r="Y19" i="99"/>
  <c r="Q14" i="92"/>
  <c r="R14" i="92"/>
  <c r="C4" i="126" a="1"/>
  <c r="C4" i="126"/>
  <c r="V7" i="22"/>
  <c r="V5" i="22"/>
  <c r="Q6" i="22"/>
  <c r="Q5" i="22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5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R208" i="125"/>
  <c r="Q208" i="125"/>
  <c r="R207" i="125"/>
  <c r="Q207" i="125"/>
  <c r="R206" i="125"/>
  <c r="Q206" i="125"/>
  <c r="R205" i="125"/>
  <c r="Q205" i="125"/>
  <c r="R204" i="125"/>
  <c r="Q204" i="125"/>
  <c r="R203" i="125"/>
  <c r="Q203" i="125"/>
  <c r="R202" i="125"/>
  <c r="Q202" i="125"/>
  <c r="R201" i="125"/>
  <c r="Q201" i="125"/>
  <c r="R200" i="125"/>
  <c r="Q200" i="125"/>
  <c r="R199" i="125"/>
  <c r="Q199" i="125"/>
  <c r="R198" i="125"/>
  <c r="Q198" i="125"/>
  <c r="R197" i="125"/>
  <c r="Q197" i="125"/>
  <c r="R196" i="125"/>
  <c r="Q196" i="125"/>
  <c r="R195" i="125"/>
  <c r="Q195" i="125"/>
  <c r="R194" i="125"/>
  <c r="Q194" i="125"/>
  <c r="R193" i="125"/>
  <c r="Q193" i="125"/>
  <c r="R192" i="125"/>
  <c r="Q192" i="125"/>
  <c r="R191" i="125"/>
  <c r="Q191" i="125"/>
  <c r="R190" i="125"/>
  <c r="Q190" i="125"/>
  <c r="R189" i="125"/>
  <c r="Q189" i="125"/>
  <c r="R188" i="125"/>
  <c r="Q188" i="125"/>
  <c r="R187" i="125"/>
  <c r="Q187" i="125"/>
  <c r="R186" i="125"/>
  <c r="Q186" i="125"/>
  <c r="R185" i="125"/>
  <c r="Q185" i="125"/>
  <c r="R184" i="125"/>
  <c r="Q184" i="125"/>
  <c r="R183" i="125"/>
  <c r="Q183" i="125"/>
  <c r="R182" i="125"/>
  <c r="Q182" i="125"/>
  <c r="R181" i="125"/>
  <c r="Q181" i="125"/>
  <c r="R180" i="125"/>
  <c r="Q180" i="125"/>
  <c r="R179" i="125"/>
  <c r="Q179" i="125"/>
  <c r="R178" i="125"/>
  <c r="Q178" i="125"/>
  <c r="R177" i="125"/>
  <c r="Q177" i="125"/>
  <c r="R176" i="125"/>
  <c r="Q176" i="125"/>
  <c r="R175" i="125"/>
  <c r="Q175" i="125"/>
  <c r="R174" i="125"/>
  <c r="Q174" i="125"/>
  <c r="R173" i="125"/>
  <c r="Q173" i="125"/>
  <c r="R172" i="125"/>
  <c r="Q172" i="125"/>
  <c r="R171" i="125"/>
  <c r="Q171" i="125"/>
  <c r="R170" i="125"/>
  <c r="Q170" i="125"/>
  <c r="R169" i="125"/>
  <c r="Q169" i="125"/>
  <c r="R168" i="125"/>
  <c r="Q168" i="125"/>
  <c r="R167" i="125"/>
  <c r="Q167" i="125"/>
  <c r="R166" i="125"/>
  <c r="Q166" i="125"/>
  <c r="R165" i="125"/>
  <c r="Q165" i="125"/>
  <c r="R164" i="125"/>
  <c r="Q164" i="125"/>
  <c r="R163" i="125"/>
  <c r="Q163" i="125"/>
  <c r="R162" i="125"/>
  <c r="Q162" i="125"/>
  <c r="R161" i="125"/>
  <c r="Q161" i="125"/>
  <c r="R160" i="125"/>
  <c r="Q160" i="125"/>
  <c r="R159" i="125"/>
  <c r="Q159" i="125"/>
  <c r="R158" i="125"/>
  <c r="Q158" i="125"/>
  <c r="R157" i="125"/>
  <c r="Q157" i="125"/>
  <c r="R156" i="125"/>
  <c r="Q156" i="125"/>
  <c r="R155" i="125"/>
  <c r="Q155" i="125"/>
  <c r="R154" i="125"/>
  <c r="Q154" i="125"/>
  <c r="R153" i="125"/>
  <c r="Q153" i="125"/>
  <c r="R152" i="125"/>
  <c r="Q152" i="125"/>
  <c r="R151" i="125"/>
  <c r="Q151" i="125"/>
  <c r="R150" i="125"/>
  <c r="Q150" i="125"/>
  <c r="R149" i="125"/>
  <c r="Q149" i="125"/>
  <c r="R148" i="125"/>
  <c r="Q148" i="125"/>
  <c r="R147" i="125"/>
  <c r="Q147" i="125"/>
  <c r="R146" i="125"/>
  <c r="Q146" i="125"/>
  <c r="R145" i="125"/>
  <c r="Q145" i="125"/>
  <c r="R144" i="125"/>
  <c r="Q144" i="125"/>
  <c r="R143" i="125"/>
  <c r="Q143" i="125"/>
  <c r="R142" i="125"/>
  <c r="Q142" i="125"/>
  <c r="R141" i="125"/>
  <c r="Q141" i="125"/>
  <c r="R140" i="125"/>
  <c r="Q140" i="125"/>
  <c r="R139" i="125"/>
  <c r="Q139" i="125"/>
  <c r="R138" i="125"/>
  <c r="Q138" i="125"/>
  <c r="R137" i="125"/>
  <c r="Q137" i="125"/>
  <c r="R136" i="125"/>
  <c r="Q136" i="125"/>
  <c r="R135" i="125"/>
  <c r="Q135" i="125"/>
  <c r="R134" i="125"/>
  <c r="Q134" i="125"/>
  <c r="R133" i="125"/>
  <c r="Q133" i="125"/>
  <c r="R132" i="125"/>
  <c r="Q132" i="125"/>
  <c r="R131" i="125"/>
  <c r="Q131" i="125"/>
  <c r="R130" i="125"/>
  <c r="Q130" i="125"/>
  <c r="R129" i="125"/>
  <c r="Q129" i="125"/>
  <c r="R128" i="125"/>
  <c r="Q128" i="125"/>
  <c r="R127" i="125"/>
  <c r="Q127" i="125"/>
  <c r="R126" i="125"/>
  <c r="Q126" i="125"/>
  <c r="R125" i="125"/>
  <c r="Q125" i="125"/>
  <c r="R124" i="125"/>
  <c r="Q124" i="125"/>
  <c r="R123" i="125"/>
  <c r="Q123" i="125"/>
  <c r="R122" i="125"/>
  <c r="Q122" i="125"/>
  <c r="R121" i="125"/>
  <c r="Q121" i="125"/>
  <c r="R120" i="125"/>
  <c r="Q120" i="125"/>
  <c r="R119" i="125"/>
  <c r="Q119" i="125"/>
  <c r="R118" i="125"/>
  <c r="Q118" i="125"/>
  <c r="R117" i="125"/>
  <c r="Q117" i="125"/>
  <c r="R116" i="125"/>
  <c r="Q116" i="125"/>
  <c r="R115" i="125"/>
  <c r="Q115" i="125"/>
  <c r="R114" i="125"/>
  <c r="Q114" i="125"/>
  <c r="R113" i="125"/>
  <c r="Q113" i="125"/>
  <c r="R112" i="125"/>
  <c r="Q112" i="125"/>
  <c r="R111" i="125"/>
  <c r="Q111" i="125"/>
  <c r="R110" i="125"/>
  <c r="Q110" i="125"/>
  <c r="R109" i="125"/>
  <c r="Q109" i="125"/>
  <c r="R108" i="125"/>
  <c r="Q108" i="125"/>
  <c r="R107" i="125"/>
  <c r="Q107" i="125"/>
  <c r="R106" i="125"/>
  <c r="Q106" i="125"/>
  <c r="R105" i="125"/>
  <c r="Q105" i="125"/>
  <c r="R104" i="125"/>
  <c r="Q104" i="125"/>
  <c r="R103" i="125"/>
  <c r="Q103" i="125"/>
  <c r="R102" i="125"/>
  <c r="Q102" i="125"/>
  <c r="R101" i="125"/>
  <c r="Q101" i="125"/>
  <c r="R100" i="125"/>
  <c r="Q100" i="125"/>
  <c r="R99" i="125"/>
  <c r="Q99" i="125"/>
  <c r="R98" i="125"/>
  <c r="Q98" i="125"/>
  <c r="R97" i="125"/>
  <c r="Q97" i="125"/>
  <c r="R96" i="125"/>
  <c r="Q96" i="125"/>
  <c r="R95" i="125"/>
  <c r="Q95" i="125"/>
  <c r="R94" i="125"/>
  <c r="Q94" i="125"/>
  <c r="R93" i="125"/>
  <c r="Q93" i="125"/>
  <c r="R92" i="125"/>
  <c r="Q92" i="125"/>
  <c r="R91" i="125"/>
  <c r="Q91" i="125"/>
  <c r="R90" i="125"/>
  <c r="Q90" i="125"/>
  <c r="R89" i="125"/>
  <c r="Q89" i="125"/>
  <c r="R88" i="125"/>
  <c r="Q88" i="125"/>
  <c r="R87" i="125"/>
  <c r="Q87" i="125"/>
  <c r="R86" i="125"/>
  <c r="Q86" i="125"/>
  <c r="R85" i="125"/>
  <c r="Q85" i="125"/>
  <c r="R84" i="125"/>
  <c r="Q84" i="125"/>
  <c r="R83" i="125"/>
  <c r="Q83" i="125"/>
  <c r="R82" i="125"/>
  <c r="Q82" i="125"/>
  <c r="R81" i="125"/>
  <c r="Q81" i="125"/>
  <c r="R80" i="125"/>
  <c r="Q80" i="125"/>
  <c r="R79" i="125"/>
  <c r="Q79" i="125"/>
  <c r="R78" i="125"/>
  <c r="Q78" i="125"/>
  <c r="R77" i="125"/>
  <c r="Q77" i="125"/>
  <c r="R76" i="125"/>
  <c r="Q76" i="125"/>
  <c r="R75" i="125"/>
  <c r="Q75" i="125"/>
  <c r="R74" i="125"/>
  <c r="Q74" i="125"/>
  <c r="R73" i="125"/>
  <c r="Q73" i="125"/>
  <c r="R72" i="125"/>
  <c r="Q72" i="125"/>
  <c r="R71" i="125"/>
  <c r="Q71" i="125"/>
  <c r="R70" i="125"/>
  <c r="Q70" i="125"/>
  <c r="R69" i="125"/>
  <c r="Q69" i="125"/>
  <c r="R68" i="125"/>
  <c r="Q68" i="125"/>
  <c r="R67" i="125"/>
  <c r="Q67" i="125"/>
  <c r="R66" i="125"/>
  <c r="Q66" i="125"/>
  <c r="R65" i="125"/>
  <c r="Q65" i="125"/>
  <c r="R64" i="125"/>
  <c r="Q64" i="125"/>
  <c r="R63" i="125"/>
  <c r="Q63" i="125"/>
  <c r="R62" i="125"/>
  <c r="Q62" i="125"/>
  <c r="R61" i="125"/>
  <c r="Q61" i="125"/>
  <c r="R60" i="125"/>
  <c r="Q60" i="125"/>
  <c r="R59" i="125"/>
  <c r="Q59" i="125"/>
  <c r="R58" i="125"/>
  <c r="Q58" i="125"/>
  <c r="R57" i="125"/>
  <c r="Q57" i="125"/>
  <c r="R56" i="125"/>
  <c r="Q56" i="125"/>
  <c r="R55" i="125"/>
  <c r="Q55" i="125"/>
  <c r="R54" i="125"/>
  <c r="Q54" i="125"/>
  <c r="R53" i="125"/>
  <c r="Q53" i="125"/>
  <c r="R52" i="125"/>
  <c r="Q52" i="125"/>
  <c r="R51" i="125"/>
  <c r="Q51" i="125"/>
  <c r="R50" i="125"/>
  <c r="Q50" i="125"/>
  <c r="R49" i="125"/>
  <c r="Q49" i="125"/>
  <c r="R48" i="125"/>
  <c r="Q48" i="125"/>
  <c r="R47" i="125"/>
  <c r="Q47" i="125"/>
  <c r="R46" i="125"/>
  <c r="Q46" i="125"/>
  <c r="R45" i="125"/>
  <c r="Q45" i="125"/>
  <c r="R44" i="125"/>
  <c r="Q44" i="125"/>
  <c r="R43" i="125"/>
  <c r="Q43" i="125"/>
  <c r="R42" i="125"/>
  <c r="Q42" i="125"/>
  <c r="R41" i="125"/>
  <c r="Q41" i="125"/>
  <c r="R40" i="125"/>
  <c r="Q40" i="125"/>
  <c r="R39" i="125"/>
  <c r="Q39" i="125"/>
  <c r="R38" i="125"/>
  <c r="Q38" i="125"/>
  <c r="R37" i="125"/>
  <c r="Q37" i="125"/>
  <c r="R36" i="125"/>
  <c r="Q36" i="125"/>
  <c r="R35" i="125"/>
  <c r="Q35" i="125"/>
  <c r="R34" i="125"/>
  <c r="Q34" i="125"/>
  <c r="R33" i="125"/>
  <c r="Q33" i="125"/>
  <c r="R32" i="125"/>
  <c r="Q32" i="125"/>
  <c r="R31" i="125"/>
  <c r="Q31" i="125"/>
  <c r="R30" i="125"/>
  <c r="Q30" i="125"/>
  <c r="R29" i="125"/>
  <c r="Q29" i="125"/>
  <c r="R28" i="125"/>
  <c r="Q28" i="125"/>
  <c r="R27" i="125"/>
  <c r="Q27" i="125"/>
  <c r="R26" i="125"/>
  <c r="Q26" i="125"/>
  <c r="R25" i="125"/>
  <c r="Q25" i="125"/>
  <c r="R24" i="125"/>
  <c r="Q24" i="125"/>
  <c r="R23" i="125"/>
  <c r="Q23" i="125"/>
  <c r="R22" i="125"/>
  <c r="Q22" i="125"/>
  <c r="R21" i="125"/>
  <c r="Q21" i="125"/>
  <c r="R20" i="125"/>
  <c r="Q20" i="125"/>
  <c r="R19" i="125"/>
  <c r="Q19" i="125"/>
  <c r="R18" i="125"/>
  <c r="Q18" i="125"/>
  <c r="R17" i="125"/>
  <c r="Q17" i="125"/>
  <c r="R16" i="125"/>
  <c r="Q16" i="125"/>
  <c r="R15" i="125"/>
  <c r="Q15" i="125"/>
  <c r="R14" i="125"/>
  <c r="Q14" i="125"/>
  <c r="R13" i="125"/>
  <c r="Q13" i="125"/>
  <c r="R12" i="125"/>
  <c r="Q12" i="125"/>
  <c r="R11" i="125"/>
  <c r="Q11" i="125"/>
  <c r="R10" i="125"/>
  <c r="Q10" i="125"/>
  <c r="R9" i="125"/>
  <c r="D4" i="125"/>
  <c r="Q9" i="125"/>
  <c r="A2" i="125" a="1"/>
  <c r="A2" i="125" s="1"/>
  <c r="A1" i="125" s="1"/>
  <c r="D56" i="126" s="1" a="1"/>
  <c r="D56" i="126" s="1"/>
  <c r="R208" i="124"/>
  <c r="Q208" i="124"/>
  <c r="R207" i="124"/>
  <c r="Q207" i="124"/>
  <c r="R206" i="124"/>
  <c r="Q206" i="124"/>
  <c r="R205" i="124"/>
  <c r="Q205" i="124"/>
  <c r="R204" i="124"/>
  <c r="Q204" i="124"/>
  <c r="R203" i="124"/>
  <c r="Q203" i="124"/>
  <c r="R202" i="124"/>
  <c r="Q202" i="124"/>
  <c r="R201" i="124"/>
  <c r="Q201" i="124"/>
  <c r="R200" i="124"/>
  <c r="Q200" i="124"/>
  <c r="R199" i="124"/>
  <c r="Q199" i="124"/>
  <c r="R198" i="124"/>
  <c r="Q198" i="124"/>
  <c r="R197" i="124"/>
  <c r="Q197" i="124"/>
  <c r="R196" i="124"/>
  <c r="Q196" i="124"/>
  <c r="R195" i="124"/>
  <c r="Q195" i="124"/>
  <c r="R194" i="124"/>
  <c r="Q194" i="124"/>
  <c r="R193" i="124"/>
  <c r="Q193" i="124"/>
  <c r="R192" i="124"/>
  <c r="Q192" i="124"/>
  <c r="R191" i="124"/>
  <c r="Q191" i="124"/>
  <c r="R190" i="124"/>
  <c r="Q190" i="124"/>
  <c r="R189" i="124"/>
  <c r="Q189" i="124"/>
  <c r="R188" i="124"/>
  <c r="Q188" i="124"/>
  <c r="R187" i="124"/>
  <c r="Q187" i="124"/>
  <c r="R186" i="124"/>
  <c r="Q186" i="124"/>
  <c r="R185" i="124"/>
  <c r="Q185" i="124"/>
  <c r="R184" i="124"/>
  <c r="Q184" i="124"/>
  <c r="R183" i="124"/>
  <c r="Q183" i="124"/>
  <c r="R182" i="124"/>
  <c r="Q182" i="124"/>
  <c r="R181" i="124"/>
  <c r="Q181" i="124"/>
  <c r="R180" i="124"/>
  <c r="Q180" i="124"/>
  <c r="R179" i="124"/>
  <c r="Q179" i="124"/>
  <c r="R178" i="124"/>
  <c r="Q178" i="124"/>
  <c r="R177" i="124"/>
  <c r="Q177" i="124"/>
  <c r="R176" i="124"/>
  <c r="Q176" i="124"/>
  <c r="R175" i="124"/>
  <c r="Q175" i="124"/>
  <c r="R174" i="124"/>
  <c r="Q174" i="124"/>
  <c r="R173" i="124"/>
  <c r="Q173" i="124"/>
  <c r="R172" i="124"/>
  <c r="Q172" i="124"/>
  <c r="R171" i="124"/>
  <c r="Q171" i="124"/>
  <c r="R170" i="124"/>
  <c r="Q170" i="124"/>
  <c r="R169" i="124"/>
  <c r="Q169" i="124"/>
  <c r="R168" i="124"/>
  <c r="Q168" i="124"/>
  <c r="R167" i="124"/>
  <c r="Q167" i="124"/>
  <c r="R166" i="124"/>
  <c r="Q166" i="124"/>
  <c r="R165" i="124"/>
  <c r="Q165" i="124"/>
  <c r="R164" i="124"/>
  <c r="Q164" i="124"/>
  <c r="R163" i="124"/>
  <c r="Q163" i="124"/>
  <c r="R162" i="124"/>
  <c r="Q162" i="124"/>
  <c r="R161" i="124"/>
  <c r="Q161" i="124"/>
  <c r="R160" i="124"/>
  <c r="Q160" i="124"/>
  <c r="R159" i="124"/>
  <c r="Q159" i="124"/>
  <c r="R158" i="124"/>
  <c r="Q158" i="124"/>
  <c r="R157" i="124"/>
  <c r="Q157" i="124"/>
  <c r="R156" i="124"/>
  <c r="Q156" i="124"/>
  <c r="R155" i="124"/>
  <c r="Q155" i="124"/>
  <c r="R154" i="124"/>
  <c r="Q154" i="124"/>
  <c r="R153" i="124"/>
  <c r="Q153" i="124"/>
  <c r="R152" i="124"/>
  <c r="Q152" i="124"/>
  <c r="R151" i="124"/>
  <c r="Q151" i="124"/>
  <c r="R150" i="124"/>
  <c r="Q150" i="124"/>
  <c r="R149" i="124"/>
  <c r="Q149" i="124"/>
  <c r="R148" i="124"/>
  <c r="Q148" i="124"/>
  <c r="R147" i="124"/>
  <c r="Q147" i="124"/>
  <c r="R146" i="124"/>
  <c r="Q146" i="124"/>
  <c r="R145" i="124"/>
  <c r="Q145" i="124"/>
  <c r="R144" i="124"/>
  <c r="Q144" i="124"/>
  <c r="R143" i="124"/>
  <c r="Q143" i="124"/>
  <c r="R142" i="124"/>
  <c r="Q142" i="124"/>
  <c r="R141" i="124"/>
  <c r="Q141" i="124"/>
  <c r="R140" i="124"/>
  <c r="Q140" i="124"/>
  <c r="R139" i="124"/>
  <c r="Q139" i="124"/>
  <c r="R138" i="124"/>
  <c r="Q138" i="124"/>
  <c r="R137" i="124"/>
  <c r="Q137" i="124"/>
  <c r="R136" i="124"/>
  <c r="Q136" i="124"/>
  <c r="R135" i="124"/>
  <c r="Q135" i="124"/>
  <c r="R134" i="124"/>
  <c r="Q134" i="124"/>
  <c r="R133" i="124"/>
  <c r="Q133" i="124"/>
  <c r="R132" i="124"/>
  <c r="Q132" i="124"/>
  <c r="R131" i="124"/>
  <c r="Q131" i="124"/>
  <c r="R130" i="124"/>
  <c r="Q130" i="124"/>
  <c r="R129" i="124"/>
  <c r="Q129" i="124"/>
  <c r="R128" i="124"/>
  <c r="Q128" i="124"/>
  <c r="R127" i="124"/>
  <c r="Q127" i="124"/>
  <c r="R126" i="124"/>
  <c r="Q126" i="124"/>
  <c r="R125" i="124"/>
  <c r="Q125" i="124"/>
  <c r="R124" i="124"/>
  <c r="Q124" i="124"/>
  <c r="R123" i="124"/>
  <c r="Q123" i="124"/>
  <c r="R122" i="124"/>
  <c r="Q122" i="124"/>
  <c r="R121" i="124"/>
  <c r="Q121" i="124"/>
  <c r="R120" i="124"/>
  <c r="Q120" i="124"/>
  <c r="R119" i="124"/>
  <c r="Q119" i="124"/>
  <c r="R118" i="124"/>
  <c r="Q118" i="124"/>
  <c r="R117" i="124"/>
  <c r="Q117" i="124"/>
  <c r="R116" i="124"/>
  <c r="Q116" i="124"/>
  <c r="R115" i="124"/>
  <c r="Q115" i="124"/>
  <c r="R114" i="124"/>
  <c r="Q114" i="124"/>
  <c r="R113" i="124"/>
  <c r="Q113" i="124"/>
  <c r="R112" i="124"/>
  <c r="Q112" i="124"/>
  <c r="R111" i="124"/>
  <c r="Q111" i="124"/>
  <c r="R110" i="124"/>
  <c r="Q110" i="124"/>
  <c r="R109" i="124"/>
  <c r="Q109" i="124"/>
  <c r="R108" i="124"/>
  <c r="Q108" i="124"/>
  <c r="R107" i="124"/>
  <c r="Q107" i="124"/>
  <c r="R106" i="124"/>
  <c r="Q106" i="124"/>
  <c r="R105" i="124"/>
  <c r="Q105" i="124"/>
  <c r="R104" i="124"/>
  <c r="Q104" i="124"/>
  <c r="R103" i="124"/>
  <c r="Q103" i="124"/>
  <c r="R102" i="124"/>
  <c r="Q102" i="124"/>
  <c r="R101" i="124"/>
  <c r="Q101" i="124"/>
  <c r="R100" i="124"/>
  <c r="Q100" i="124"/>
  <c r="R99" i="124"/>
  <c r="Q99" i="124"/>
  <c r="R98" i="124"/>
  <c r="Q98" i="124"/>
  <c r="R97" i="124"/>
  <c r="Q97" i="124"/>
  <c r="R96" i="124"/>
  <c r="Q96" i="124"/>
  <c r="R95" i="124"/>
  <c r="Q95" i="124"/>
  <c r="R94" i="124"/>
  <c r="Q94" i="124"/>
  <c r="R93" i="124"/>
  <c r="Q93" i="124"/>
  <c r="R92" i="124"/>
  <c r="Q92" i="124"/>
  <c r="R91" i="124"/>
  <c r="Q91" i="124"/>
  <c r="R90" i="124"/>
  <c r="Q90" i="124"/>
  <c r="R89" i="124"/>
  <c r="Q89" i="124"/>
  <c r="R88" i="124"/>
  <c r="Q88" i="124"/>
  <c r="R87" i="124"/>
  <c r="Q87" i="124"/>
  <c r="R86" i="124"/>
  <c r="Q86" i="124"/>
  <c r="R85" i="124"/>
  <c r="Q85" i="124"/>
  <c r="R84" i="124"/>
  <c r="Q84" i="124"/>
  <c r="R83" i="124"/>
  <c r="Q83" i="124"/>
  <c r="R82" i="124"/>
  <c r="Q82" i="124"/>
  <c r="R81" i="124"/>
  <c r="Q81" i="124"/>
  <c r="R80" i="124"/>
  <c r="Q80" i="124"/>
  <c r="R79" i="124"/>
  <c r="Q79" i="124"/>
  <c r="R78" i="124"/>
  <c r="Q78" i="124"/>
  <c r="R77" i="124"/>
  <c r="Q77" i="124"/>
  <c r="R76" i="124"/>
  <c r="Q76" i="124"/>
  <c r="R75" i="124"/>
  <c r="Q75" i="124"/>
  <c r="R74" i="124"/>
  <c r="Q74" i="124"/>
  <c r="R73" i="124"/>
  <c r="Q73" i="124"/>
  <c r="R72" i="124"/>
  <c r="Q72" i="124"/>
  <c r="R71" i="124"/>
  <c r="Q71" i="124"/>
  <c r="R70" i="124"/>
  <c r="Q70" i="124"/>
  <c r="R69" i="124"/>
  <c r="Q69" i="124"/>
  <c r="R68" i="124"/>
  <c r="Q68" i="124"/>
  <c r="R67" i="124"/>
  <c r="Q67" i="124"/>
  <c r="R66" i="124"/>
  <c r="Q66" i="124"/>
  <c r="R65" i="124"/>
  <c r="Q65" i="124"/>
  <c r="R64" i="124"/>
  <c r="Q64" i="124"/>
  <c r="R63" i="124"/>
  <c r="Q63" i="124"/>
  <c r="R62" i="124"/>
  <c r="Q62" i="124"/>
  <c r="R61" i="124"/>
  <c r="Q61" i="124"/>
  <c r="R60" i="124"/>
  <c r="Q60" i="124"/>
  <c r="R59" i="124"/>
  <c r="Q59" i="124"/>
  <c r="R58" i="124"/>
  <c r="Q58" i="124"/>
  <c r="R57" i="124"/>
  <c r="Q57" i="124"/>
  <c r="R56" i="124"/>
  <c r="Q56" i="124"/>
  <c r="R55" i="124"/>
  <c r="Q55" i="124"/>
  <c r="R54" i="124"/>
  <c r="Q54" i="124"/>
  <c r="R53" i="124"/>
  <c r="Q53" i="124"/>
  <c r="R52" i="124"/>
  <c r="Q52" i="124"/>
  <c r="R51" i="124"/>
  <c r="Q51" i="124"/>
  <c r="R50" i="124"/>
  <c r="Q50" i="124"/>
  <c r="R49" i="124"/>
  <c r="Q49" i="124"/>
  <c r="R48" i="124"/>
  <c r="Q48" i="124"/>
  <c r="R47" i="124"/>
  <c r="Q47" i="124"/>
  <c r="R46" i="124"/>
  <c r="Q46" i="124"/>
  <c r="R45" i="124"/>
  <c r="Q45" i="124"/>
  <c r="R44" i="124"/>
  <c r="Q44" i="124"/>
  <c r="R43" i="124"/>
  <c r="Q43" i="124"/>
  <c r="R42" i="124"/>
  <c r="Q42" i="124"/>
  <c r="R41" i="124"/>
  <c r="Q41" i="124"/>
  <c r="R40" i="124"/>
  <c r="Q40" i="124"/>
  <c r="R39" i="124"/>
  <c r="Q39" i="124"/>
  <c r="R38" i="124"/>
  <c r="Q38" i="124"/>
  <c r="R37" i="124"/>
  <c r="Q37" i="124"/>
  <c r="R36" i="124"/>
  <c r="Q36" i="124"/>
  <c r="R35" i="124"/>
  <c r="Q35" i="124"/>
  <c r="R34" i="124"/>
  <c r="Q34" i="124"/>
  <c r="R33" i="124"/>
  <c r="Q33" i="124"/>
  <c r="R32" i="124"/>
  <c r="Q32" i="124"/>
  <c r="R31" i="124"/>
  <c r="Q31" i="124"/>
  <c r="R30" i="124"/>
  <c r="Q30" i="124"/>
  <c r="R29" i="124"/>
  <c r="Q29" i="124"/>
  <c r="R28" i="124"/>
  <c r="Q28" i="124"/>
  <c r="R27" i="124"/>
  <c r="Q27" i="124"/>
  <c r="R26" i="124"/>
  <c r="Q26" i="124"/>
  <c r="R25" i="124"/>
  <c r="Q25" i="124"/>
  <c r="R24" i="124"/>
  <c r="Q24" i="124"/>
  <c r="R23" i="124"/>
  <c r="Q23" i="124"/>
  <c r="R22" i="124"/>
  <c r="Q22" i="124"/>
  <c r="R21" i="124"/>
  <c r="Q21" i="124"/>
  <c r="R20" i="124"/>
  <c r="Q20" i="124"/>
  <c r="R19" i="124"/>
  <c r="Q19" i="124"/>
  <c r="R18" i="124"/>
  <c r="Q18" i="124"/>
  <c r="R17" i="124"/>
  <c r="Q17" i="124"/>
  <c r="R16" i="124"/>
  <c r="Q16" i="124"/>
  <c r="R15" i="124"/>
  <c r="Q15" i="124"/>
  <c r="R14" i="124"/>
  <c r="Q14" i="124"/>
  <c r="R13" i="124"/>
  <c r="Q13" i="124"/>
  <c r="R12" i="124"/>
  <c r="Q12" i="124"/>
  <c r="R11" i="124"/>
  <c r="Q11" i="124"/>
  <c r="R10" i="124"/>
  <c r="Q10" i="124"/>
  <c r="R9" i="124"/>
  <c r="D4" i="124"/>
  <c r="Q9" i="124"/>
  <c r="A2" i="124" a="1"/>
  <c r="A2" i="124" s="1"/>
  <c r="A1" i="124" s="1"/>
  <c r="D55" i="126" s="1" a="1"/>
  <c r="D55" i="126" s="1"/>
  <c r="R208" i="123"/>
  <c r="Q208" i="123"/>
  <c r="R207" i="123"/>
  <c r="Q207" i="123"/>
  <c r="R206" i="123"/>
  <c r="Q206" i="123"/>
  <c r="R205" i="123"/>
  <c r="Q205" i="123"/>
  <c r="R204" i="123"/>
  <c r="Q204" i="123"/>
  <c r="R203" i="123"/>
  <c r="Q203" i="123"/>
  <c r="R202" i="123"/>
  <c r="Q202" i="123"/>
  <c r="R201" i="123"/>
  <c r="Q201" i="123"/>
  <c r="R200" i="123"/>
  <c r="Q200" i="123"/>
  <c r="R199" i="123"/>
  <c r="Q199" i="123"/>
  <c r="R198" i="123"/>
  <c r="Q198" i="123"/>
  <c r="R197" i="123"/>
  <c r="Q197" i="123"/>
  <c r="R196" i="123"/>
  <c r="Q196" i="123"/>
  <c r="R195" i="123"/>
  <c r="Q195" i="123"/>
  <c r="R194" i="123"/>
  <c r="Q194" i="123"/>
  <c r="R193" i="123"/>
  <c r="Q193" i="123"/>
  <c r="R192" i="123"/>
  <c r="Q192" i="123"/>
  <c r="R191" i="123"/>
  <c r="Q191" i="123"/>
  <c r="R190" i="123"/>
  <c r="Q190" i="123"/>
  <c r="R189" i="123"/>
  <c r="Q189" i="123"/>
  <c r="R188" i="123"/>
  <c r="Q188" i="123"/>
  <c r="R187" i="123"/>
  <c r="Q187" i="123"/>
  <c r="R186" i="123"/>
  <c r="Q186" i="123"/>
  <c r="R185" i="123"/>
  <c r="Q185" i="123"/>
  <c r="R184" i="123"/>
  <c r="Q184" i="123"/>
  <c r="R183" i="123"/>
  <c r="Q183" i="123"/>
  <c r="R182" i="123"/>
  <c r="Q182" i="123"/>
  <c r="R181" i="123"/>
  <c r="Q181" i="123"/>
  <c r="R180" i="123"/>
  <c r="Q180" i="123"/>
  <c r="R179" i="123"/>
  <c r="Q179" i="123"/>
  <c r="R178" i="123"/>
  <c r="Q178" i="123"/>
  <c r="R177" i="123"/>
  <c r="Q177" i="123"/>
  <c r="R176" i="123"/>
  <c r="Q176" i="123"/>
  <c r="R175" i="123"/>
  <c r="Q175" i="123"/>
  <c r="R174" i="123"/>
  <c r="Q174" i="123"/>
  <c r="R173" i="123"/>
  <c r="Q173" i="123"/>
  <c r="R172" i="123"/>
  <c r="Q172" i="123"/>
  <c r="R171" i="123"/>
  <c r="Q171" i="123"/>
  <c r="R170" i="123"/>
  <c r="Q170" i="123"/>
  <c r="R169" i="123"/>
  <c r="Q169" i="123"/>
  <c r="R168" i="123"/>
  <c r="Q168" i="123"/>
  <c r="R167" i="123"/>
  <c r="Q167" i="123"/>
  <c r="R166" i="123"/>
  <c r="Q166" i="123"/>
  <c r="R165" i="123"/>
  <c r="Q165" i="123"/>
  <c r="R164" i="123"/>
  <c r="Q164" i="123"/>
  <c r="R163" i="123"/>
  <c r="Q163" i="123"/>
  <c r="R162" i="123"/>
  <c r="Q162" i="123"/>
  <c r="R161" i="123"/>
  <c r="Q161" i="123"/>
  <c r="R160" i="123"/>
  <c r="Q160" i="123"/>
  <c r="R159" i="123"/>
  <c r="Q159" i="123"/>
  <c r="R158" i="123"/>
  <c r="Q158" i="123"/>
  <c r="R157" i="123"/>
  <c r="Q157" i="123"/>
  <c r="R156" i="123"/>
  <c r="Q156" i="123"/>
  <c r="R155" i="123"/>
  <c r="Q155" i="123"/>
  <c r="R154" i="123"/>
  <c r="Q154" i="123"/>
  <c r="R153" i="123"/>
  <c r="Q153" i="123"/>
  <c r="R152" i="123"/>
  <c r="Q152" i="123"/>
  <c r="R151" i="123"/>
  <c r="Q151" i="123"/>
  <c r="R150" i="123"/>
  <c r="Q150" i="123"/>
  <c r="R149" i="123"/>
  <c r="Q149" i="123"/>
  <c r="R148" i="123"/>
  <c r="Q148" i="123"/>
  <c r="R147" i="123"/>
  <c r="Q147" i="123"/>
  <c r="R146" i="123"/>
  <c r="Q146" i="123"/>
  <c r="R145" i="123"/>
  <c r="Q145" i="123"/>
  <c r="R144" i="123"/>
  <c r="Q144" i="123"/>
  <c r="R143" i="123"/>
  <c r="Q143" i="123"/>
  <c r="R142" i="123"/>
  <c r="Q142" i="123"/>
  <c r="R141" i="123"/>
  <c r="Q141" i="123"/>
  <c r="R140" i="123"/>
  <c r="Q140" i="123"/>
  <c r="R139" i="123"/>
  <c r="Q139" i="123"/>
  <c r="R138" i="123"/>
  <c r="Q138" i="123"/>
  <c r="R137" i="123"/>
  <c r="Q137" i="123"/>
  <c r="R136" i="123"/>
  <c r="Q136" i="123"/>
  <c r="R135" i="123"/>
  <c r="Q135" i="123"/>
  <c r="R134" i="123"/>
  <c r="Q134" i="123"/>
  <c r="R133" i="123"/>
  <c r="Q133" i="123"/>
  <c r="R132" i="123"/>
  <c r="Q132" i="123"/>
  <c r="R131" i="123"/>
  <c r="Q131" i="123"/>
  <c r="R130" i="123"/>
  <c r="Q130" i="123"/>
  <c r="R129" i="123"/>
  <c r="Q129" i="123"/>
  <c r="R128" i="123"/>
  <c r="Q128" i="123"/>
  <c r="R127" i="123"/>
  <c r="Q127" i="123"/>
  <c r="R126" i="123"/>
  <c r="Q126" i="123"/>
  <c r="R125" i="123"/>
  <c r="Q125" i="123"/>
  <c r="R124" i="123"/>
  <c r="Q124" i="123"/>
  <c r="R123" i="123"/>
  <c r="Q123" i="123"/>
  <c r="R122" i="123"/>
  <c r="Q122" i="123"/>
  <c r="R121" i="123"/>
  <c r="Q121" i="123"/>
  <c r="R120" i="123"/>
  <c r="Q120" i="123"/>
  <c r="R119" i="123"/>
  <c r="Q119" i="123"/>
  <c r="R118" i="123"/>
  <c r="Q118" i="123"/>
  <c r="R117" i="123"/>
  <c r="Q117" i="123"/>
  <c r="R116" i="123"/>
  <c r="Q116" i="123"/>
  <c r="R115" i="123"/>
  <c r="Q115" i="123"/>
  <c r="R114" i="123"/>
  <c r="Q114" i="123"/>
  <c r="R113" i="123"/>
  <c r="Q113" i="123"/>
  <c r="R112" i="123"/>
  <c r="Q112" i="123"/>
  <c r="R111" i="123"/>
  <c r="Q111" i="123"/>
  <c r="R110" i="123"/>
  <c r="Q110" i="123"/>
  <c r="R109" i="123"/>
  <c r="Q109" i="123"/>
  <c r="R108" i="123"/>
  <c r="Q108" i="123"/>
  <c r="R107" i="123"/>
  <c r="Q107" i="123"/>
  <c r="R106" i="123"/>
  <c r="Q106" i="123"/>
  <c r="R105" i="123"/>
  <c r="Q105" i="123"/>
  <c r="R104" i="123"/>
  <c r="Q104" i="123"/>
  <c r="R103" i="123"/>
  <c r="Q103" i="123"/>
  <c r="R102" i="123"/>
  <c r="Q102" i="123"/>
  <c r="R101" i="123"/>
  <c r="Q101" i="123"/>
  <c r="R100" i="123"/>
  <c r="Q100" i="123"/>
  <c r="R99" i="123"/>
  <c r="Q99" i="123"/>
  <c r="R98" i="123"/>
  <c r="Q98" i="123"/>
  <c r="R97" i="123"/>
  <c r="Q97" i="123"/>
  <c r="R96" i="123"/>
  <c r="Q96" i="123"/>
  <c r="R95" i="123"/>
  <c r="Q95" i="123"/>
  <c r="R94" i="123"/>
  <c r="Q94" i="123"/>
  <c r="R93" i="123"/>
  <c r="Q93" i="123"/>
  <c r="R92" i="123"/>
  <c r="Q92" i="123"/>
  <c r="R91" i="123"/>
  <c r="Q91" i="123"/>
  <c r="R90" i="123"/>
  <c r="Q90" i="123"/>
  <c r="R89" i="123"/>
  <c r="Q89" i="123"/>
  <c r="R88" i="123"/>
  <c r="Q88" i="123"/>
  <c r="R87" i="123"/>
  <c r="Q87" i="123"/>
  <c r="R86" i="123"/>
  <c r="Q86" i="123"/>
  <c r="R85" i="123"/>
  <c r="Q85" i="123"/>
  <c r="R84" i="123"/>
  <c r="Q84" i="123"/>
  <c r="R83" i="123"/>
  <c r="Q83" i="123"/>
  <c r="R82" i="123"/>
  <c r="Q82" i="123"/>
  <c r="R81" i="123"/>
  <c r="Q81" i="123"/>
  <c r="R80" i="123"/>
  <c r="Q80" i="123"/>
  <c r="R79" i="123"/>
  <c r="Q79" i="123"/>
  <c r="R78" i="123"/>
  <c r="Q78" i="123"/>
  <c r="R77" i="123"/>
  <c r="Q77" i="123"/>
  <c r="R76" i="123"/>
  <c r="Q76" i="123"/>
  <c r="R75" i="123"/>
  <c r="Q75" i="123"/>
  <c r="R74" i="123"/>
  <c r="Q74" i="123"/>
  <c r="R73" i="123"/>
  <c r="Q73" i="123"/>
  <c r="R72" i="123"/>
  <c r="Q72" i="123"/>
  <c r="R71" i="123"/>
  <c r="Q71" i="123"/>
  <c r="R70" i="123"/>
  <c r="Q70" i="123"/>
  <c r="R69" i="123"/>
  <c r="Q69" i="123"/>
  <c r="R68" i="123"/>
  <c r="Q68" i="123"/>
  <c r="R67" i="123"/>
  <c r="Q67" i="123"/>
  <c r="R66" i="123"/>
  <c r="Q66" i="123"/>
  <c r="R65" i="123"/>
  <c r="Q65" i="123"/>
  <c r="R64" i="123"/>
  <c r="Q64" i="123"/>
  <c r="R63" i="123"/>
  <c r="Q63" i="123"/>
  <c r="R62" i="123"/>
  <c r="Q62" i="123"/>
  <c r="R61" i="123"/>
  <c r="Q61" i="123"/>
  <c r="R60" i="123"/>
  <c r="Q60" i="123"/>
  <c r="R59" i="123"/>
  <c r="Q59" i="123"/>
  <c r="R58" i="123"/>
  <c r="Q58" i="123"/>
  <c r="R57" i="123"/>
  <c r="Q57" i="123"/>
  <c r="R56" i="123"/>
  <c r="Q56" i="123"/>
  <c r="R55" i="123"/>
  <c r="Q55" i="123"/>
  <c r="R54" i="123"/>
  <c r="Q54" i="123"/>
  <c r="R53" i="123"/>
  <c r="Q53" i="123"/>
  <c r="R52" i="123"/>
  <c r="Q52" i="123"/>
  <c r="R51" i="123"/>
  <c r="Q51" i="123"/>
  <c r="R50" i="123"/>
  <c r="Q50" i="123"/>
  <c r="R49" i="123"/>
  <c r="Q49" i="123"/>
  <c r="R48" i="123"/>
  <c r="Q48" i="123"/>
  <c r="R47" i="123"/>
  <c r="Q47" i="123"/>
  <c r="R46" i="123"/>
  <c r="Q46" i="123"/>
  <c r="R45" i="123"/>
  <c r="Q45" i="123"/>
  <c r="R44" i="123"/>
  <c r="Q44" i="123"/>
  <c r="R43" i="123"/>
  <c r="Q43" i="123"/>
  <c r="R42" i="123"/>
  <c r="Q42" i="123"/>
  <c r="R41" i="123"/>
  <c r="Q41" i="123"/>
  <c r="R40" i="123"/>
  <c r="Q40" i="123"/>
  <c r="R39" i="123"/>
  <c r="Q39" i="123"/>
  <c r="R38" i="123"/>
  <c r="Q38" i="123"/>
  <c r="R37" i="123"/>
  <c r="Q37" i="123"/>
  <c r="R36" i="123"/>
  <c r="Q36" i="123"/>
  <c r="R35" i="123"/>
  <c r="Q35" i="123"/>
  <c r="R34" i="123"/>
  <c r="Q34" i="123"/>
  <c r="R33" i="123"/>
  <c r="Q33" i="123"/>
  <c r="R32" i="123"/>
  <c r="Q32" i="123"/>
  <c r="R31" i="123"/>
  <c r="Q31" i="123"/>
  <c r="R30" i="123"/>
  <c r="Q30" i="123"/>
  <c r="R29" i="123"/>
  <c r="Q29" i="123"/>
  <c r="R28" i="123"/>
  <c r="Q28" i="123"/>
  <c r="R27" i="123"/>
  <c r="Q27" i="123"/>
  <c r="R26" i="123"/>
  <c r="Q26" i="123"/>
  <c r="R25" i="123"/>
  <c r="Q25" i="123"/>
  <c r="R24" i="123"/>
  <c r="Q24" i="123"/>
  <c r="R23" i="123"/>
  <c r="Q23" i="123"/>
  <c r="R22" i="123"/>
  <c r="Q22" i="123"/>
  <c r="R21" i="123"/>
  <c r="Q21" i="123"/>
  <c r="R20" i="123"/>
  <c r="Q20" i="123"/>
  <c r="R19" i="123"/>
  <c r="Q19" i="123"/>
  <c r="R18" i="123"/>
  <c r="Q18" i="123"/>
  <c r="R17" i="123"/>
  <c r="Q17" i="123"/>
  <c r="R16" i="123"/>
  <c r="Q16" i="123"/>
  <c r="R15" i="123"/>
  <c r="Q15" i="123"/>
  <c r="R14" i="123"/>
  <c r="Q14" i="123"/>
  <c r="R13" i="123"/>
  <c r="Q13" i="123"/>
  <c r="R12" i="123"/>
  <c r="Q12" i="123"/>
  <c r="R11" i="123"/>
  <c r="Q11" i="123"/>
  <c r="R10" i="123"/>
  <c r="Q10" i="123"/>
  <c r="R9" i="123"/>
  <c r="D4" i="123"/>
  <c r="Q9" i="123"/>
  <c r="A2" i="123" a="1"/>
  <c r="A2" i="123" s="1"/>
  <c r="A1" i="123" s="1"/>
  <c r="D54" i="126" s="1" a="1"/>
  <c r="D54" i="126" s="1"/>
  <c r="R208" i="122"/>
  <c r="Q208" i="122"/>
  <c r="R207" i="122"/>
  <c r="Q207" i="122"/>
  <c r="R206" i="122"/>
  <c r="Q206" i="122"/>
  <c r="R205" i="122"/>
  <c r="Q205" i="122"/>
  <c r="R204" i="122"/>
  <c r="Q204" i="122"/>
  <c r="R203" i="122"/>
  <c r="Q203" i="122"/>
  <c r="R202" i="122"/>
  <c r="Q202" i="122"/>
  <c r="R201" i="122"/>
  <c r="Q201" i="122"/>
  <c r="R200" i="122"/>
  <c r="Q200" i="122"/>
  <c r="R199" i="122"/>
  <c r="Q199" i="122"/>
  <c r="R198" i="122"/>
  <c r="Q198" i="122"/>
  <c r="R197" i="122"/>
  <c r="Q197" i="122"/>
  <c r="R196" i="122"/>
  <c r="Q196" i="122"/>
  <c r="R195" i="122"/>
  <c r="Q195" i="122"/>
  <c r="R194" i="122"/>
  <c r="Q194" i="122"/>
  <c r="R193" i="122"/>
  <c r="Q193" i="122"/>
  <c r="R192" i="122"/>
  <c r="Q192" i="122"/>
  <c r="R191" i="122"/>
  <c r="Q191" i="122"/>
  <c r="R190" i="122"/>
  <c r="Q190" i="122"/>
  <c r="R189" i="122"/>
  <c r="Q189" i="122"/>
  <c r="R188" i="122"/>
  <c r="Q188" i="122"/>
  <c r="R187" i="122"/>
  <c r="Q187" i="122"/>
  <c r="R186" i="122"/>
  <c r="Q186" i="122"/>
  <c r="R185" i="122"/>
  <c r="Q185" i="122"/>
  <c r="R184" i="122"/>
  <c r="Q184" i="122"/>
  <c r="R183" i="122"/>
  <c r="Q183" i="122"/>
  <c r="R182" i="122"/>
  <c r="Q182" i="122"/>
  <c r="R181" i="122"/>
  <c r="Q181" i="122"/>
  <c r="R180" i="122"/>
  <c r="Q180" i="122"/>
  <c r="R179" i="122"/>
  <c r="Q179" i="122"/>
  <c r="R178" i="122"/>
  <c r="Q178" i="122"/>
  <c r="R177" i="122"/>
  <c r="Q177" i="122"/>
  <c r="R176" i="122"/>
  <c r="Q176" i="122"/>
  <c r="R175" i="122"/>
  <c r="Q175" i="122"/>
  <c r="R174" i="122"/>
  <c r="Q174" i="122"/>
  <c r="R173" i="122"/>
  <c r="Q173" i="122"/>
  <c r="R172" i="122"/>
  <c r="Q172" i="122"/>
  <c r="R171" i="122"/>
  <c r="Q171" i="122"/>
  <c r="R170" i="122"/>
  <c r="Q170" i="122"/>
  <c r="R169" i="122"/>
  <c r="Q169" i="122"/>
  <c r="R168" i="122"/>
  <c r="Q168" i="122"/>
  <c r="R167" i="122"/>
  <c r="Q167" i="122"/>
  <c r="R166" i="122"/>
  <c r="Q166" i="122"/>
  <c r="R165" i="122"/>
  <c r="Q165" i="122"/>
  <c r="R164" i="122"/>
  <c r="Q164" i="122"/>
  <c r="R163" i="122"/>
  <c r="Q163" i="122"/>
  <c r="R162" i="122"/>
  <c r="Q162" i="122"/>
  <c r="R161" i="122"/>
  <c r="Q161" i="122"/>
  <c r="R160" i="122"/>
  <c r="Q160" i="122"/>
  <c r="R159" i="122"/>
  <c r="Q159" i="122"/>
  <c r="R158" i="122"/>
  <c r="Q158" i="122"/>
  <c r="R157" i="122"/>
  <c r="Q157" i="122"/>
  <c r="R156" i="122"/>
  <c r="Q156" i="122"/>
  <c r="R155" i="122"/>
  <c r="Q155" i="122"/>
  <c r="R154" i="122"/>
  <c r="Q154" i="122"/>
  <c r="R153" i="122"/>
  <c r="Q153" i="122"/>
  <c r="R152" i="122"/>
  <c r="Q152" i="122"/>
  <c r="R151" i="122"/>
  <c r="Q151" i="122"/>
  <c r="R150" i="122"/>
  <c r="Q150" i="122"/>
  <c r="R149" i="122"/>
  <c r="Q149" i="122"/>
  <c r="R148" i="122"/>
  <c r="Q148" i="122"/>
  <c r="R147" i="122"/>
  <c r="Q147" i="122"/>
  <c r="R146" i="122"/>
  <c r="Q146" i="122"/>
  <c r="R145" i="122"/>
  <c r="Q145" i="122"/>
  <c r="R144" i="122"/>
  <c r="Q144" i="122"/>
  <c r="R143" i="122"/>
  <c r="Q143" i="122"/>
  <c r="R142" i="122"/>
  <c r="Q142" i="122"/>
  <c r="R141" i="122"/>
  <c r="Q141" i="122"/>
  <c r="R140" i="122"/>
  <c r="Q140" i="122"/>
  <c r="R139" i="122"/>
  <c r="Q139" i="122"/>
  <c r="R138" i="122"/>
  <c r="Q138" i="122"/>
  <c r="R137" i="122"/>
  <c r="Q137" i="122"/>
  <c r="R136" i="122"/>
  <c r="Q136" i="122"/>
  <c r="R135" i="122"/>
  <c r="Q135" i="122"/>
  <c r="R134" i="122"/>
  <c r="Q134" i="122"/>
  <c r="R133" i="122"/>
  <c r="Q133" i="122"/>
  <c r="R132" i="122"/>
  <c r="Q132" i="122"/>
  <c r="R131" i="122"/>
  <c r="Q131" i="122"/>
  <c r="R130" i="122"/>
  <c r="Q130" i="122"/>
  <c r="R129" i="122"/>
  <c r="Q129" i="122"/>
  <c r="R128" i="122"/>
  <c r="Q128" i="122"/>
  <c r="R127" i="122"/>
  <c r="Q127" i="122"/>
  <c r="R126" i="122"/>
  <c r="Q126" i="122"/>
  <c r="R125" i="122"/>
  <c r="Q125" i="122"/>
  <c r="R124" i="122"/>
  <c r="Q124" i="122"/>
  <c r="R123" i="122"/>
  <c r="Q123" i="122"/>
  <c r="R122" i="122"/>
  <c r="Q122" i="122"/>
  <c r="R121" i="122"/>
  <c r="Q121" i="122"/>
  <c r="R120" i="122"/>
  <c r="Q120" i="122"/>
  <c r="R119" i="122"/>
  <c r="Q119" i="122"/>
  <c r="R118" i="122"/>
  <c r="Q118" i="122"/>
  <c r="R117" i="122"/>
  <c r="Q117" i="122"/>
  <c r="R116" i="122"/>
  <c r="Q116" i="122"/>
  <c r="R115" i="122"/>
  <c r="Q115" i="122"/>
  <c r="R114" i="122"/>
  <c r="Q114" i="122"/>
  <c r="R113" i="122"/>
  <c r="Q113" i="122"/>
  <c r="R112" i="122"/>
  <c r="Q112" i="122"/>
  <c r="R111" i="122"/>
  <c r="Q111" i="122"/>
  <c r="R110" i="122"/>
  <c r="Q110" i="122"/>
  <c r="R109" i="122"/>
  <c r="Q109" i="122"/>
  <c r="R108" i="122"/>
  <c r="Q108" i="122"/>
  <c r="R107" i="122"/>
  <c r="Q107" i="122"/>
  <c r="R106" i="122"/>
  <c r="Q106" i="122"/>
  <c r="R105" i="122"/>
  <c r="Q105" i="122"/>
  <c r="R104" i="122"/>
  <c r="Q104" i="122"/>
  <c r="R103" i="122"/>
  <c r="Q103" i="122"/>
  <c r="R102" i="122"/>
  <c r="Q102" i="122"/>
  <c r="R101" i="122"/>
  <c r="Q101" i="122"/>
  <c r="R100" i="122"/>
  <c r="Q100" i="122"/>
  <c r="R99" i="122"/>
  <c r="Q99" i="122"/>
  <c r="R98" i="122"/>
  <c r="Q98" i="122"/>
  <c r="R97" i="122"/>
  <c r="Q97" i="122"/>
  <c r="R96" i="122"/>
  <c r="Q96" i="122"/>
  <c r="R95" i="122"/>
  <c r="Q95" i="122"/>
  <c r="R94" i="122"/>
  <c r="Q94" i="122"/>
  <c r="R93" i="122"/>
  <c r="Q93" i="122"/>
  <c r="R92" i="122"/>
  <c r="Q92" i="122"/>
  <c r="R91" i="122"/>
  <c r="Q91" i="122"/>
  <c r="R90" i="122"/>
  <c r="Q90" i="122"/>
  <c r="R89" i="122"/>
  <c r="Q89" i="122"/>
  <c r="R88" i="122"/>
  <c r="Q88" i="122"/>
  <c r="R87" i="122"/>
  <c r="Q87" i="122"/>
  <c r="R86" i="122"/>
  <c r="Q86" i="122"/>
  <c r="R85" i="122"/>
  <c r="Q85" i="122"/>
  <c r="R84" i="122"/>
  <c r="Q84" i="122"/>
  <c r="R83" i="122"/>
  <c r="Q83" i="122"/>
  <c r="R82" i="122"/>
  <c r="Q82" i="122"/>
  <c r="R81" i="122"/>
  <c r="Q81" i="122"/>
  <c r="R80" i="122"/>
  <c r="Q80" i="122"/>
  <c r="R79" i="122"/>
  <c r="Q79" i="122"/>
  <c r="R78" i="122"/>
  <c r="Q78" i="122"/>
  <c r="R77" i="122"/>
  <c r="Q77" i="122"/>
  <c r="R76" i="122"/>
  <c r="Q76" i="122"/>
  <c r="R75" i="122"/>
  <c r="Q75" i="122"/>
  <c r="R74" i="122"/>
  <c r="Q74" i="122"/>
  <c r="R73" i="122"/>
  <c r="Q73" i="122"/>
  <c r="R72" i="122"/>
  <c r="Q72" i="122"/>
  <c r="R71" i="122"/>
  <c r="Q71" i="122"/>
  <c r="R70" i="122"/>
  <c r="Q70" i="122"/>
  <c r="R69" i="122"/>
  <c r="Q69" i="122"/>
  <c r="R68" i="122"/>
  <c r="Q68" i="122"/>
  <c r="R67" i="122"/>
  <c r="Q67" i="122"/>
  <c r="R66" i="122"/>
  <c r="Q66" i="122"/>
  <c r="R65" i="122"/>
  <c r="Q65" i="122"/>
  <c r="R64" i="122"/>
  <c r="Q64" i="122"/>
  <c r="R63" i="122"/>
  <c r="Q63" i="122"/>
  <c r="R62" i="122"/>
  <c r="Q62" i="122"/>
  <c r="R61" i="122"/>
  <c r="Q61" i="122"/>
  <c r="R60" i="122"/>
  <c r="Q60" i="122"/>
  <c r="R59" i="122"/>
  <c r="Q59" i="122"/>
  <c r="R58" i="122"/>
  <c r="Q58" i="122"/>
  <c r="R57" i="122"/>
  <c r="Q57" i="122"/>
  <c r="R56" i="122"/>
  <c r="Q56" i="122"/>
  <c r="R55" i="122"/>
  <c r="Q55" i="122"/>
  <c r="R54" i="122"/>
  <c r="Q54" i="122"/>
  <c r="R53" i="122"/>
  <c r="Q53" i="122"/>
  <c r="R52" i="122"/>
  <c r="Q52" i="122"/>
  <c r="R51" i="122"/>
  <c r="Q51" i="122"/>
  <c r="R50" i="122"/>
  <c r="Q50" i="122"/>
  <c r="R49" i="122"/>
  <c r="Q49" i="122"/>
  <c r="R48" i="122"/>
  <c r="Q48" i="122"/>
  <c r="R47" i="122"/>
  <c r="Q47" i="122"/>
  <c r="R46" i="122"/>
  <c r="Q46" i="122"/>
  <c r="R45" i="122"/>
  <c r="Q45" i="122"/>
  <c r="R44" i="122"/>
  <c r="Q44" i="122"/>
  <c r="R43" i="122"/>
  <c r="Q43" i="122"/>
  <c r="R42" i="122"/>
  <c r="Q42" i="122"/>
  <c r="R41" i="122"/>
  <c r="Q41" i="122"/>
  <c r="R40" i="122"/>
  <c r="Q40" i="122"/>
  <c r="R39" i="122"/>
  <c r="Q39" i="122"/>
  <c r="R38" i="122"/>
  <c r="Q38" i="122"/>
  <c r="R37" i="122"/>
  <c r="Q37" i="122"/>
  <c r="R36" i="122"/>
  <c r="Q36" i="122"/>
  <c r="R35" i="122"/>
  <c r="Q35" i="122"/>
  <c r="R34" i="122"/>
  <c r="Q34" i="122"/>
  <c r="R33" i="122"/>
  <c r="Q33" i="122"/>
  <c r="R32" i="122"/>
  <c r="Q32" i="122"/>
  <c r="R31" i="122"/>
  <c r="Q31" i="122"/>
  <c r="R30" i="122"/>
  <c r="Q30" i="122"/>
  <c r="R29" i="122"/>
  <c r="Q29" i="122"/>
  <c r="R28" i="122"/>
  <c r="Q28" i="122"/>
  <c r="R27" i="122"/>
  <c r="Q27" i="122"/>
  <c r="R26" i="122"/>
  <c r="Q26" i="122"/>
  <c r="R25" i="122"/>
  <c r="Q25" i="122"/>
  <c r="R24" i="122"/>
  <c r="Q24" i="122"/>
  <c r="R23" i="122"/>
  <c r="Q23" i="122"/>
  <c r="R22" i="122"/>
  <c r="Q22" i="122"/>
  <c r="R21" i="122"/>
  <c r="Q21" i="122"/>
  <c r="R20" i="122"/>
  <c r="Q20" i="122"/>
  <c r="R19" i="122"/>
  <c r="Q19" i="122"/>
  <c r="R18" i="122"/>
  <c r="Q18" i="122"/>
  <c r="R17" i="122"/>
  <c r="Q17" i="122"/>
  <c r="R16" i="122"/>
  <c r="Q16" i="122"/>
  <c r="R15" i="122"/>
  <c r="Q15" i="122"/>
  <c r="R14" i="122"/>
  <c r="Q14" i="122"/>
  <c r="R13" i="122"/>
  <c r="Q13" i="122"/>
  <c r="R12" i="122"/>
  <c r="Q12" i="122"/>
  <c r="R11" i="122"/>
  <c r="Q11" i="122"/>
  <c r="R10" i="122"/>
  <c r="Q10" i="122"/>
  <c r="R9" i="122"/>
  <c r="D4" i="122"/>
  <c r="Q9" i="122"/>
  <c r="A2" i="122" a="1"/>
  <c r="A2" i="122" s="1"/>
  <c r="A1" i="122" s="1"/>
  <c r="D53" i="126" s="1" a="1"/>
  <c r="D53" i="126" s="1"/>
  <c r="R208" i="121"/>
  <c r="Q208" i="121"/>
  <c r="R207" i="121"/>
  <c r="Q207" i="121"/>
  <c r="R206" i="121"/>
  <c r="Q206" i="121"/>
  <c r="R205" i="121"/>
  <c r="Q205" i="121"/>
  <c r="R204" i="121"/>
  <c r="Q204" i="121"/>
  <c r="R203" i="121"/>
  <c r="Q203" i="121"/>
  <c r="R202" i="121"/>
  <c r="Q202" i="121"/>
  <c r="R201" i="121"/>
  <c r="Q201" i="121"/>
  <c r="R200" i="121"/>
  <c r="Q200" i="121"/>
  <c r="R199" i="121"/>
  <c r="Q199" i="121"/>
  <c r="R198" i="121"/>
  <c r="Q198" i="121"/>
  <c r="R197" i="121"/>
  <c r="Q197" i="121"/>
  <c r="R196" i="121"/>
  <c r="Q196" i="121"/>
  <c r="R195" i="121"/>
  <c r="Q195" i="121"/>
  <c r="R194" i="121"/>
  <c r="Q194" i="121"/>
  <c r="R193" i="121"/>
  <c r="Q193" i="121"/>
  <c r="R192" i="121"/>
  <c r="Q192" i="121"/>
  <c r="R191" i="121"/>
  <c r="Q191" i="121"/>
  <c r="R190" i="121"/>
  <c r="Q190" i="121"/>
  <c r="R189" i="121"/>
  <c r="Q189" i="121"/>
  <c r="R188" i="121"/>
  <c r="Q188" i="121"/>
  <c r="R187" i="121"/>
  <c r="Q187" i="121"/>
  <c r="R186" i="121"/>
  <c r="Q186" i="121"/>
  <c r="R185" i="121"/>
  <c r="Q185" i="121"/>
  <c r="R184" i="121"/>
  <c r="Q184" i="121"/>
  <c r="R183" i="121"/>
  <c r="Q183" i="121"/>
  <c r="R182" i="121"/>
  <c r="Q182" i="121"/>
  <c r="R181" i="121"/>
  <c r="Q181" i="121"/>
  <c r="R180" i="121"/>
  <c r="Q180" i="121"/>
  <c r="R179" i="121"/>
  <c r="Q179" i="121"/>
  <c r="R178" i="121"/>
  <c r="Q178" i="121"/>
  <c r="R177" i="121"/>
  <c r="Q177" i="121"/>
  <c r="R176" i="121"/>
  <c r="Q176" i="121"/>
  <c r="R175" i="121"/>
  <c r="Q175" i="121"/>
  <c r="R174" i="121"/>
  <c r="Q174" i="121"/>
  <c r="R173" i="121"/>
  <c r="Q173" i="121"/>
  <c r="R172" i="121"/>
  <c r="Q172" i="121"/>
  <c r="R171" i="121"/>
  <c r="Q171" i="121"/>
  <c r="R170" i="121"/>
  <c r="Q170" i="121"/>
  <c r="R169" i="121"/>
  <c r="Q169" i="121"/>
  <c r="R168" i="121"/>
  <c r="Q168" i="121"/>
  <c r="R167" i="121"/>
  <c r="Q167" i="121"/>
  <c r="R166" i="121"/>
  <c r="Q166" i="121"/>
  <c r="R165" i="121"/>
  <c r="Q165" i="121"/>
  <c r="R164" i="121"/>
  <c r="Q164" i="121"/>
  <c r="R163" i="121"/>
  <c r="Q163" i="121"/>
  <c r="R162" i="121"/>
  <c r="Q162" i="121"/>
  <c r="R161" i="121"/>
  <c r="Q161" i="121"/>
  <c r="R160" i="121"/>
  <c r="Q160" i="121"/>
  <c r="R159" i="121"/>
  <c r="Q159" i="121"/>
  <c r="R158" i="121"/>
  <c r="Q158" i="121"/>
  <c r="R157" i="121"/>
  <c r="Q157" i="121"/>
  <c r="R156" i="121"/>
  <c r="Q156" i="121"/>
  <c r="R155" i="121"/>
  <c r="Q155" i="121"/>
  <c r="R154" i="121"/>
  <c r="Q154" i="121"/>
  <c r="R153" i="121"/>
  <c r="Q153" i="121"/>
  <c r="R152" i="121"/>
  <c r="Q152" i="121"/>
  <c r="R151" i="121"/>
  <c r="Q151" i="121"/>
  <c r="R150" i="121"/>
  <c r="Q150" i="121"/>
  <c r="R149" i="121"/>
  <c r="Q149" i="121"/>
  <c r="R148" i="121"/>
  <c r="Q148" i="121"/>
  <c r="R147" i="121"/>
  <c r="Q147" i="121"/>
  <c r="R146" i="121"/>
  <c r="Q146" i="121"/>
  <c r="R145" i="121"/>
  <c r="Q145" i="121"/>
  <c r="R144" i="121"/>
  <c r="Q144" i="121"/>
  <c r="R143" i="121"/>
  <c r="Q143" i="121"/>
  <c r="R142" i="121"/>
  <c r="Q142" i="121"/>
  <c r="R141" i="121"/>
  <c r="Q141" i="121"/>
  <c r="R140" i="121"/>
  <c r="Q140" i="121"/>
  <c r="R139" i="121"/>
  <c r="Q139" i="121"/>
  <c r="R138" i="121"/>
  <c r="Q138" i="121"/>
  <c r="R137" i="121"/>
  <c r="Q137" i="121"/>
  <c r="R136" i="121"/>
  <c r="Q136" i="121"/>
  <c r="R135" i="121"/>
  <c r="Q135" i="121"/>
  <c r="R134" i="121"/>
  <c r="Q134" i="121"/>
  <c r="R133" i="121"/>
  <c r="Q133" i="121"/>
  <c r="R132" i="121"/>
  <c r="Q132" i="121"/>
  <c r="R131" i="121"/>
  <c r="Q131" i="121"/>
  <c r="R130" i="121"/>
  <c r="Q130" i="121"/>
  <c r="R129" i="121"/>
  <c r="Q129" i="121"/>
  <c r="R128" i="121"/>
  <c r="Q128" i="121"/>
  <c r="R127" i="121"/>
  <c r="Q127" i="121"/>
  <c r="R126" i="121"/>
  <c r="Q126" i="121"/>
  <c r="R125" i="121"/>
  <c r="Q125" i="121"/>
  <c r="R124" i="121"/>
  <c r="Q124" i="121"/>
  <c r="R123" i="121"/>
  <c r="Q123" i="121"/>
  <c r="R122" i="121"/>
  <c r="Q122" i="121"/>
  <c r="R121" i="121"/>
  <c r="Q121" i="121"/>
  <c r="R120" i="121"/>
  <c r="Q120" i="121"/>
  <c r="R119" i="121"/>
  <c r="Q119" i="121"/>
  <c r="R118" i="121"/>
  <c r="Q118" i="121"/>
  <c r="R117" i="121"/>
  <c r="Q117" i="121"/>
  <c r="R116" i="121"/>
  <c r="Q116" i="121"/>
  <c r="R115" i="121"/>
  <c r="Q115" i="121"/>
  <c r="R114" i="121"/>
  <c r="Q114" i="121"/>
  <c r="R113" i="121"/>
  <c r="Q113" i="121"/>
  <c r="R112" i="121"/>
  <c r="Q112" i="121"/>
  <c r="R111" i="121"/>
  <c r="Q111" i="121"/>
  <c r="R110" i="121"/>
  <c r="Q110" i="121"/>
  <c r="R109" i="121"/>
  <c r="Q109" i="121"/>
  <c r="R108" i="121"/>
  <c r="Q108" i="121"/>
  <c r="R107" i="121"/>
  <c r="Q107" i="121"/>
  <c r="R106" i="121"/>
  <c r="Q106" i="121"/>
  <c r="R105" i="121"/>
  <c r="Q105" i="121"/>
  <c r="R104" i="121"/>
  <c r="Q104" i="121"/>
  <c r="R103" i="121"/>
  <c r="Q103" i="121"/>
  <c r="R102" i="121"/>
  <c r="Q102" i="121"/>
  <c r="R101" i="121"/>
  <c r="Q101" i="121"/>
  <c r="R100" i="121"/>
  <c r="Q100" i="121"/>
  <c r="R99" i="121"/>
  <c r="Q99" i="121"/>
  <c r="R98" i="121"/>
  <c r="Q98" i="121"/>
  <c r="R97" i="121"/>
  <c r="Q97" i="121"/>
  <c r="R96" i="121"/>
  <c r="Q96" i="121"/>
  <c r="R95" i="121"/>
  <c r="Q95" i="121"/>
  <c r="R94" i="121"/>
  <c r="Q94" i="121"/>
  <c r="R93" i="121"/>
  <c r="Q93" i="121"/>
  <c r="R92" i="121"/>
  <c r="Q92" i="121"/>
  <c r="R91" i="121"/>
  <c r="Q91" i="121"/>
  <c r="R90" i="121"/>
  <c r="Q90" i="121"/>
  <c r="R89" i="121"/>
  <c r="Q89" i="121"/>
  <c r="R88" i="121"/>
  <c r="Q88" i="121"/>
  <c r="R87" i="121"/>
  <c r="Q87" i="121"/>
  <c r="R86" i="121"/>
  <c r="Q86" i="121"/>
  <c r="R85" i="121"/>
  <c r="Q85" i="121"/>
  <c r="R84" i="121"/>
  <c r="Q84" i="121"/>
  <c r="R83" i="121"/>
  <c r="Q83" i="121"/>
  <c r="R82" i="121"/>
  <c r="Q82" i="121"/>
  <c r="R81" i="121"/>
  <c r="Q81" i="121"/>
  <c r="R80" i="121"/>
  <c r="Q80" i="121"/>
  <c r="R79" i="121"/>
  <c r="Q79" i="121"/>
  <c r="R78" i="121"/>
  <c r="Q78" i="121"/>
  <c r="R77" i="121"/>
  <c r="Q77" i="121"/>
  <c r="R76" i="121"/>
  <c r="Q76" i="121"/>
  <c r="R75" i="121"/>
  <c r="Q75" i="121"/>
  <c r="R74" i="121"/>
  <c r="Q74" i="121"/>
  <c r="R73" i="121"/>
  <c r="Q73" i="121"/>
  <c r="R72" i="121"/>
  <c r="Q72" i="121"/>
  <c r="R71" i="121"/>
  <c r="Q71" i="121"/>
  <c r="R70" i="121"/>
  <c r="Q70" i="121"/>
  <c r="R69" i="121"/>
  <c r="Q69" i="121"/>
  <c r="R68" i="121"/>
  <c r="Q68" i="121"/>
  <c r="R67" i="121"/>
  <c r="Q67" i="121"/>
  <c r="R66" i="121"/>
  <c r="Q66" i="121"/>
  <c r="R65" i="121"/>
  <c r="Q65" i="121"/>
  <c r="R64" i="121"/>
  <c r="Q64" i="121"/>
  <c r="R63" i="121"/>
  <c r="Q63" i="121"/>
  <c r="R62" i="121"/>
  <c r="Q62" i="121"/>
  <c r="R61" i="121"/>
  <c r="Q61" i="121"/>
  <c r="R60" i="121"/>
  <c r="Q60" i="121"/>
  <c r="R59" i="121"/>
  <c r="Q59" i="121"/>
  <c r="R58" i="121"/>
  <c r="Q58" i="121"/>
  <c r="R57" i="121"/>
  <c r="Q57" i="121"/>
  <c r="R56" i="121"/>
  <c r="Q56" i="121"/>
  <c r="R55" i="121"/>
  <c r="Q55" i="121"/>
  <c r="R54" i="121"/>
  <c r="Q54" i="121"/>
  <c r="R53" i="121"/>
  <c r="Q53" i="121"/>
  <c r="R52" i="121"/>
  <c r="Q52" i="121"/>
  <c r="R51" i="121"/>
  <c r="Q51" i="121"/>
  <c r="R50" i="121"/>
  <c r="Q50" i="121"/>
  <c r="R49" i="121"/>
  <c r="Q49" i="121"/>
  <c r="R48" i="121"/>
  <c r="Q48" i="121"/>
  <c r="R47" i="121"/>
  <c r="Q47" i="121"/>
  <c r="R46" i="121"/>
  <c r="Q46" i="121"/>
  <c r="R45" i="121"/>
  <c r="Q45" i="121"/>
  <c r="R44" i="121"/>
  <c r="Q44" i="121"/>
  <c r="R43" i="121"/>
  <c r="Q43" i="121"/>
  <c r="R42" i="121"/>
  <c r="Q42" i="121"/>
  <c r="R41" i="121"/>
  <c r="Q41" i="121"/>
  <c r="R40" i="121"/>
  <c r="Q40" i="121"/>
  <c r="R39" i="121"/>
  <c r="Q39" i="121"/>
  <c r="R38" i="121"/>
  <c r="Q38" i="121"/>
  <c r="R37" i="121"/>
  <c r="Q37" i="121"/>
  <c r="R36" i="121"/>
  <c r="Q36" i="121"/>
  <c r="R35" i="121"/>
  <c r="Q35" i="121"/>
  <c r="R34" i="121"/>
  <c r="Q34" i="121"/>
  <c r="R33" i="121"/>
  <c r="Q33" i="121"/>
  <c r="R32" i="121"/>
  <c r="Q32" i="121"/>
  <c r="R31" i="121"/>
  <c r="Q31" i="121"/>
  <c r="R30" i="121"/>
  <c r="Q30" i="121"/>
  <c r="R29" i="121"/>
  <c r="Q29" i="121"/>
  <c r="R28" i="121"/>
  <c r="Q28" i="121"/>
  <c r="R27" i="121"/>
  <c r="Q27" i="121"/>
  <c r="R26" i="121"/>
  <c r="Q26" i="121"/>
  <c r="R25" i="121"/>
  <c r="Q25" i="121"/>
  <c r="R24" i="121"/>
  <c r="Q24" i="121"/>
  <c r="R23" i="121"/>
  <c r="Q23" i="121"/>
  <c r="R22" i="121"/>
  <c r="Q22" i="121"/>
  <c r="R21" i="121"/>
  <c r="Q21" i="121"/>
  <c r="R20" i="121"/>
  <c r="Q20" i="121"/>
  <c r="R19" i="121"/>
  <c r="Q19" i="121"/>
  <c r="R18" i="121"/>
  <c r="Q18" i="121"/>
  <c r="R17" i="121"/>
  <c r="Q17" i="121"/>
  <c r="R16" i="121"/>
  <c r="Q16" i="121"/>
  <c r="R15" i="121"/>
  <c r="Q15" i="121"/>
  <c r="R14" i="121"/>
  <c r="Q14" i="121"/>
  <c r="R13" i="121"/>
  <c r="Q13" i="121"/>
  <c r="R12" i="121"/>
  <c r="Q12" i="121"/>
  <c r="R11" i="121"/>
  <c r="Q11" i="121"/>
  <c r="R10" i="121"/>
  <c r="Q10" i="121"/>
  <c r="R9" i="121"/>
  <c r="D4" i="121"/>
  <c r="Q9" i="121"/>
  <c r="A2" i="121" a="1"/>
  <c r="A2" i="121" s="1"/>
  <c r="A1" i="121" s="1"/>
  <c r="D52" i="126" s="1" a="1"/>
  <c r="D52" i="126" s="1"/>
  <c r="R208" i="120"/>
  <c r="Q208" i="120"/>
  <c r="R207" i="120"/>
  <c r="Q207" i="120"/>
  <c r="R206" i="120"/>
  <c r="Q206" i="120"/>
  <c r="R205" i="120"/>
  <c r="Q205" i="120"/>
  <c r="R204" i="120"/>
  <c r="Q204" i="120"/>
  <c r="R203" i="120"/>
  <c r="Q203" i="120"/>
  <c r="R202" i="120"/>
  <c r="Q202" i="120"/>
  <c r="R201" i="120"/>
  <c r="Q201" i="120"/>
  <c r="R200" i="120"/>
  <c r="Q200" i="120"/>
  <c r="R199" i="120"/>
  <c r="Q199" i="120"/>
  <c r="R198" i="120"/>
  <c r="Q198" i="120"/>
  <c r="R197" i="120"/>
  <c r="Q197" i="120"/>
  <c r="R196" i="120"/>
  <c r="Q196" i="120"/>
  <c r="R195" i="120"/>
  <c r="Q195" i="120"/>
  <c r="R194" i="120"/>
  <c r="Q194" i="120"/>
  <c r="R193" i="120"/>
  <c r="Q193" i="120"/>
  <c r="R192" i="120"/>
  <c r="Q192" i="120"/>
  <c r="R191" i="120"/>
  <c r="Q191" i="120"/>
  <c r="R190" i="120"/>
  <c r="Q190" i="120"/>
  <c r="R189" i="120"/>
  <c r="Q189" i="120"/>
  <c r="R188" i="120"/>
  <c r="Q188" i="120"/>
  <c r="R187" i="120"/>
  <c r="Q187" i="120"/>
  <c r="R186" i="120"/>
  <c r="Q186" i="120"/>
  <c r="R185" i="120"/>
  <c r="Q185" i="120"/>
  <c r="R184" i="120"/>
  <c r="Q184" i="120"/>
  <c r="R183" i="120"/>
  <c r="Q183" i="120"/>
  <c r="R182" i="120"/>
  <c r="Q182" i="120"/>
  <c r="R181" i="120"/>
  <c r="Q181" i="120"/>
  <c r="R180" i="120"/>
  <c r="Q180" i="120"/>
  <c r="R179" i="120"/>
  <c r="Q179" i="120"/>
  <c r="R178" i="120"/>
  <c r="Q178" i="120"/>
  <c r="R177" i="120"/>
  <c r="Q177" i="120"/>
  <c r="R176" i="120"/>
  <c r="Q176" i="120"/>
  <c r="R175" i="120"/>
  <c r="Q175" i="120"/>
  <c r="R174" i="120"/>
  <c r="Q174" i="120"/>
  <c r="R173" i="120"/>
  <c r="Q173" i="120"/>
  <c r="R172" i="120"/>
  <c r="Q172" i="120"/>
  <c r="R171" i="120"/>
  <c r="Q171" i="120"/>
  <c r="R170" i="120"/>
  <c r="Q170" i="120"/>
  <c r="R169" i="120"/>
  <c r="Q169" i="120"/>
  <c r="R168" i="120"/>
  <c r="Q168" i="120"/>
  <c r="R167" i="120"/>
  <c r="Q167" i="120"/>
  <c r="R166" i="120"/>
  <c r="Q166" i="120"/>
  <c r="R165" i="120"/>
  <c r="Q165" i="120"/>
  <c r="R164" i="120"/>
  <c r="Q164" i="120"/>
  <c r="R163" i="120"/>
  <c r="Q163" i="120"/>
  <c r="R162" i="120"/>
  <c r="Q162" i="120"/>
  <c r="R161" i="120"/>
  <c r="Q161" i="120"/>
  <c r="R160" i="120"/>
  <c r="Q160" i="120"/>
  <c r="R159" i="120"/>
  <c r="Q159" i="120"/>
  <c r="R158" i="120"/>
  <c r="Q158" i="120"/>
  <c r="R157" i="120"/>
  <c r="Q157" i="120"/>
  <c r="R156" i="120"/>
  <c r="Q156" i="120"/>
  <c r="R155" i="120"/>
  <c r="Q155" i="120"/>
  <c r="R154" i="120"/>
  <c r="Q154" i="120"/>
  <c r="R153" i="120"/>
  <c r="Q153" i="120"/>
  <c r="R152" i="120"/>
  <c r="Q152" i="120"/>
  <c r="R151" i="120"/>
  <c r="Q151" i="120"/>
  <c r="R150" i="120"/>
  <c r="Q150" i="120"/>
  <c r="R149" i="120"/>
  <c r="Q149" i="120"/>
  <c r="R148" i="120"/>
  <c r="Q148" i="120"/>
  <c r="R147" i="120"/>
  <c r="Q147" i="120"/>
  <c r="R146" i="120"/>
  <c r="Q146" i="120"/>
  <c r="R145" i="120"/>
  <c r="Q145" i="120"/>
  <c r="R144" i="120"/>
  <c r="Q144" i="120"/>
  <c r="R143" i="120"/>
  <c r="Q143" i="120"/>
  <c r="R142" i="120"/>
  <c r="Q142" i="120"/>
  <c r="R141" i="120"/>
  <c r="Q141" i="120"/>
  <c r="R140" i="120"/>
  <c r="Q140" i="120"/>
  <c r="R139" i="120"/>
  <c r="Q139" i="120"/>
  <c r="R138" i="120"/>
  <c r="Q138" i="120"/>
  <c r="R137" i="120"/>
  <c r="Q137" i="120"/>
  <c r="R136" i="120"/>
  <c r="Q136" i="120"/>
  <c r="R135" i="120"/>
  <c r="Q135" i="120"/>
  <c r="R134" i="120"/>
  <c r="Q134" i="120"/>
  <c r="R133" i="120"/>
  <c r="Q133" i="120"/>
  <c r="R132" i="120"/>
  <c r="Q132" i="120"/>
  <c r="R131" i="120"/>
  <c r="Q131" i="120"/>
  <c r="R130" i="120"/>
  <c r="Q130" i="120"/>
  <c r="R129" i="120"/>
  <c r="Q129" i="120"/>
  <c r="R128" i="120"/>
  <c r="Q128" i="120"/>
  <c r="R127" i="120"/>
  <c r="Q127" i="120"/>
  <c r="R126" i="120"/>
  <c r="Q126" i="120"/>
  <c r="R125" i="120"/>
  <c r="Q125" i="120"/>
  <c r="R124" i="120"/>
  <c r="Q124" i="120"/>
  <c r="R123" i="120"/>
  <c r="Q123" i="120"/>
  <c r="R122" i="120"/>
  <c r="Q122" i="120"/>
  <c r="R121" i="120"/>
  <c r="Q121" i="120"/>
  <c r="R120" i="120"/>
  <c r="Q120" i="120"/>
  <c r="R119" i="120"/>
  <c r="Q119" i="120"/>
  <c r="R118" i="120"/>
  <c r="Q118" i="120"/>
  <c r="R117" i="120"/>
  <c r="Q117" i="120"/>
  <c r="R116" i="120"/>
  <c r="Q116" i="120"/>
  <c r="R115" i="120"/>
  <c r="Q115" i="120"/>
  <c r="R114" i="120"/>
  <c r="Q114" i="120"/>
  <c r="R113" i="120"/>
  <c r="Q113" i="120"/>
  <c r="R112" i="120"/>
  <c r="Q112" i="120"/>
  <c r="R111" i="120"/>
  <c r="Q111" i="120"/>
  <c r="R110" i="120"/>
  <c r="Q110" i="120"/>
  <c r="R109" i="120"/>
  <c r="Q109" i="120"/>
  <c r="R108" i="120"/>
  <c r="Q108" i="120"/>
  <c r="R107" i="120"/>
  <c r="Q107" i="120"/>
  <c r="R106" i="120"/>
  <c r="Q106" i="120"/>
  <c r="R105" i="120"/>
  <c r="Q105" i="120"/>
  <c r="R104" i="120"/>
  <c r="Q104" i="120"/>
  <c r="R103" i="120"/>
  <c r="Q103" i="120"/>
  <c r="R102" i="120"/>
  <c r="Q102" i="120"/>
  <c r="R101" i="120"/>
  <c r="Q101" i="120"/>
  <c r="R100" i="120"/>
  <c r="Q100" i="120"/>
  <c r="R99" i="120"/>
  <c r="Q99" i="120"/>
  <c r="R98" i="120"/>
  <c r="Q98" i="120"/>
  <c r="R97" i="120"/>
  <c r="Q97" i="120"/>
  <c r="R96" i="120"/>
  <c r="Q96" i="120"/>
  <c r="R95" i="120"/>
  <c r="Q95" i="120"/>
  <c r="R94" i="120"/>
  <c r="Q94" i="120"/>
  <c r="R93" i="120"/>
  <c r="Q93" i="120"/>
  <c r="R92" i="120"/>
  <c r="Q92" i="120"/>
  <c r="R91" i="120"/>
  <c r="Q91" i="120"/>
  <c r="R90" i="120"/>
  <c r="Q90" i="120"/>
  <c r="R89" i="120"/>
  <c r="Q89" i="120"/>
  <c r="R88" i="120"/>
  <c r="Q88" i="120"/>
  <c r="R87" i="120"/>
  <c r="Q87" i="120"/>
  <c r="R86" i="120"/>
  <c r="Q86" i="120"/>
  <c r="R85" i="120"/>
  <c r="Q85" i="120"/>
  <c r="R84" i="120"/>
  <c r="Q84" i="120"/>
  <c r="R83" i="120"/>
  <c r="Q83" i="120"/>
  <c r="R82" i="120"/>
  <c r="Q82" i="120"/>
  <c r="R81" i="120"/>
  <c r="Q81" i="120"/>
  <c r="R80" i="120"/>
  <c r="Q80" i="120"/>
  <c r="R79" i="120"/>
  <c r="Q79" i="120"/>
  <c r="R78" i="120"/>
  <c r="Q78" i="120"/>
  <c r="R77" i="120"/>
  <c r="Q77" i="120"/>
  <c r="R76" i="120"/>
  <c r="Q76" i="120"/>
  <c r="R75" i="120"/>
  <c r="Q75" i="120"/>
  <c r="R74" i="120"/>
  <c r="Q74" i="120"/>
  <c r="R73" i="120"/>
  <c r="Q73" i="120"/>
  <c r="R72" i="120"/>
  <c r="Q72" i="120"/>
  <c r="R71" i="120"/>
  <c r="Q71" i="120"/>
  <c r="R70" i="120"/>
  <c r="Q70" i="120"/>
  <c r="R69" i="120"/>
  <c r="Q69" i="120"/>
  <c r="R68" i="120"/>
  <c r="Q68" i="120"/>
  <c r="R67" i="120"/>
  <c r="Q67" i="120"/>
  <c r="R66" i="120"/>
  <c r="Q66" i="120"/>
  <c r="R65" i="120"/>
  <c r="Q65" i="120"/>
  <c r="R64" i="120"/>
  <c r="Q64" i="120"/>
  <c r="R63" i="120"/>
  <c r="Q63" i="120"/>
  <c r="R62" i="120"/>
  <c r="Q62" i="120"/>
  <c r="R61" i="120"/>
  <c r="Q61" i="120"/>
  <c r="R60" i="120"/>
  <c r="Q60" i="120"/>
  <c r="R59" i="120"/>
  <c r="Q59" i="120"/>
  <c r="R58" i="120"/>
  <c r="Q58" i="120"/>
  <c r="R57" i="120"/>
  <c r="Q57" i="120"/>
  <c r="R56" i="120"/>
  <c r="Q56" i="120"/>
  <c r="R55" i="120"/>
  <c r="Q55" i="120"/>
  <c r="R54" i="120"/>
  <c r="Q54" i="120"/>
  <c r="R53" i="120"/>
  <c r="Q53" i="120"/>
  <c r="R52" i="120"/>
  <c r="Q52" i="120"/>
  <c r="R51" i="120"/>
  <c r="Q51" i="120"/>
  <c r="R50" i="120"/>
  <c r="Q50" i="120"/>
  <c r="R49" i="120"/>
  <c r="Q49" i="120"/>
  <c r="R48" i="120"/>
  <c r="Q48" i="120"/>
  <c r="R47" i="120"/>
  <c r="Q47" i="120"/>
  <c r="R46" i="120"/>
  <c r="Q46" i="120"/>
  <c r="R45" i="120"/>
  <c r="Q45" i="120"/>
  <c r="R44" i="120"/>
  <c r="Q44" i="120"/>
  <c r="R43" i="120"/>
  <c r="Q43" i="120"/>
  <c r="R42" i="120"/>
  <c r="Q42" i="120"/>
  <c r="R41" i="120"/>
  <c r="Q41" i="120"/>
  <c r="R40" i="120"/>
  <c r="Q40" i="120"/>
  <c r="R39" i="120"/>
  <c r="Q39" i="120"/>
  <c r="R38" i="120"/>
  <c r="Q38" i="120"/>
  <c r="R37" i="120"/>
  <c r="Q37" i="120"/>
  <c r="R36" i="120"/>
  <c r="Q36" i="120"/>
  <c r="R35" i="120"/>
  <c r="Q35" i="120"/>
  <c r="R34" i="120"/>
  <c r="Q34" i="120"/>
  <c r="R33" i="120"/>
  <c r="Q33" i="120"/>
  <c r="R32" i="120"/>
  <c r="Q32" i="120"/>
  <c r="R31" i="120"/>
  <c r="Q31" i="120"/>
  <c r="R30" i="120"/>
  <c r="Q30" i="120"/>
  <c r="R29" i="120"/>
  <c r="Q29" i="120"/>
  <c r="R28" i="120"/>
  <c r="Q28" i="120"/>
  <c r="R27" i="120"/>
  <c r="Q27" i="120"/>
  <c r="R26" i="120"/>
  <c r="Q26" i="120"/>
  <c r="R25" i="120"/>
  <c r="Q25" i="120"/>
  <c r="R24" i="120"/>
  <c r="Q24" i="120"/>
  <c r="R23" i="120"/>
  <c r="Q23" i="120"/>
  <c r="R22" i="120"/>
  <c r="Q22" i="120"/>
  <c r="R21" i="120"/>
  <c r="Q21" i="120"/>
  <c r="R20" i="120"/>
  <c r="Q20" i="120"/>
  <c r="R19" i="120"/>
  <c r="Q19" i="120"/>
  <c r="R18" i="120"/>
  <c r="Q18" i="120"/>
  <c r="R17" i="120"/>
  <c r="Q17" i="120"/>
  <c r="R16" i="120"/>
  <c r="Q16" i="120"/>
  <c r="R15" i="120"/>
  <c r="Q15" i="120"/>
  <c r="R14" i="120"/>
  <c r="Q14" i="120"/>
  <c r="R13" i="120"/>
  <c r="Q13" i="120"/>
  <c r="R12" i="120"/>
  <c r="Q12" i="120"/>
  <c r="R11" i="120"/>
  <c r="Q11" i="120"/>
  <c r="R10" i="120"/>
  <c r="Q10" i="120"/>
  <c r="R9" i="120"/>
  <c r="D4" i="120"/>
  <c r="Q9" i="120"/>
  <c r="A2" i="120" a="1"/>
  <c r="A2" i="120" s="1"/>
  <c r="A1" i="120" s="1"/>
  <c r="D51" i="126" s="1" a="1"/>
  <c r="D51" i="126" s="1"/>
  <c r="R208" i="119"/>
  <c r="Q208" i="119"/>
  <c r="R207" i="119"/>
  <c r="Q207" i="119"/>
  <c r="R206" i="119"/>
  <c r="Q206" i="119"/>
  <c r="R205" i="119"/>
  <c r="Q205" i="119"/>
  <c r="R204" i="119"/>
  <c r="Q204" i="119"/>
  <c r="R203" i="119"/>
  <c r="Q203" i="119"/>
  <c r="R202" i="119"/>
  <c r="Q202" i="119"/>
  <c r="R201" i="119"/>
  <c r="Q201" i="119"/>
  <c r="R200" i="119"/>
  <c r="Q200" i="119"/>
  <c r="R199" i="119"/>
  <c r="Q199" i="119"/>
  <c r="R198" i="119"/>
  <c r="Q198" i="119"/>
  <c r="R197" i="119"/>
  <c r="Q197" i="119"/>
  <c r="R196" i="119"/>
  <c r="Q196" i="119"/>
  <c r="R195" i="119"/>
  <c r="Q195" i="119"/>
  <c r="R194" i="119"/>
  <c r="Q194" i="119"/>
  <c r="R193" i="119"/>
  <c r="Q193" i="119"/>
  <c r="R192" i="119"/>
  <c r="Q192" i="119"/>
  <c r="R191" i="119"/>
  <c r="Q191" i="119"/>
  <c r="R190" i="119"/>
  <c r="Q190" i="119"/>
  <c r="R189" i="119"/>
  <c r="Q189" i="119"/>
  <c r="R188" i="119"/>
  <c r="Q188" i="119"/>
  <c r="R187" i="119"/>
  <c r="Q187" i="119"/>
  <c r="R186" i="119"/>
  <c r="Q186" i="119"/>
  <c r="R185" i="119"/>
  <c r="Q185" i="119"/>
  <c r="R184" i="119"/>
  <c r="Q184" i="119"/>
  <c r="R183" i="119"/>
  <c r="Q183" i="119"/>
  <c r="R182" i="119"/>
  <c r="Q182" i="119"/>
  <c r="R181" i="119"/>
  <c r="Q181" i="119"/>
  <c r="R180" i="119"/>
  <c r="Q180" i="119"/>
  <c r="R179" i="119"/>
  <c r="Q179" i="119"/>
  <c r="R178" i="119"/>
  <c r="Q178" i="119"/>
  <c r="R177" i="119"/>
  <c r="Q177" i="119"/>
  <c r="R176" i="119"/>
  <c r="Q176" i="119"/>
  <c r="R175" i="119"/>
  <c r="Q175" i="119"/>
  <c r="R174" i="119"/>
  <c r="Q174" i="119"/>
  <c r="R173" i="119"/>
  <c r="Q173" i="119"/>
  <c r="R172" i="119"/>
  <c r="Q172" i="119"/>
  <c r="R171" i="119"/>
  <c r="Q171" i="119"/>
  <c r="R170" i="119"/>
  <c r="Q170" i="119"/>
  <c r="R169" i="119"/>
  <c r="Q169" i="119"/>
  <c r="R168" i="119"/>
  <c r="Q168" i="119"/>
  <c r="R167" i="119"/>
  <c r="Q167" i="119"/>
  <c r="R166" i="119"/>
  <c r="Q166" i="119"/>
  <c r="R165" i="119"/>
  <c r="Q165" i="119"/>
  <c r="R164" i="119"/>
  <c r="Q164" i="119"/>
  <c r="R163" i="119"/>
  <c r="Q163" i="119"/>
  <c r="R162" i="119"/>
  <c r="Q162" i="119"/>
  <c r="R161" i="119"/>
  <c r="Q161" i="119"/>
  <c r="R160" i="119"/>
  <c r="Q160" i="119"/>
  <c r="R159" i="119"/>
  <c r="Q159" i="119"/>
  <c r="R158" i="119"/>
  <c r="Q158" i="119"/>
  <c r="R157" i="119"/>
  <c r="Q157" i="119"/>
  <c r="R156" i="119"/>
  <c r="Q156" i="119"/>
  <c r="R155" i="119"/>
  <c r="Q155" i="119"/>
  <c r="R154" i="119"/>
  <c r="Q154" i="119"/>
  <c r="R153" i="119"/>
  <c r="Q153" i="119"/>
  <c r="R152" i="119"/>
  <c r="Q152" i="119"/>
  <c r="R151" i="119"/>
  <c r="Q151" i="119"/>
  <c r="R150" i="119"/>
  <c r="Q150" i="119"/>
  <c r="R149" i="119"/>
  <c r="Q149" i="119"/>
  <c r="R148" i="119"/>
  <c r="Q148" i="119"/>
  <c r="R147" i="119"/>
  <c r="Q147" i="119"/>
  <c r="R146" i="119"/>
  <c r="Q146" i="119"/>
  <c r="R145" i="119"/>
  <c r="Q145" i="119"/>
  <c r="R144" i="119"/>
  <c r="Q144" i="119"/>
  <c r="R143" i="119"/>
  <c r="Q143" i="119"/>
  <c r="R142" i="119"/>
  <c r="Q142" i="119"/>
  <c r="R141" i="119"/>
  <c r="Q141" i="119"/>
  <c r="R140" i="119"/>
  <c r="Q140" i="119"/>
  <c r="R139" i="119"/>
  <c r="Q139" i="119"/>
  <c r="R138" i="119"/>
  <c r="Q138" i="119"/>
  <c r="R137" i="119"/>
  <c r="Q137" i="119"/>
  <c r="R136" i="119"/>
  <c r="Q136" i="119"/>
  <c r="R135" i="119"/>
  <c r="Q135" i="119"/>
  <c r="R134" i="119"/>
  <c r="Q134" i="119"/>
  <c r="R133" i="119"/>
  <c r="Q133" i="119"/>
  <c r="R132" i="119"/>
  <c r="Q132" i="119"/>
  <c r="R131" i="119"/>
  <c r="Q131" i="119"/>
  <c r="R130" i="119"/>
  <c r="Q130" i="119"/>
  <c r="R129" i="119"/>
  <c r="Q129" i="119"/>
  <c r="R128" i="119"/>
  <c r="Q128" i="119"/>
  <c r="R127" i="119"/>
  <c r="Q127" i="119"/>
  <c r="R126" i="119"/>
  <c r="Q126" i="119"/>
  <c r="R125" i="119"/>
  <c r="Q125" i="119"/>
  <c r="R124" i="119"/>
  <c r="Q124" i="119"/>
  <c r="R123" i="119"/>
  <c r="Q123" i="119"/>
  <c r="R122" i="119"/>
  <c r="Q122" i="119"/>
  <c r="R121" i="119"/>
  <c r="Q121" i="119"/>
  <c r="R120" i="119"/>
  <c r="Q120" i="119"/>
  <c r="R119" i="119"/>
  <c r="Q119" i="119"/>
  <c r="R118" i="119"/>
  <c r="Q118" i="119"/>
  <c r="R117" i="119"/>
  <c r="Q117" i="119"/>
  <c r="R116" i="119"/>
  <c r="Q116" i="119"/>
  <c r="R115" i="119"/>
  <c r="Q115" i="119"/>
  <c r="R114" i="119"/>
  <c r="Q114" i="119"/>
  <c r="R113" i="119"/>
  <c r="Q113" i="119"/>
  <c r="R112" i="119"/>
  <c r="Q112" i="119"/>
  <c r="R111" i="119"/>
  <c r="Q111" i="119"/>
  <c r="R110" i="119"/>
  <c r="Q110" i="119"/>
  <c r="R109" i="119"/>
  <c r="Q109" i="119"/>
  <c r="R108" i="119"/>
  <c r="Q108" i="119"/>
  <c r="R107" i="119"/>
  <c r="Q107" i="119"/>
  <c r="R106" i="119"/>
  <c r="Q106" i="119"/>
  <c r="R105" i="119"/>
  <c r="Q105" i="119"/>
  <c r="R104" i="119"/>
  <c r="Q104" i="119"/>
  <c r="R103" i="119"/>
  <c r="Q103" i="119"/>
  <c r="R102" i="119"/>
  <c r="Q102" i="119"/>
  <c r="R101" i="119"/>
  <c r="Q101" i="119"/>
  <c r="R100" i="119"/>
  <c r="Q100" i="119"/>
  <c r="R99" i="119"/>
  <c r="Q99" i="119"/>
  <c r="R98" i="119"/>
  <c r="Q98" i="119"/>
  <c r="R97" i="119"/>
  <c r="Q97" i="119"/>
  <c r="R96" i="119"/>
  <c r="Q96" i="119"/>
  <c r="R95" i="119"/>
  <c r="Q95" i="119"/>
  <c r="R94" i="119"/>
  <c r="Q94" i="119"/>
  <c r="R93" i="119"/>
  <c r="Q93" i="119"/>
  <c r="R92" i="119"/>
  <c r="Q92" i="119"/>
  <c r="R91" i="119"/>
  <c r="Q91" i="119"/>
  <c r="R90" i="119"/>
  <c r="Q90" i="119"/>
  <c r="R89" i="119"/>
  <c r="Q89" i="119"/>
  <c r="R88" i="119"/>
  <c r="Q88" i="119"/>
  <c r="R87" i="119"/>
  <c r="Q87" i="119"/>
  <c r="R86" i="119"/>
  <c r="Q86" i="119"/>
  <c r="R85" i="119"/>
  <c r="Q85" i="119"/>
  <c r="R84" i="119"/>
  <c r="Q84" i="119"/>
  <c r="R83" i="119"/>
  <c r="Q83" i="119"/>
  <c r="R82" i="119"/>
  <c r="Q82" i="119"/>
  <c r="R81" i="119"/>
  <c r="Q81" i="119"/>
  <c r="R80" i="119"/>
  <c r="Q80" i="119"/>
  <c r="R79" i="119"/>
  <c r="Q79" i="119"/>
  <c r="R78" i="119"/>
  <c r="Q78" i="119"/>
  <c r="R77" i="119"/>
  <c r="Q77" i="119"/>
  <c r="R76" i="119"/>
  <c r="Q76" i="119"/>
  <c r="R75" i="119"/>
  <c r="Q75" i="119"/>
  <c r="R74" i="119"/>
  <c r="Q74" i="119"/>
  <c r="R73" i="119"/>
  <c r="Q73" i="119"/>
  <c r="R72" i="119"/>
  <c r="Q72" i="119"/>
  <c r="R71" i="119"/>
  <c r="Q71" i="119"/>
  <c r="R70" i="119"/>
  <c r="Q70" i="119"/>
  <c r="R69" i="119"/>
  <c r="Q69" i="119"/>
  <c r="R68" i="119"/>
  <c r="Q68" i="119"/>
  <c r="R67" i="119"/>
  <c r="Q67" i="119"/>
  <c r="R66" i="119"/>
  <c r="Q66" i="119"/>
  <c r="R65" i="119"/>
  <c r="Q65" i="119"/>
  <c r="R64" i="119"/>
  <c r="Q64" i="119"/>
  <c r="R63" i="119"/>
  <c r="Q63" i="119"/>
  <c r="R62" i="119"/>
  <c r="Q62" i="119"/>
  <c r="R61" i="119"/>
  <c r="Q61" i="119"/>
  <c r="R60" i="119"/>
  <c r="Q60" i="119"/>
  <c r="R59" i="119"/>
  <c r="Q59" i="119"/>
  <c r="R58" i="119"/>
  <c r="Q58" i="119"/>
  <c r="R57" i="119"/>
  <c r="Q57" i="119"/>
  <c r="R56" i="119"/>
  <c r="Q56" i="119"/>
  <c r="R55" i="119"/>
  <c r="Q55" i="119"/>
  <c r="R54" i="119"/>
  <c r="Q54" i="119"/>
  <c r="R53" i="119"/>
  <c r="Q53" i="119"/>
  <c r="R52" i="119"/>
  <c r="Q52" i="119"/>
  <c r="R51" i="119"/>
  <c r="Q51" i="119"/>
  <c r="R50" i="119"/>
  <c r="Q50" i="119"/>
  <c r="R49" i="119"/>
  <c r="Q49" i="119"/>
  <c r="R48" i="119"/>
  <c r="Q48" i="119"/>
  <c r="R47" i="119"/>
  <c r="Q47" i="119"/>
  <c r="R46" i="119"/>
  <c r="Q46" i="119"/>
  <c r="R45" i="119"/>
  <c r="Q45" i="119"/>
  <c r="R44" i="119"/>
  <c r="Q44" i="119"/>
  <c r="R43" i="119"/>
  <c r="Q43" i="119"/>
  <c r="R42" i="119"/>
  <c r="Q42" i="119"/>
  <c r="R41" i="119"/>
  <c r="Q41" i="119"/>
  <c r="R40" i="119"/>
  <c r="Q40" i="119"/>
  <c r="R39" i="119"/>
  <c r="Q39" i="119"/>
  <c r="R38" i="119"/>
  <c r="Q38" i="119"/>
  <c r="R37" i="119"/>
  <c r="Q37" i="119"/>
  <c r="R36" i="119"/>
  <c r="Q36" i="119"/>
  <c r="R35" i="119"/>
  <c r="Q35" i="119"/>
  <c r="R34" i="119"/>
  <c r="Q34" i="119"/>
  <c r="R33" i="119"/>
  <c r="Q33" i="119"/>
  <c r="R32" i="119"/>
  <c r="Q32" i="119"/>
  <c r="R31" i="119"/>
  <c r="Q31" i="119"/>
  <c r="R30" i="119"/>
  <c r="Q30" i="119"/>
  <c r="R29" i="119"/>
  <c r="Q29" i="119"/>
  <c r="R28" i="119"/>
  <c r="Q28" i="119"/>
  <c r="R27" i="119"/>
  <c r="Q27" i="119"/>
  <c r="R26" i="119"/>
  <c r="Q26" i="119"/>
  <c r="R25" i="119"/>
  <c r="Q25" i="119"/>
  <c r="R24" i="119"/>
  <c r="Q24" i="119"/>
  <c r="R23" i="119"/>
  <c r="Q23" i="119"/>
  <c r="R22" i="119"/>
  <c r="Q22" i="119"/>
  <c r="R21" i="119"/>
  <c r="Q21" i="119"/>
  <c r="R20" i="119"/>
  <c r="Q20" i="119"/>
  <c r="R19" i="119"/>
  <c r="Q19" i="119"/>
  <c r="R18" i="119"/>
  <c r="Q18" i="119"/>
  <c r="R17" i="119"/>
  <c r="Q17" i="119"/>
  <c r="R16" i="119"/>
  <c r="Q16" i="119"/>
  <c r="R15" i="119"/>
  <c r="Q15" i="119"/>
  <c r="R14" i="119"/>
  <c r="Q14" i="119"/>
  <c r="R13" i="119"/>
  <c r="Q13" i="119"/>
  <c r="R12" i="119"/>
  <c r="Q12" i="119"/>
  <c r="R11" i="119"/>
  <c r="Q11" i="119"/>
  <c r="R10" i="119"/>
  <c r="Q10" i="119"/>
  <c r="R9" i="119"/>
  <c r="D4" i="119"/>
  <c r="Q9" i="119"/>
  <c r="A2" i="119" a="1"/>
  <c r="A2" i="119" s="1"/>
  <c r="A1" i="119" s="1"/>
  <c r="D50" i="126" s="1" a="1"/>
  <c r="D50" i="126" s="1"/>
  <c r="R208" i="118"/>
  <c r="Q208" i="118"/>
  <c r="R207" i="118"/>
  <c r="Q207" i="118"/>
  <c r="R206" i="118"/>
  <c r="Q206" i="118"/>
  <c r="R205" i="118"/>
  <c r="Q205" i="118"/>
  <c r="R204" i="118"/>
  <c r="Q204" i="118"/>
  <c r="R203" i="118"/>
  <c r="Q203" i="118"/>
  <c r="R202" i="118"/>
  <c r="Q202" i="118"/>
  <c r="R201" i="118"/>
  <c r="Q201" i="118"/>
  <c r="R200" i="118"/>
  <c r="Q200" i="118"/>
  <c r="R199" i="118"/>
  <c r="Q199" i="118"/>
  <c r="R198" i="118"/>
  <c r="Q198" i="118"/>
  <c r="R197" i="118"/>
  <c r="Q197" i="118"/>
  <c r="R196" i="118"/>
  <c r="Q196" i="118"/>
  <c r="R195" i="118"/>
  <c r="Q195" i="118"/>
  <c r="R194" i="118"/>
  <c r="Q194" i="118"/>
  <c r="R193" i="118"/>
  <c r="Q193" i="118"/>
  <c r="R192" i="118"/>
  <c r="Q192" i="118"/>
  <c r="R191" i="118"/>
  <c r="Q191" i="118"/>
  <c r="R190" i="118"/>
  <c r="Q190" i="118"/>
  <c r="R189" i="118"/>
  <c r="Q189" i="118"/>
  <c r="R188" i="118"/>
  <c r="Q188" i="118"/>
  <c r="R187" i="118"/>
  <c r="Q187" i="118"/>
  <c r="R186" i="118"/>
  <c r="Q186" i="118"/>
  <c r="R185" i="118"/>
  <c r="Q185" i="118"/>
  <c r="R184" i="118"/>
  <c r="Q184" i="118"/>
  <c r="R183" i="118"/>
  <c r="Q183" i="118"/>
  <c r="R182" i="118"/>
  <c r="Q182" i="118"/>
  <c r="R181" i="118"/>
  <c r="Q181" i="118"/>
  <c r="R180" i="118"/>
  <c r="Q180" i="118"/>
  <c r="R179" i="118"/>
  <c r="Q179" i="118"/>
  <c r="R178" i="118"/>
  <c r="Q178" i="118"/>
  <c r="R177" i="118"/>
  <c r="Q177" i="118"/>
  <c r="R176" i="118"/>
  <c r="Q176" i="118"/>
  <c r="R175" i="118"/>
  <c r="Q175" i="118"/>
  <c r="R174" i="118"/>
  <c r="Q174" i="118"/>
  <c r="R173" i="118"/>
  <c r="Q173" i="118"/>
  <c r="R172" i="118"/>
  <c r="Q172" i="118"/>
  <c r="R171" i="118"/>
  <c r="Q171" i="118"/>
  <c r="R170" i="118"/>
  <c r="Q170" i="118"/>
  <c r="R169" i="118"/>
  <c r="Q169" i="118"/>
  <c r="R168" i="118"/>
  <c r="Q168" i="118"/>
  <c r="R167" i="118"/>
  <c r="Q167" i="118"/>
  <c r="R166" i="118"/>
  <c r="Q166" i="118"/>
  <c r="R165" i="118"/>
  <c r="Q165" i="118"/>
  <c r="R164" i="118"/>
  <c r="Q164" i="118"/>
  <c r="R163" i="118"/>
  <c r="Q163" i="118"/>
  <c r="R162" i="118"/>
  <c r="Q162" i="118"/>
  <c r="R161" i="118"/>
  <c r="Q161" i="118"/>
  <c r="R160" i="118"/>
  <c r="Q160" i="118"/>
  <c r="R159" i="118"/>
  <c r="Q159" i="118"/>
  <c r="R158" i="118"/>
  <c r="Q158" i="118"/>
  <c r="R157" i="118"/>
  <c r="Q157" i="118"/>
  <c r="R156" i="118"/>
  <c r="Q156" i="118"/>
  <c r="R155" i="118"/>
  <c r="Q155" i="118"/>
  <c r="R154" i="118"/>
  <c r="Q154" i="118"/>
  <c r="R153" i="118"/>
  <c r="Q153" i="118"/>
  <c r="R152" i="118"/>
  <c r="Q152" i="118"/>
  <c r="R151" i="118"/>
  <c r="Q151" i="118"/>
  <c r="R150" i="118"/>
  <c r="Q150" i="118"/>
  <c r="R149" i="118"/>
  <c r="Q149" i="118"/>
  <c r="R148" i="118"/>
  <c r="Q148" i="118"/>
  <c r="R147" i="118"/>
  <c r="Q147" i="118"/>
  <c r="R146" i="118"/>
  <c r="Q146" i="118"/>
  <c r="R145" i="118"/>
  <c r="Q145" i="118"/>
  <c r="R144" i="118"/>
  <c r="Q144" i="118"/>
  <c r="R143" i="118"/>
  <c r="Q143" i="118"/>
  <c r="R142" i="118"/>
  <c r="Q142" i="118"/>
  <c r="R141" i="118"/>
  <c r="Q141" i="118"/>
  <c r="R140" i="118"/>
  <c r="Q140" i="118"/>
  <c r="R139" i="118"/>
  <c r="Q139" i="118"/>
  <c r="R138" i="118"/>
  <c r="Q138" i="118"/>
  <c r="R137" i="118"/>
  <c r="Q137" i="118"/>
  <c r="R136" i="118"/>
  <c r="Q136" i="118"/>
  <c r="R135" i="118"/>
  <c r="Q135" i="118"/>
  <c r="R134" i="118"/>
  <c r="Q134" i="118"/>
  <c r="R133" i="118"/>
  <c r="Q133" i="118"/>
  <c r="R132" i="118"/>
  <c r="Q132" i="118"/>
  <c r="R131" i="118"/>
  <c r="Q131" i="118"/>
  <c r="R130" i="118"/>
  <c r="Q130" i="118"/>
  <c r="R129" i="118"/>
  <c r="Q129" i="118"/>
  <c r="R128" i="118"/>
  <c r="Q128" i="118"/>
  <c r="R127" i="118"/>
  <c r="Q127" i="118"/>
  <c r="R126" i="118"/>
  <c r="Q126" i="118"/>
  <c r="R125" i="118"/>
  <c r="Q125" i="118"/>
  <c r="R124" i="118"/>
  <c r="Q124" i="118"/>
  <c r="R123" i="118"/>
  <c r="Q123" i="118"/>
  <c r="R122" i="118"/>
  <c r="Q122" i="118"/>
  <c r="R121" i="118"/>
  <c r="Q121" i="118"/>
  <c r="R120" i="118"/>
  <c r="Q120" i="118"/>
  <c r="R119" i="118"/>
  <c r="Q119" i="118"/>
  <c r="R118" i="118"/>
  <c r="Q118" i="118"/>
  <c r="R117" i="118"/>
  <c r="Q117" i="118"/>
  <c r="R116" i="118"/>
  <c r="Q116" i="118"/>
  <c r="R115" i="118"/>
  <c r="Q115" i="118"/>
  <c r="R114" i="118"/>
  <c r="Q114" i="118"/>
  <c r="R113" i="118"/>
  <c r="Q113" i="118"/>
  <c r="R112" i="118"/>
  <c r="Q112" i="118"/>
  <c r="R111" i="118"/>
  <c r="Q111" i="118"/>
  <c r="R110" i="118"/>
  <c r="Q110" i="118"/>
  <c r="R109" i="118"/>
  <c r="Q109" i="118"/>
  <c r="R108" i="118"/>
  <c r="Q108" i="118"/>
  <c r="R107" i="118"/>
  <c r="Q107" i="118"/>
  <c r="R106" i="118"/>
  <c r="Q106" i="118"/>
  <c r="R105" i="118"/>
  <c r="Q105" i="118"/>
  <c r="R104" i="118"/>
  <c r="Q104" i="118"/>
  <c r="R103" i="118"/>
  <c r="Q103" i="118"/>
  <c r="R102" i="118"/>
  <c r="Q102" i="118"/>
  <c r="R101" i="118"/>
  <c r="Q101" i="118"/>
  <c r="R100" i="118"/>
  <c r="Q100" i="118"/>
  <c r="R99" i="118"/>
  <c r="Q99" i="118"/>
  <c r="R98" i="118"/>
  <c r="Q98" i="118"/>
  <c r="R97" i="118"/>
  <c r="Q97" i="118"/>
  <c r="R96" i="118"/>
  <c r="Q96" i="118"/>
  <c r="R95" i="118"/>
  <c r="Q95" i="118"/>
  <c r="R94" i="118"/>
  <c r="Q94" i="118"/>
  <c r="R93" i="118"/>
  <c r="Q93" i="118"/>
  <c r="R92" i="118"/>
  <c r="Q92" i="118"/>
  <c r="R91" i="118"/>
  <c r="Q91" i="118"/>
  <c r="R90" i="118"/>
  <c r="Q90" i="118"/>
  <c r="R89" i="118"/>
  <c r="Q89" i="118"/>
  <c r="R88" i="118"/>
  <c r="Q88" i="118"/>
  <c r="R87" i="118"/>
  <c r="Q87" i="118"/>
  <c r="R86" i="118"/>
  <c r="Q86" i="118"/>
  <c r="R85" i="118"/>
  <c r="Q85" i="118"/>
  <c r="R84" i="118"/>
  <c r="Q84" i="118"/>
  <c r="R83" i="118"/>
  <c r="Q83" i="118"/>
  <c r="R82" i="118"/>
  <c r="Q82" i="118"/>
  <c r="R81" i="118"/>
  <c r="Q81" i="118"/>
  <c r="R80" i="118"/>
  <c r="Q80" i="118"/>
  <c r="R79" i="118"/>
  <c r="Q79" i="118"/>
  <c r="R78" i="118"/>
  <c r="Q78" i="118"/>
  <c r="R77" i="118"/>
  <c r="Q77" i="118"/>
  <c r="R76" i="118"/>
  <c r="Q76" i="118"/>
  <c r="R75" i="118"/>
  <c r="Q75" i="118"/>
  <c r="R74" i="118"/>
  <c r="Q74" i="118"/>
  <c r="R73" i="118"/>
  <c r="Q73" i="118"/>
  <c r="R72" i="118"/>
  <c r="Q72" i="118"/>
  <c r="R71" i="118"/>
  <c r="Q71" i="118"/>
  <c r="R70" i="118"/>
  <c r="Q70" i="118"/>
  <c r="R69" i="118"/>
  <c r="Q69" i="118"/>
  <c r="R68" i="118"/>
  <c r="Q68" i="118"/>
  <c r="R67" i="118"/>
  <c r="Q67" i="118"/>
  <c r="R66" i="118"/>
  <c r="Q66" i="118"/>
  <c r="R65" i="118"/>
  <c r="Q65" i="118"/>
  <c r="R64" i="118"/>
  <c r="Q64" i="118"/>
  <c r="R63" i="118"/>
  <c r="Q63" i="118"/>
  <c r="R62" i="118"/>
  <c r="Q62" i="118"/>
  <c r="R61" i="118"/>
  <c r="Q61" i="118"/>
  <c r="R60" i="118"/>
  <c r="Q60" i="118"/>
  <c r="R59" i="118"/>
  <c r="Q59" i="118"/>
  <c r="R58" i="118"/>
  <c r="Q58" i="118"/>
  <c r="R57" i="118"/>
  <c r="Q57" i="118"/>
  <c r="R56" i="118"/>
  <c r="Q56" i="118"/>
  <c r="R55" i="118"/>
  <c r="Q55" i="118"/>
  <c r="R54" i="118"/>
  <c r="Q54" i="118"/>
  <c r="R53" i="118"/>
  <c r="Q53" i="118"/>
  <c r="R52" i="118"/>
  <c r="Q52" i="118"/>
  <c r="R51" i="118"/>
  <c r="Q51" i="118"/>
  <c r="R50" i="118"/>
  <c r="Q50" i="118"/>
  <c r="R49" i="118"/>
  <c r="Q49" i="118"/>
  <c r="R48" i="118"/>
  <c r="Q48" i="118"/>
  <c r="R47" i="118"/>
  <c r="Q47" i="118"/>
  <c r="R46" i="118"/>
  <c r="Q46" i="118"/>
  <c r="R45" i="118"/>
  <c r="Q45" i="118"/>
  <c r="R44" i="118"/>
  <c r="Q44" i="118"/>
  <c r="R43" i="118"/>
  <c r="Q43" i="118"/>
  <c r="R42" i="118"/>
  <c r="Q42" i="118"/>
  <c r="R41" i="118"/>
  <c r="Q41" i="118"/>
  <c r="R40" i="118"/>
  <c r="Q40" i="118"/>
  <c r="R39" i="118"/>
  <c r="Q39" i="118"/>
  <c r="R38" i="118"/>
  <c r="Q38" i="118"/>
  <c r="R37" i="118"/>
  <c r="Q37" i="118"/>
  <c r="R36" i="118"/>
  <c r="Q36" i="118"/>
  <c r="R35" i="118"/>
  <c r="Q35" i="118"/>
  <c r="R34" i="118"/>
  <c r="Q34" i="118"/>
  <c r="R33" i="118"/>
  <c r="Q33" i="118"/>
  <c r="R32" i="118"/>
  <c r="Q32" i="118"/>
  <c r="R31" i="118"/>
  <c r="Q31" i="118"/>
  <c r="R30" i="118"/>
  <c r="Q30" i="118"/>
  <c r="R29" i="118"/>
  <c r="Q29" i="118"/>
  <c r="R28" i="118"/>
  <c r="Q28" i="118"/>
  <c r="R27" i="118"/>
  <c r="Q27" i="118"/>
  <c r="R26" i="118"/>
  <c r="Q26" i="118"/>
  <c r="R25" i="118"/>
  <c r="Q25" i="118"/>
  <c r="R24" i="118"/>
  <c r="Q24" i="118"/>
  <c r="R23" i="118"/>
  <c r="Q23" i="118"/>
  <c r="R22" i="118"/>
  <c r="Q22" i="118"/>
  <c r="R21" i="118"/>
  <c r="Q21" i="118"/>
  <c r="R20" i="118"/>
  <c r="Q20" i="118"/>
  <c r="R19" i="118"/>
  <c r="Q19" i="118"/>
  <c r="R18" i="118"/>
  <c r="Q18" i="118"/>
  <c r="R17" i="118"/>
  <c r="Q17" i="118"/>
  <c r="R16" i="118"/>
  <c r="Q16" i="118"/>
  <c r="R15" i="118"/>
  <c r="Q15" i="118"/>
  <c r="R14" i="118"/>
  <c r="Q14" i="118"/>
  <c r="R13" i="118"/>
  <c r="Q13" i="118"/>
  <c r="R12" i="118"/>
  <c r="Q12" i="118"/>
  <c r="R11" i="118"/>
  <c r="Q11" i="118"/>
  <c r="R10" i="118"/>
  <c r="Q10" i="118"/>
  <c r="R9" i="118"/>
  <c r="D4" i="118"/>
  <c r="Q9" i="118"/>
  <c r="A2" i="118" a="1"/>
  <c r="A2" i="118" s="1"/>
  <c r="A1" i="118" s="1"/>
  <c r="D49" i="126" s="1" a="1"/>
  <c r="D49" i="126" s="1"/>
  <c r="R208" i="117"/>
  <c r="Q208" i="117"/>
  <c r="R207" i="117"/>
  <c r="Q207" i="117"/>
  <c r="R206" i="117"/>
  <c r="Q206" i="117"/>
  <c r="R205" i="117"/>
  <c r="Q205" i="117"/>
  <c r="R204" i="117"/>
  <c r="Q204" i="117"/>
  <c r="R203" i="117"/>
  <c r="Q203" i="117"/>
  <c r="R202" i="117"/>
  <c r="Q202" i="117"/>
  <c r="R201" i="117"/>
  <c r="Q201" i="117"/>
  <c r="R200" i="117"/>
  <c r="Q200" i="117"/>
  <c r="R199" i="117"/>
  <c r="Q199" i="117"/>
  <c r="R198" i="117"/>
  <c r="Q198" i="117"/>
  <c r="R197" i="117"/>
  <c r="Q197" i="117"/>
  <c r="R196" i="117"/>
  <c r="Q196" i="117"/>
  <c r="R195" i="117"/>
  <c r="Q195" i="117"/>
  <c r="R194" i="117"/>
  <c r="Q194" i="117"/>
  <c r="R193" i="117"/>
  <c r="Q193" i="117"/>
  <c r="R192" i="117"/>
  <c r="Q192" i="117"/>
  <c r="R191" i="117"/>
  <c r="Q191" i="117"/>
  <c r="R190" i="117"/>
  <c r="Q190" i="117"/>
  <c r="R189" i="117"/>
  <c r="Q189" i="117"/>
  <c r="R188" i="117"/>
  <c r="Q188" i="117"/>
  <c r="R187" i="117"/>
  <c r="Q187" i="117"/>
  <c r="R186" i="117"/>
  <c r="Q186" i="117"/>
  <c r="R185" i="117"/>
  <c r="Q185" i="117"/>
  <c r="R184" i="117"/>
  <c r="Q184" i="117"/>
  <c r="R183" i="117"/>
  <c r="Q183" i="117"/>
  <c r="R182" i="117"/>
  <c r="Q182" i="117"/>
  <c r="R181" i="117"/>
  <c r="Q181" i="117"/>
  <c r="R180" i="117"/>
  <c r="Q180" i="117"/>
  <c r="R179" i="117"/>
  <c r="Q179" i="117"/>
  <c r="R178" i="117"/>
  <c r="Q178" i="117"/>
  <c r="R177" i="117"/>
  <c r="Q177" i="117"/>
  <c r="R176" i="117"/>
  <c r="Q176" i="117"/>
  <c r="R175" i="117"/>
  <c r="Q175" i="117"/>
  <c r="R174" i="117"/>
  <c r="Q174" i="117"/>
  <c r="R173" i="117"/>
  <c r="Q173" i="117"/>
  <c r="R172" i="117"/>
  <c r="Q172" i="117"/>
  <c r="R171" i="117"/>
  <c r="Q171" i="117"/>
  <c r="R170" i="117"/>
  <c r="Q170" i="117"/>
  <c r="R169" i="117"/>
  <c r="Q169" i="117"/>
  <c r="R168" i="117"/>
  <c r="Q168" i="117"/>
  <c r="R167" i="117"/>
  <c r="Q167" i="117"/>
  <c r="R166" i="117"/>
  <c r="Q166" i="117"/>
  <c r="R165" i="117"/>
  <c r="Q165" i="117"/>
  <c r="R164" i="117"/>
  <c r="Q164" i="117"/>
  <c r="R163" i="117"/>
  <c r="Q163" i="117"/>
  <c r="R162" i="117"/>
  <c r="Q162" i="117"/>
  <c r="R161" i="117"/>
  <c r="Q161" i="117"/>
  <c r="R160" i="117"/>
  <c r="Q160" i="117"/>
  <c r="R159" i="117"/>
  <c r="Q159" i="117"/>
  <c r="R158" i="117"/>
  <c r="Q158" i="117"/>
  <c r="R157" i="117"/>
  <c r="Q157" i="117"/>
  <c r="R156" i="117"/>
  <c r="Q156" i="117"/>
  <c r="R155" i="117"/>
  <c r="Q155" i="117"/>
  <c r="R154" i="117"/>
  <c r="Q154" i="117"/>
  <c r="R153" i="117"/>
  <c r="Q153" i="117"/>
  <c r="R152" i="117"/>
  <c r="Q152" i="117"/>
  <c r="R151" i="117"/>
  <c r="Q151" i="117"/>
  <c r="R150" i="117"/>
  <c r="Q150" i="117"/>
  <c r="R149" i="117"/>
  <c r="Q149" i="117"/>
  <c r="R148" i="117"/>
  <c r="Q148" i="117"/>
  <c r="R147" i="117"/>
  <c r="Q147" i="117"/>
  <c r="R146" i="117"/>
  <c r="Q146" i="117"/>
  <c r="R145" i="117"/>
  <c r="Q145" i="117"/>
  <c r="R144" i="117"/>
  <c r="Q144" i="117"/>
  <c r="R143" i="117"/>
  <c r="Q143" i="117"/>
  <c r="R142" i="117"/>
  <c r="Q142" i="117"/>
  <c r="R141" i="117"/>
  <c r="Q141" i="117"/>
  <c r="R140" i="117"/>
  <c r="Q140" i="117"/>
  <c r="R139" i="117"/>
  <c r="Q139" i="117"/>
  <c r="R138" i="117"/>
  <c r="Q138" i="117"/>
  <c r="R137" i="117"/>
  <c r="Q137" i="117"/>
  <c r="R136" i="117"/>
  <c r="Q136" i="117"/>
  <c r="R135" i="117"/>
  <c r="Q135" i="117"/>
  <c r="R134" i="117"/>
  <c r="Q134" i="117"/>
  <c r="R133" i="117"/>
  <c r="Q133" i="117"/>
  <c r="R132" i="117"/>
  <c r="Q132" i="117"/>
  <c r="R131" i="117"/>
  <c r="Q131" i="117"/>
  <c r="R130" i="117"/>
  <c r="Q130" i="117"/>
  <c r="R129" i="117"/>
  <c r="Q129" i="117"/>
  <c r="R128" i="117"/>
  <c r="Q128" i="117"/>
  <c r="R127" i="117"/>
  <c r="Q127" i="117"/>
  <c r="R126" i="117"/>
  <c r="Q126" i="117"/>
  <c r="R125" i="117"/>
  <c r="Q125" i="117"/>
  <c r="R124" i="117"/>
  <c r="Q124" i="117"/>
  <c r="R123" i="117"/>
  <c r="Q123" i="117"/>
  <c r="R122" i="117"/>
  <c r="Q122" i="117"/>
  <c r="R121" i="117"/>
  <c r="Q121" i="117"/>
  <c r="R120" i="117"/>
  <c r="Q120" i="117"/>
  <c r="R119" i="117"/>
  <c r="Q119" i="117"/>
  <c r="R118" i="117"/>
  <c r="Q118" i="117"/>
  <c r="R117" i="117"/>
  <c r="Q117" i="117"/>
  <c r="R116" i="117"/>
  <c r="Q116" i="117"/>
  <c r="R115" i="117"/>
  <c r="Q115" i="117"/>
  <c r="R114" i="117"/>
  <c r="Q114" i="117"/>
  <c r="R113" i="117"/>
  <c r="Q113" i="117"/>
  <c r="R112" i="117"/>
  <c r="Q112" i="117"/>
  <c r="R111" i="117"/>
  <c r="Q111" i="117"/>
  <c r="R110" i="117"/>
  <c r="Q110" i="117"/>
  <c r="R109" i="117"/>
  <c r="Q109" i="117"/>
  <c r="R108" i="117"/>
  <c r="Q108" i="117"/>
  <c r="R107" i="117"/>
  <c r="Q107" i="117"/>
  <c r="R106" i="117"/>
  <c r="Q106" i="117"/>
  <c r="R105" i="117"/>
  <c r="Q105" i="117"/>
  <c r="R104" i="117"/>
  <c r="Q104" i="117"/>
  <c r="R103" i="117"/>
  <c r="Q103" i="117"/>
  <c r="R102" i="117"/>
  <c r="Q102" i="117"/>
  <c r="R101" i="117"/>
  <c r="Q101" i="117"/>
  <c r="R100" i="117"/>
  <c r="Q100" i="117"/>
  <c r="R99" i="117"/>
  <c r="Q99" i="117"/>
  <c r="R98" i="117"/>
  <c r="Q98" i="117"/>
  <c r="R97" i="117"/>
  <c r="Q97" i="117"/>
  <c r="R96" i="117"/>
  <c r="Q96" i="117"/>
  <c r="R95" i="117"/>
  <c r="Q95" i="117"/>
  <c r="R94" i="117"/>
  <c r="Q94" i="117"/>
  <c r="R93" i="117"/>
  <c r="Q93" i="117"/>
  <c r="R92" i="117"/>
  <c r="Q92" i="117"/>
  <c r="R91" i="117"/>
  <c r="Q91" i="117"/>
  <c r="R90" i="117"/>
  <c r="Q90" i="117"/>
  <c r="R89" i="117"/>
  <c r="Q89" i="117"/>
  <c r="R88" i="117"/>
  <c r="Q88" i="117"/>
  <c r="R87" i="117"/>
  <c r="Q87" i="117"/>
  <c r="R86" i="117"/>
  <c r="Q86" i="117"/>
  <c r="R85" i="117"/>
  <c r="Q85" i="117"/>
  <c r="R84" i="117"/>
  <c r="Q84" i="117"/>
  <c r="R83" i="117"/>
  <c r="Q83" i="117"/>
  <c r="R82" i="117"/>
  <c r="Q82" i="117"/>
  <c r="R81" i="117"/>
  <c r="Q81" i="117"/>
  <c r="R80" i="117"/>
  <c r="Q80" i="117"/>
  <c r="R79" i="117"/>
  <c r="Q79" i="117"/>
  <c r="R78" i="117"/>
  <c r="Q78" i="117"/>
  <c r="R77" i="117"/>
  <c r="Q77" i="117"/>
  <c r="R76" i="117"/>
  <c r="Q76" i="117"/>
  <c r="R75" i="117"/>
  <c r="Q75" i="117"/>
  <c r="R74" i="117"/>
  <c r="Q74" i="117"/>
  <c r="R73" i="117"/>
  <c r="Q73" i="117"/>
  <c r="R72" i="117"/>
  <c r="Q72" i="117"/>
  <c r="R71" i="117"/>
  <c r="Q71" i="117"/>
  <c r="R70" i="117"/>
  <c r="Q70" i="117"/>
  <c r="R69" i="117"/>
  <c r="Q69" i="117"/>
  <c r="R68" i="117"/>
  <c r="Q68" i="117"/>
  <c r="R67" i="117"/>
  <c r="Q67" i="117"/>
  <c r="R66" i="117"/>
  <c r="Q66" i="117"/>
  <c r="R65" i="117"/>
  <c r="Q65" i="117"/>
  <c r="R64" i="117"/>
  <c r="Q64" i="117"/>
  <c r="R63" i="117"/>
  <c r="Q63" i="117"/>
  <c r="R62" i="117"/>
  <c r="Q62" i="117"/>
  <c r="R61" i="117"/>
  <c r="Q61" i="117"/>
  <c r="R60" i="117"/>
  <c r="Q60" i="117"/>
  <c r="R59" i="117"/>
  <c r="Q59" i="117"/>
  <c r="R58" i="117"/>
  <c r="Q58" i="117"/>
  <c r="R57" i="117"/>
  <c r="Q57" i="117"/>
  <c r="R56" i="117"/>
  <c r="Q56" i="117"/>
  <c r="R55" i="117"/>
  <c r="Q55" i="117"/>
  <c r="R54" i="117"/>
  <c r="Q54" i="117"/>
  <c r="R53" i="117"/>
  <c r="Q53" i="117"/>
  <c r="R52" i="117"/>
  <c r="Q52" i="117"/>
  <c r="R51" i="117"/>
  <c r="Q51" i="117"/>
  <c r="R50" i="117"/>
  <c r="Q50" i="117"/>
  <c r="R49" i="117"/>
  <c r="Q49" i="117"/>
  <c r="R48" i="117"/>
  <c r="Q48" i="117"/>
  <c r="R47" i="117"/>
  <c r="Q47" i="117"/>
  <c r="R46" i="117"/>
  <c r="Q46" i="117"/>
  <c r="R45" i="117"/>
  <c r="Q45" i="117"/>
  <c r="R44" i="117"/>
  <c r="Q44" i="117"/>
  <c r="R43" i="117"/>
  <c r="Q43" i="117"/>
  <c r="R42" i="117"/>
  <c r="Q42" i="117"/>
  <c r="R41" i="117"/>
  <c r="Q41" i="117"/>
  <c r="R40" i="117"/>
  <c r="Q40" i="117"/>
  <c r="R39" i="117"/>
  <c r="Q39" i="117"/>
  <c r="R38" i="117"/>
  <c r="Q38" i="117"/>
  <c r="R37" i="117"/>
  <c r="Q37" i="117"/>
  <c r="R36" i="117"/>
  <c r="Q36" i="117"/>
  <c r="R35" i="117"/>
  <c r="Q35" i="117"/>
  <c r="R34" i="117"/>
  <c r="Q34" i="117"/>
  <c r="R33" i="117"/>
  <c r="Q33" i="117"/>
  <c r="R32" i="117"/>
  <c r="Q32" i="117"/>
  <c r="R31" i="117"/>
  <c r="Q31" i="117"/>
  <c r="R30" i="117"/>
  <c r="Q30" i="117"/>
  <c r="R29" i="117"/>
  <c r="Q29" i="117"/>
  <c r="R28" i="117"/>
  <c r="Q28" i="117"/>
  <c r="R27" i="117"/>
  <c r="Q27" i="117"/>
  <c r="R26" i="117"/>
  <c r="Q26" i="117"/>
  <c r="R25" i="117"/>
  <c r="Q25" i="117"/>
  <c r="R24" i="117"/>
  <c r="Q24" i="117"/>
  <c r="R23" i="117"/>
  <c r="Q23" i="117"/>
  <c r="R22" i="117"/>
  <c r="Q22" i="117"/>
  <c r="R21" i="117"/>
  <c r="Q21" i="117"/>
  <c r="R20" i="117"/>
  <c r="Q20" i="117"/>
  <c r="R19" i="117"/>
  <c r="Q19" i="117"/>
  <c r="R18" i="117"/>
  <c r="Q18" i="117"/>
  <c r="R17" i="117"/>
  <c r="Q17" i="117"/>
  <c r="R16" i="117"/>
  <c r="Q16" i="117"/>
  <c r="R15" i="117"/>
  <c r="Q15" i="117"/>
  <c r="R14" i="117"/>
  <c r="Q14" i="117"/>
  <c r="R13" i="117"/>
  <c r="Q13" i="117"/>
  <c r="R12" i="117"/>
  <c r="Q12" i="117"/>
  <c r="R11" i="117"/>
  <c r="Q11" i="117"/>
  <c r="R10" i="117"/>
  <c r="Q10" i="117"/>
  <c r="R9" i="117"/>
  <c r="D4" i="117"/>
  <c r="Q9" i="117"/>
  <c r="A2" i="117" a="1"/>
  <c r="A2" i="117" s="1"/>
  <c r="A1" i="117" s="1"/>
  <c r="D48" i="126" s="1" a="1"/>
  <c r="D48" i="126" s="1"/>
  <c r="R208" i="116"/>
  <c r="Q208" i="116"/>
  <c r="R207" i="116"/>
  <c r="Q207" i="116"/>
  <c r="R206" i="116"/>
  <c r="Q206" i="116"/>
  <c r="R205" i="116"/>
  <c r="Q205" i="116"/>
  <c r="R204" i="116"/>
  <c r="Q204" i="116"/>
  <c r="R203" i="116"/>
  <c r="Q203" i="116"/>
  <c r="R202" i="116"/>
  <c r="Q202" i="116"/>
  <c r="R201" i="116"/>
  <c r="Q201" i="116"/>
  <c r="R200" i="116"/>
  <c r="Q200" i="116"/>
  <c r="R199" i="116"/>
  <c r="Q199" i="116"/>
  <c r="R198" i="116"/>
  <c r="Q198" i="116"/>
  <c r="R197" i="116"/>
  <c r="Q197" i="116"/>
  <c r="R196" i="116"/>
  <c r="Q196" i="116"/>
  <c r="R195" i="116"/>
  <c r="Q195" i="116"/>
  <c r="R194" i="116"/>
  <c r="Q194" i="116"/>
  <c r="R193" i="116"/>
  <c r="Q193" i="116"/>
  <c r="R192" i="116"/>
  <c r="Q192" i="116"/>
  <c r="R191" i="116"/>
  <c r="Q191" i="116"/>
  <c r="R190" i="116"/>
  <c r="Q190" i="116"/>
  <c r="R189" i="116"/>
  <c r="Q189" i="116"/>
  <c r="R188" i="116"/>
  <c r="Q188" i="116"/>
  <c r="R187" i="116"/>
  <c r="Q187" i="116"/>
  <c r="R186" i="116"/>
  <c r="Q186" i="116"/>
  <c r="R185" i="116"/>
  <c r="Q185" i="116"/>
  <c r="R184" i="116"/>
  <c r="Q184" i="116"/>
  <c r="R183" i="116"/>
  <c r="Q183" i="116"/>
  <c r="R182" i="116"/>
  <c r="Q182" i="116"/>
  <c r="R181" i="116"/>
  <c r="Q181" i="116"/>
  <c r="R180" i="116"/>
  <c r="Q180" i="116"/>
  <c r="R179" i="116"/>
  <c r="Q179" i="116"/>
  <c r="R178" i="116"/>
  <c r="Q178" i="116"/>
  <c r="R177" i="116"/>
  <c r="Q177" i="116"/>
  <c r="R176" i="116"/>
  <c r="Q176" i="116"/>
  <c r="R175" i="116"/>
  <c r="Q175" i="116"/>
  <c r="R174" i="116"/>
  <c r="Q174" i="116"/>
  <c r="R173" i="116"/>
  <c r="Q173" i="116"/>
  <c r="R172" i="116"/>
  <c r="Q172" i="116"/>
  <c r="R171" i="116"/>
  <c r="Q171" i="116"/>
  <c r="R170" i="116"/>
  <c r="Q170" i="116"/>
  <c r="R169" i="116"/>
  <c r="Q169" i="116"/>
  <c r="R168" i="116"/>
  <c r="Q168" i="116"/>
  <c r="R167" i="116"/>
  <c r="Q167" i="116"/>
  <c r="R166" i="116"/>
  <c r="Q166" i="116"/>
  <c r="R165" i="116"/>
  <c r="Q165" i="116"/>
  <c r="R164" i="116"/>
  <c r="Q164" i="116"/>
  <c r="R163" i="116"/>
  <c r="Q163" i="116"/>
  <c r="R162" i="116"/>
  <c r="Q162" i="116"/>
  <c r="R161" i="116"/>
  <c r="Q161" i="116"/>
  <c r="R160" i="116"/>
  <c r="Q160" i="116"/>
  <c r="R159" i="116"/>
  <c r="Q159" i="116"/>
  <c r="R158" i="116"/>
  <c r="Q158" i="116"/>
  <c r="R157" i="116"/>
  <c r="Q157" i="116"/>
  <c r="R156" i="116"/>
  <c r="Q156" i="116"/>
  <c r="R155" i="116"/>
  <c r="Q155" i="116"/>
  <c r="R154" i="116"/>
  <c r="Q154" i="116"/>
  <c r="R153" i="116"/>
  <c r="Q153" i="116"/>
  <c r="R152" i="116"/>
  <c r="Q152" i="116"/>
  <c r="R151" i="116"/>
  <c r="Q151" i="116"/>
  <c r="R150" i="116"/>
  <c r="Q150" i="116"/>
  <c r="R149" i="116"/>
  <c r="Q149" i="116"/>
  <c r="R148" i="116"/>
  <c r="Q148" i="116"/>
  <c r="R147" i="116"/>
  <c r="Q147" i="116"/>
  <c r="R146" i="116"/>
  <c r="Q146" i="116"/>
  <c r="R145" i="116"/>
  <c r="Q145" i="116"/>
  <c r="R144" i="116"/>
  <c r="Q144" i="116"/>
  <c r="R143" i="116"/>
  <c r="Q143" i="116"/>
  <c r="R142" i="116"/>
  <c r="Q142" i="116"/>
  <c r="R141" i="116"/>
  <c r="Q141" i="116"/>
  <c r="R140" i="116"/>
  <c r="Q140" i="116"/>
  <c r="R139" i="116"/>
  <c r="Q139" i="116"/>
  <c r="R138" i="116"/>
  <c r="Q138" i="116"/>
  <c r="R137" i="116"/>
  <c r="Q137" i="116"/>
  <c r="R136" i="116"/>
  <c r="Q136" i="116"/>
  <c r="R135" i="116"/>
  <c r="Q135" i="116"/>
  <c r="R134" i="116"/>
  <c r="Q134" i="116"/>
  <c r="R133" i="116"/>
  <c r="Q133" i="116"/>
  <c r="R132" i="116"/>
  <c r="Q132" i="116"/>
  <c r="R131" i="116"/>
  <c r="Q131" i="116"/>
  <c r="R130" i="116"/>
  <c r="Q130" i="116"/>
  <c r="R129" i="116"/>
  <c r="Q129" i="116"/>
  <c r="R128" i="116"/>
  <c r="Q128" i="116"/>
  <c r="R127" i="116"/>
  <c r="Q127" i="116"/>
  <c r="R126" i="116"/>
  <c r="Q126" i="116"/>
  <c r="R125" i="116"/>
  <c r="Q125" i="116"/>
  <c r="R124" i="116"/>
  <c r="Q124" i="116"/>
  <c r="R123" i="116"/>
  <c r="Q123" i="116"/>
  <c r="R122" i="116"/>
  <c r="Q122" i="116"/>
  <c r="R121" i="116"/>
  <c r="Q121" i="116"/>
  <c r="R120" i="116"/>
  <c r="Q120" i="116"/>
  <c r="R119" i="116"/>
  <c r="Q119" i="116"/>
  <c r="R118" i="116"/>
  <c r="Q118" i="116"/>
  <c r="R117" i="116"/>
  <c r="Q117" i="116"/>
  <c r="R116" i="116"/>
  <c r="Q116" i="116"/>
  <c r="R115" i="116"/>
  <c r="Q115" i="116"/>
  <c r="R114" i="116"/>
  <c r="Q114" i="116"/>
  <c r="R113" i="116"/>
  <c r="Q113" i="116"/>
  <c r="R112" i="116"/>
  <c r="Q112" i="116"/>
  <c r="R111" i="116"/>
  <c r="Q111" i="116"/>
  <c r="R110" i="116"/>
  <c r="Q110" i="116"/>
  <c r="R109" i="116"/>
  <c r="Q109" i="116"/>
  <c r="R108" i="116"/>
  <c r="Q108" i="116"/>
  <c r="R107" i="116"/>
  <c r="Q107" i="116"/>
  <c r="R106" i="116"/>
  <c r="Q106" i="116"/>
  <c r="R105" i="116"/>
  <c r="Q105" i="116"/>
  <c r="R104" i="116"/>
  <c r="Q104" i="116"/>
  <c r="R103" i="116"/>
  <c r="Q103" i="116"/>
  <c r="R102" i="116"/>
  <c r="Q102" i="116"/>
  <c r="R101" i="116"/>
  <c r="Q101" i="116"/>
  <c r="R100" i="116"/>
  <c r="Q100" i="116"/>
  <c r="R99" i="116"/>
  <c r="Q99" i="116"/>
  <c r="R98" i="116"/>
  <c r="Q98" i="116"/>
  <c r="R97" i="116"/>
  <c r="Q97" i="116"/>
  <c r="R96" i="116"/>
  <c r="Q96" i="116"/>
  <c r="R95" i="116"/>
  <c r="Q95" i="116"/>
  <c r="R94" i="116"/>
  <c r="Q94" i="116"/>
  <c r="R93" i="116"/>
  <c r="Q93" i="116"/>
  <c r="R92" i="116"/>
  <c r="Q92" i="116"/>
  <c r="R91" i="116"/>
  <c r="Q91" i="116"/>
  <c r="R90" i="116"/>
  <c r="Q90" i="116"/>
  <c r="R89" i="116"/>
  <c r="Q89" i="116"/>
  <c r="R88" i="116"/>
  <c r="Q88" i="116"/>
  <c r="R87" i="116"/>
  <c r="Q87" i="116"/>
  <c r="R86" i="116"/>
  <c r="Q86" i="116"/>
  <c r="R85" i="116"/>
  <c r="Q85" i="116"/>
  <c r="R84" i="116"/>
  <c r="Q84" i="116"/>
  <c r="R83" i="116"/>
  <c r="Q83" i="116"/>
  <c r="R82" i="116"/>
  <c r="Q82" i="116"/>
  <c r="R81" i="116"/>
  <c r="Q81" i="116"/>
  <c r="R80" i="116"/>
  <c r="Q80" i="116"/>
  <c r="R79" i="116"/>
  <c r="Q79" i="116"/>
  <c r="R78" i="116"/>
  <c r="Q78" i="116"/>
  <c r="R77" i="116"/>
  <c r="Q77" i="116"/>
  <c r="R76" i="116"/>
  <c r="Q76" i="116"/>
  <c r="R75" i="116"/>
  <c r="Q75" i="116"/>
  <c r="R74" i="116"/>
  <c r="Q74" i="116"/>
  <c r="R73" i="116"/>
  <c r="Q73" i="116"/>
  <c r="R72" i="116"/>
  <c r="Q72" i="116"/>
  <c r="R71" i="116"/>
  <c r="Q71" i="116"/>
  <c r="R70" i="116"/>
  <c r="Q70" i="116"/>
  <c r="R69" i="116"/>
  <c r="Q69" i="116"/>
  <c r="R68" i="116"/>
  <c r="Q68" i="116"/>
  <c r="R67" i="116"/>
  <c r="Q67" i="116"/>
  <c r="R66" i="116"/>
  <c r="Q66" i="116"/>
  <c r="R65" i="116"/>
  <c r="Q65" i="116"/>
  <c r="R64" i="116"/>
  <c r="Q64" i="116"/>
  <c r="R63" i="116"/>
  <c r="Q63" i="116"/>
  <c r="R62" i="116"/>
  <c r="Q62" i="116"/>
  <c r="R61" i="116"/>
  <c r="Q61" i="116"/>
  <c r="R60" i="116"/>
  <c r="Q60" i="116"/>
  <c r="R59" i="116"/>
  <c r="Q59" i="116"/>
  <c r="R58" i="116"/>
  <c r="Q58" i="116"/>
  <c r="R57" i="116"/>
  <c r="Q57" i="116"/>
  <c r="R56" i="116"/>
  <c r="Q56" i="116"/>
  <c r="R55" i="116"/>
  <c r="Q55" i="116"/>
  <c r="R54" i="116"/>
  <c r="Q54" i="116"/>
  <c r="R53" i="116"/>
  <c r="Q53" i="116"/>
  <c r="R52" i="116"/>
  <c r="Q52" i="116"/>
  <c r="R51" i="116"/>
  <c r="Q51" i="116"/>
  <c r="R50" i="116"/>
  <c r="Q50" i="116"/>
  <c r="R49" i="116"/>
  <c r="Q49" i="116"/>
  <c r="R48" i="116"/>
  <c r="Q48" i="116"/>
  <c r="R47" i="116"/>
  <c r="Q47" i="116"/>
  <c r="R46" i="116"/>
  <c r="Q46" i="116"/>
  <c r="R45" i="116"/>
  <c r="Q45" i="116"/>
  <c r="R44" i="116"/>
  <c r="Q44" i="116"/>
  <c r="R43" i="116"/>
  <c r="Q43" i="116"/>
  <c r="R42" i="116"/>
  <c r="Q42" i="116"/>
  <c r="R41" i="116"/>
  <c r="Q41" i="116"/>
  <c r="R40" i="116"/>
  <c r="Q40" i="116"/>
  <c r="R39" i="116"/>
  <c r="Q39" i="116"/>
  <c r="R38" i="116"/>
  <c r="Q38" i="116"/>
  <c r="R37" i="116"/>
  <c r="Q37" i="116"/>
  <c r="R36" i="116"/>
  <c r="Q36" i="116"/>
  <c r="R35" i="116"/>
  <c r="Q35" i="116"/>
  <c r="R34" i="116"/>
  <c r="Q34" i="116"/>
  <c r="R33" i="116"/>
  <c r="Q33" i="116"/>
  <c r="R32" i="116"/>
  <c r="Q32" i="116"/>
  <c r="R31" i="116"/>
  <c r="Q31" i="116"/>
  <c r="R30" i="116"/>
  <c r="Q30" i="116"/>
  <c r="R29" i="116"/>
  <c r="Q29" i="116"/>
  <c r="R28" i="116"/>
  <c r="Q28" i="116"/>
  <c r="R27" i="116"/>
  <c r="Q27" i="116"/>
  <c r="R26" i="116"/>
  <c r="Q26" i="116"/>
  <c r="R25" i="116"/>
  <c r="Q25" i="116"/>
  <c r="R24" i="116"/>
  <c r="Q24" i="116"/>
  <c r="R23" i="116"/>
  <c r="Q23" i="116"/>
  <c r="R22" i="116"/>
  <c r="Q22" i="116"/>
  <c r="R21" i="116"/>
  <c r="Q21" i="116"/>
  <c r="R20" i="116"/>
  <c r="Q20" i="116"/>
  <c r="R19" i="116"/>
  <c r="Q19" i="116"/>
  <c r="R18" i="116"/>
  <c r="Q18" i="116"/>
  <c r="R17" i="116"/>
  <c r="Q17" i="116"/>
  <c r="R16" i="116"/>
  <c r="Q16" i="116"/>
  <c r="R15" i="116"/>
  <c r="Q15" i="116"/>
  <c r="R14" i="116"/>
  <c r="Q14" i="116"/>
  <c r="R13" i="116"/>
  <c r="Q13" i="116"/>
  <c r="R12" i="116"/>
  <c r="Q12" i="116"/>
  <c r="R11" i="116"/>
  <c r="Q11" i="116"/>
  <c r="R10" i="116"/>
  <c r="Q10" i="116"/>
  <c r="R9" i="116"/>
  <c r="D4" i="116"/>
  <c r="Q9" i="116"/>
  <c r="A2" i="116" a="1"/>
  <c r="A2" i="116" s="1"/>
  <c r="A1" i="116" s="1"/>
  <c r="D47" i="126" s="1" a="1"/>
  <c r="D47" i="126" s="1"/>
  <c r="R208" i="115"/>
  <c r="Q208" i="115"/>
  <c r="R207" i="115"/>
  <c r="Q207" i="115"/>
  <c r="R206" i="115"/>
  <c r="Q206" i="115"/>
  <c r="R205" i="115"/>
  <c r="Q205" i="115"/>
  <c r="R204" i="115"/>
  <c r="Q204" i="115"/>
  <c r="R203" i="115"/>
  <c r="Q203" i="115"/>
  <c r="R202" i="115"/>
  <c r="Q202" i="115"/>
  <c r="R201" i="115"/>
  <c r="Q201" i="115"/>
  <c r="R200" i="115"/>
  <c r="Q200" i="115"/>
  <c r="R199" i="115"/>
  <c r="Q199" i="115"/>
  <c r="R198" i="115"/>
  <c r="Q198" i="115"/>
  <c r="R197" i="115"/>
  <c r="Q197" i="115"/>
  <c r="R196" i="115"/>
  <c r="Q196" i="115"/>
  <c r="R195" i="115"/>
  <c r="Q195" i="115"/>
  <c r="R194" i="115"/>
  <c r="Q194" i="115"/>
  <c r="R193" i="115"/>
  <c r="Q193" i="115"/>
  <c r="R192" i="115"/>
  <c r="Q192" i="115"/>
  <c r="R191" i="115"/>
  <c r="Q191" i="115"/>
  <c r="R190" i="115"/>
  <c r="Q190" i="115"/>
  <c r="R189" i="115"/>
  <c r="Q189" i="115"/>
  <c r="R188" i="115"/>
  <c r="Q188" i="115"/>
  <c r="R187" i="115"/>
  <c r="Q187" i="115"/>
  <c r="R186" i="115"/>
  <c r="Q186" i="115"/>
  <c r="R185" i="115"/>
  <c r="Q185" i="115"/>
  <c r="R184" i="115"/>
  <c r="Q184" i="115"/>
  <c r="R183" i="115"/>
  <c r="Q183" i="115"/>
  <c r="R182" i="115"/>
  <c r="Q182" i="115"/>
  <c r="R181" i="115"/>
  <c r="Q181" i="115"/>
  <c r="R180" i="115"/>
  <c r="Q180" i="115"/>
  <c r="R179" i="115"/>
  <c r="Q179" i="115"/>
  <c r="R178" i="115"/>
  <c r="Q178" i="115"/>
  <c r="R177" i="115"/>
  <c r="Q177" i="115"/>
  <c r="R176" i="115"/>
  <c r="Q176" i="115"/>
  <c r="R175" i="115"/>
  <c r="Q175" i="115"/>
  <c r="R174" i="115"/>
  <c r="Q174" i="115"/>
  <c r="R173" i="115"/>
  <c r="Q173" i="115"/>
  <c r="R172" i="115"/>
  <c r="Q172" i="115"/>
  <c r="R171" i="115"/>
  <c r="Q171" i="115"/>
  <c r="R170" i="115"/>
  <c r="Q170" i="115"/>
  <c r="R169" i="115"/>
  <c r="Q169" i="115"/>
  <c r="R168" i="115"/>
  <c r="Q168" i="115"/>
  <c r="R167" i="115"/>
  <c r="Q167" i="115"/>
  <c r="R166" i="115"/>
  <c r="Q166" i="115"/>
  <c r="R165" i="115"/>
  <c r="Q165" i="115"/>
  <c r="R164" i="115"/>
  <c r="Q164" i="115"/>
  <c r="R163" i="115"/>
  <c r="Q163" i="115"/>
  <c r="R162" i="115"/>
  <c r="Q162" i="115"/>
  <c r="R161" i="115"/>
  <c r="Q161" i="115"/>
  <c r="R160" i="115"/>
  <c r="Q160" i="115"/>
  <c r="R159" i="115"/>
  <c r="Q159" i="115"/>
  <c r="R158" i="115"/>
  <c r="Q158" i="115"/>
  <c r="R157" i="115"/>
  <c r="Q157" i="115"/>
  <c r="R156" i="115"/>
  <c r="Q156" i="115"/>
  <c r="R155" i="115"/>
  <c r="Q155" i="115"/>
  <c r="R154" i="115"/>
  <c r="Q154" i="115"/>
  <c r="R153" i="115"/>
  <c r="Q153" i="115"/>
  <c r="R152" i="115"/>
  <c r="Q152" i="115"/>
  <c r="R151" i="115"/>
  <c r="Q151" i="115"/>
  <c r="R150" i="115"/>
  <c r="Q150" i="115"/>
  <c r="R149" i="115"/>
  <c r="Q149" i="115"/>
  <c r="R148" i="115"/>
  <c r="Q148" i="115"/>
  <c r="R147" i="115"/>
  <c r="Q147" i="115"/>
  <c r="R146" i="115"/>
  <c r="Q146" i="115"/>
  <c r="R145" i="115"/>
  <c r="Q145" i="115"/>
  <c r="R144" i="115"/>
  <c r="Q144" i="115"/>
  <c r="R143" i="115"/>
  <c r="Q143" i="115"/>
  <c r="R142" i="115"/>
  <c r="Q142" i="115"/>
  <c r="R141" i="115"/>
  <c r="Q141" i="115"/>
  <c r="R140" i="115"/>
  <c r="Q140" i="115"/>
  <c r="R139" i="115"/>
  <c r="Q139" i="115"/>
  <c r="R138" i="115"/>
  <c r="Q138" i="115"/>
  <c r="R137" i="115"/>
  <c r="Q137" i="115"/>
  <c r="R136" i="115"/>
  <c r="Q136" i="115"/>
  <c r="R135" i="115"/>
  <c r="Q135" i="115"/>
  <c r="R134" i="115"/>
  <c r="Q134" i="115"/>
  <c r="R133" i="115"/>
  <c r="Q133" i="115"/>
  <c r="R132" i="115"/>
  <c r="Q132" i="115"/>
  <c r="R131" i="115"/>
  <c r="Q131" i="115"/>
  <c r="R130" i="115"/>
  <c r="Q130" i="115"/>
  <c r="R129" i="115"/>
  <c r="Q129" i="115"/>
  <c r="R128" i="115"/>
  <c r="Q128" i="115"/>
  <c r="R127" i="115"/>
  <c r="Q127" i="115"/>
  <c r="R126" i="115"/>
  <c r="Q126" i="115"/>
  <c r="R125" i="115"/>
  <c r="Q125" i="115"/>
  <c r="R124" i="115"/>
  <c r="Q124" i="115"/>
  <c r="R123" i="115"/>
  <c r="Q123" i="115"/>
  <c r="R122" i="115"/>
  <c r="Q122" i="115"/>
  <c r="R121" i="115"/>
  <c r="Q121" i="115"/>
  <c r="R120" i="115"/>
  <c r="Q120" i="115"/>
  <c r="R119" i="115"/>
  <c r="Q119" i="115"/>
  <c r="R118" i="115"/>
  <c r="Q118" i="115"/>
  <c r="R117" i="115"/>
  <c r="Q117" i="115"/>
  <c r="R116" i="115"/>
  <c r="Q116" i="115"/>
  <c r="R115" i="115"/>
  <c r="Q115" i="115"/>
  <c r="R114" i="115"/>
  <c r="Q114" i="115"/>
  <c r="R113" i="115"/>
  <c r="Q113" i="115"/>
  <c r="R112" i="115"/>
  <c r="Q112" i="115"/>
  <c r="R111" i="115"/>
  <c r="Q111" i="115"/>
  <c r="R110" i="115"/>
  <c r="Q110" i="115"/>
  <c r="R109" i="115"/>
  <c r="Q109" i="115"/>
  <c r="R108" i="115"/>
  <c r="Q108" i="115"/>
  <c r="R107" i="115"/>
  <c r="Q107" i="115"/>
  <c r="R106" i="115"/>
  <c r="Q106" i="115"/>
  <c r="R105" i="115"/>
  <c r="Q105" i="115"/>
  <c r="R104" i="115"/>
  <c r="Q104" i="115"/>
  <c r="R103" i="115"/>
  <c r="Q103" i="115"/>
  <c r="R102" i="115"/>
  <c r="Q102" i="115"/>
  <c r="R101" i="115"/>
  <c r="Q101" i="115"/>
  <c r="R100" i="115"/>
  <c r="Q100" i="115"/>
  <c r="R99" i="115"/>
  <c r="Q99" i="115"/>
  <c r="R98" i="115"/>
  <c r="Q98" i="115"/>
  <c r="R97" i="115"/>
  <c r="Q97" i="115"/>
  <c r="R96" i="115"/>
  <c r="Q96" i="115"/>
  <c r="R95" i="115"/>
  <c r="Q95" i="115"/>
  <c r="R94" i="115"/>
  <c r="Q94" i="115"/>
  <c r="R93" i="115"/>
  <c r="Q93" i="115"/>
  <c r="R92" i="115"/>
  <c r="Q92" i="115"/>
  <c r="R91" i="115"/>
  <c r="Q91" i="115"/>
  <c r="R90" i="115"/>
  <c r="Q90" i="115"/>
  <c r="R89" i="115"/>
  <c r="Q89" i="115"/>
  <c r="R88" i="115"/>
  <c r="Q88" i="115"/>
  <c r="R87" i="115"/>
  <c r="Q87" i="115"/>
  <c r="R86" i="115"/>
  <c r="Q86" i="115"/>
  <c r="R85" i="115"/>
  <c r="Q85" i="115"/>
  <c r="R84" i="115"/>
  <c r="Q84" i="115"/>
  <c r="R83" i="115"/>
  <c r="Q83" i="115"/>
  <c r="R82" i="115"/>
  <c r="Q82" i="115"/>
  <c r="R81" i="115"/>
  <c r="Q81" i="115"/>
  <c r="R80" i="115"/>
  <c r="Q80" i="115"/>
  <c r="R79" i="115"/>
  <c r="Q79" i="115"/>
  <c r="R78" i="115"/>
  <c r="Q78" i="115"/>
  <c r="R77" i="115"/>
  <c r="Q77" i="115"/>
  <c r="R76" i="115"/>
  <c r="Q76" i="115"/>
  <c r="R75" i="115"/>
  <c r="Q75" i="115"/>
  <c r="R74" i="115"/>
  <c r="Q74" i="115"/>
  <c r="R73" i="115"/>
  <c r="Q73" i="115"/>
  <c r="R72" i="115"/>
  <c r="Q72" i="115"/>
  <c r="R71" i="115"/>
  <c r="Q71" i="115"/>
  <c r="R70" i="115"/>
  <c r="Q70" i="115"/>
  <c r="R69" i="115"/>
  <c r="Q69" i="115"/>
  <c r="R68" i="115"/>
  <c r="Q68" i="115"/>
  <c r="R67" i="115"/>
  <c r="Q67" i="115"/>
  <c r="R66" i="115"/>
  <c r="Q66" i="115"/>
  <c r="R65" i="115"/>
  <c r="Q65" i="115"/>
  <c r="R64" i="115"/>
  <c r="Q64" i="115"/>
  <c r="R63" i="115"/>
  <c r="Q63" i="115"/>
  <c r="R62" i="115"/>
  <c r="Q62" i="115"/>
  <c r="R61" i="115"/>
  <c r="Q61" i="115"/>
  <c r="R60" i="115"/>
  <c r="Q60" i="115"/>
  <c r="R59" i="115"/>
  <c r="Q59" i="115"/>
  <c r="R58" i="115"/>
  <c r="Q58" i="115"/>
  <c r="R57" i="115"/>
  <c r="Q57" i="115"/>
  <c r="R56" i="115"/>
  <c r="Q56" i="115"/>
  <c r="R55" i="115"/>
  <c r="Q55" i="115"/>
  <c r="R54" i="115"/>
  <c r="Q54" i="115"/>
  <c r="R53" i="115"/>
  <c r="Q53" i="115"/>
  <c r="R52" i="115"/>
  <c r="Q52" i="115"/>
  <c r="R51" i="115"/>
  <c r="Q51" i="115"/>
  <c r="R50" i="115"/>
  <c r="Q50" i="115"/>
  <c r="R49" i="115"/>
  <c r="Q49" i="115"/>
  <c r="R48" i="115"/>
  <c r="Q48" i="115"/>
  <c r="R47" i="115"/>
  <c r="Q47" i="115"/>
  <c r="R46" i="115"/>
  <c r="Q46" i="115"/>
  <c r="R45" i="115"/>
  <c r="Q45" i="115"/>
  <c r="R44" i="115"/>
  <c r="Q44" i="115"/>
  <c r="R43" i="115"/>
  <c r="Q43" i="115"/>
  <c r="R42" i="115"/>
  <c r="Q42" i="115"/>
  <c r="R41" i="115"/>
  <c r="Q41" i="115"/>
  <c r="R40" i="115"/>
  <c r="Q40" i="115"/>
  <c r="R39" i="115"/>
  <c r="Q39" i="115"/>
  <c r="R38" i="115"/>
  <c r="Q38" i="115"/>
  <c r="R37" i="115"/>
  <c r="Q37" i="115"/>
  <c r="R36" i="115"/>
  <c r="Q36" i="115"/>
  <c r="R35" i="115"/>
  <c r="Q35" i="115"/>
  <c r="R34" i="115"/>
  <c r="Q34" i="115"/>
  <c r="R33" i="115"/>
  <c r="Q33" i="115"/>
  <c r="R32" i="115"/>
  <c r="Q32" i="115"/>
  <c r="R31" i="115"/>
  <c r="Q31" i="115"/>
  <c r="R30" i="115"/>
  <c r="Q30" i="115"/>
  <c r="R29" i="115"/>
  <c r="Q29" i="115"/>
  <c r="R28" i="115"/>
  <c r="Q28" i="115"/>
  <c r="R27" i="115"/>
  <c r="Q27" i="115"/>
  <c r="R26" i="115"/>
  <c r="Q26" i="115"/>
  <c r="R25" i="115"/>
  <c r="Q25" i="115"/>
  <c r="R24" i="115"/>
  <c r="Q24" i="115"/>
  <c r="R23" i="115"/>
  <c r="Q23" i="115"/>
  <c r="R22" i="115"/>
  <c r="Q22" i="115"/>
  <c r="R21" i="115"/>
  <c r="Q21" i="115"/>
  <c r="R20" i="115"/>
  <c r="Q20" i="115"/>
  <c r="R19" i="115"/>
  <c r="Q19" i="115"/>
  <c r="R18" i="115"/>
  <c r="Q18" i="115"/>
  <c r="R17" i="115"/>
  <c r="Q17" i="115"/>
  <c r="R16" i="115"/>
  <c r="Q16" i="115"/>
  <c r="R15" i="115"/>
  <c r="Q15" i="115"/>
  <c r="R14" i="115"/>
  <c r="Q14" i="115"/>
  <c r="R13" i="115"/>
  <c r="Q13" i="115"/>
  <c r="R12" i="115"/>
  <c r="Q12" i="115"/>
  <c r="R11" i="115"/>
  <c r="Q11" i="115"/>
  <c r="R10" i="115"/>
  <c r="Q10" i="115"/>
  <c r="R9" i="115"/>
  <c r="D4" i="115"/>
  <c r="Q9" i="115"/>
  <c r="A2" i="115" a="1"/>
  <c r="A2" i="115" s="1"/>
  <c r="A1" i="115" s="1"/>
  <c r="D46" i="126" s="1" a="1"/>
  <c r="D46" i="126" s="1"/>
  <c r="R208" i="114"/>
  <c r="Q208" i="114"/>
  <c r="R207" i="114"/>
  <c r="Q207" i="114"/>
  <c r="R206" i="114"/>
  <c r="Q206" i="114"/>
  <c r="R205" i="114"/>
  <c r="Q205" i="114"/>
  <c r="R204" i="114"/>
  <c r="Q204" i="114"/>
  <c r="R203" i="114"/>
  <c r="Q203" i="114"/>
  <c r="R202" i="114"/>
  <c r="Q202" i="114"/>
  <c r="R201" i="114"/>
  <c r="Q201" i="114"/>
  <c r="R200" i="114"/>
  <c r="Q200" i="114"/>
  <c r="R199" i="114"/>
  <c r="Q199" i="114"/>
  <c r="R198" i="114"/>
  <c r="Q198" i="114"/>
  <c r="R197" i="114"/>
  <c r="Q197" i="114"/>
  <c r="R196" i="114"/>
  <c r="Q196" i="114"/>
  <c r="R195" i="114"/>
  <c r="Q195" i="114"/>
  <c r="R194" i="114"/>
  <c r="Q194" i="114"/>
  <c r="R193" i="114"/>
  <c r="Q193" i="114"/>
  <c r="R192" i="114"/>
  <c r="Q192" i="114"/>
  <c r="R191" i="114"/>
  <c r="Q191" i="114"/>
  <c r="R190" i="114"/>
  <c r="Q190" i="114"/>
  <c r="R189" i="114"/>
  <c r="Q189" i="114"/>
  <c r="R188" i="114"/>
  <c r="Q188" i="114"/>
  <c r="R187" i="114"/>
  <c r="Q187" i="114"/>
  <c r="R186" i="114"/>
  <c r="Q186" i="114"/>
  <c r="R185" i="114"/>
  <c r="Q185" i="114"/>
  <c r="R184" i="114"/>
  <c r="Q184" i="114"/>
  <c r="R183" i="114"/>
  <c r="Q183" i="114"/>
  <c r="R182" i="114"/>
  <c r="Q182" i="114"/>
  <c r="R181" i="114"/>
  <c r="Q181" i="114"/>
  <c r="R180" i="114"/>
  <c r="Q180" i="114"/>
  <c r="R179" i="114"/>
  <c r="Q179" i="114"/>
  <c r="R178" i="114"/>
  <c r="Q178" i="114"/>
  <c r="R177" i="114"/>
  <c r="Q177" i="114"/>
  <c r="R176" i="114"/>
  <c r="Q176" i="114"/>
  <c r="R175" i="114"/>
  <c r="Q175" i="114"/>
  <c r="R174" i="114"/>
  <c r="Q174" i="114"/>
  <c r="R173" i="114"/>
  <c r="Q173" i="114"/>
  <c r="R172" i="114"/>
  <c r="Q172" i="114"/>
  <c r="R171" i="114"/>
  <c r="Q171" i="114"/>
  <c r="R170" i="114"/>
  <c r="Q170" i="114"/>
  <c r="R169" i="114"/>
  <c r="Q169" i="114"/>
  <c r="R168" i="114"/>
  <c r="Q168" i="114"/>
  <c r="R167" i="114"/>
  <c r="Q167" i="114"/>
  <c r="R166" i="114"/>
  <c r="Q166" i="114"/>
  <c r="R165" i="114"/>
  <c r="Q165" i="114"/>
  <c r="R164" i="114"/>
  <c r="Q164" i="114"/>
  <c r="R163" i="114"/>
  <c r="Q163" i="114"/>
  <c r="R162" i="114"/>
  <c r="Q162" i="114"/>
  <c r="R161" i="114"/>
  <c r="Q161" i="114"/>
  <c r="R160" i="114"/>
  <c r="Q160" i="114"/>
  <c r="R159" i="114"/>
  <c r="Q159" i="114"/>
  <c r="R158" i="114"/>
  <c r="Q158" i="114"/>
  <c r="R157" i="114"/>
  <c r="Q157" i="114"/>
  <c r="R156" i="114"/>
  <c r="Q156" i="114"/>
  <c r="R155" i="114"/>
  <c r="Q155" i="114"/>
  <c r="R154" i="114"/>
  <c r="Q154" i="114"/>
  <c r="R153" i="114"/>
  <c r="Q153" i="114"/>
  <c r="R152" i="114"/>
  <c r="Q152" i="114"/>
  <c r="R151" i="114"/>
  <c r="Q151" i="114"/>
  <c r="R150" i="114"/>
  <c r="Q150" i="114"/>
  <c r="R149" i="114"/>
  <c r="Q149" i="114"/>
  <c r="R148" i="114"/>
  <c r="Q148" i="114"/>
  <c r="R147" i="114"/>
  <c r="Q147" i="114"/>
  <c r="R146" i="114"/>
  <c r="Q146" i="114"/>
  <c r="R145" i="114"/>
  <c r="Q145" i="114"/>
  <c r="R144" i="114"/>
  <c r="Q144" i="114"/>
  <c r="R143" i="114"/>
  <c r="Q143" i="114"/>
  <c r="R142" i="114"/>
  <c r="Q142" i="114"/>
  <c r="R141" i="114"/>
  <c r="Q141" i="114"/>
  <c r="R140" i="114"/>
  <c r="Q140" i="114"/>
  <c r="R139" i="114"/>
  <c r="Q139" i="114"/>
  <c r="R138" i="114"/>
  <c r="Q138" i="114"/>
  <c r="R137" i="114"/>
  <c r="Q137" i="114"/>
  <c r="R136" i="114"/>
  <c r="Q136" i="114"/>
  <c r="R135" i="114"/>
  <c r="Q135" i="114"/>
  <c r="R134" i="114"/>
  <c r="Q134" i="114"/>
  <c r="R133" i="114"/>
  <c r="Q133" i="114"/>
  <c r="R132" i="114"/>
  <c r="Q132" i="114"/>
  <c r="R131" i="114"/>
  <c r="Q131" i="114"/>
  <c r="R130" i="114"/>
  <c r="Q130" i="114"/>
  <c r="R129" i="114"/>
  <c r="Q129" i="114"/>
  <c r="R128" i="114"/>
  <c r="Q128" i="114"/>
  <c r="R127" i="114"/>
  <c r="Q127" i="114"/>
  <c r="R126" i="114"/>
  <c r="Q126" i="114"/>
  <c r="R125" i="114"/>
  <c r="Q125" i="114"/>
  <c r="R124" i="114"/>
  <c r="Q124" i="114"/>
  <c r="R123" i="114"/>
  <c r="Q123" i="114"/>
  <c r="R122" i="114"/>
  <c r="Q122" i="114"/>
  <c r="R121" i="114"/>
  <c r="Q121" i="114"/>
  <c r="R120" i="114"/>
  <c r="Q120" i="114"/>
  <c r="R119" i="114"/>
  <c r="Q119" i="114"/>
  <c r="R118" i="114"/>
  <c r="Q118" i="114"/>
  <c r="R117" i="114"/>
  <c r="Q117" i="114"/>
  <c r="R116" i="114"/>
  <c r="Q116" i="114"/>
  <c r="R115" i="114"/>
  <c r="Q115" i="114"/>
  <c r="R114" i="114"/>
  <c r="Q114" i="114"/>
  <c r="R113" i="114"/>
  <c r="Q113" i="114"/>
  <c r="R112" i="114"/>
  <c r="Q112" i="114"/>
  <c r="R111" i="114"/>
  <c r="Q111" i="114"/>
  <c r="R110" i="114"/>
  <c r="Q110" i="114"/>
  <c r="R109" i="114"/>
  <c r="Q109" i="114"/>
  <c r="R108" i="114"/>
  <c r="Q108" i="114"/>
  <c r="R107" i="114"/>
  <c r="Q107" i="114"/>
  <c r="R106" i="114"/>
  <c r="Q106" i="114"/>
  <c r="R105" i="114"/>
  <c r="Q105" i="114"/>
  <c r="R104" i="114"/>
  <c r="Q104" i="114"/>
  <c r="R103" i="114"/>
  <c r="Q103" i="114"/>
  <c r="R102" i="114"/>
  <c r="Q102" i="114"/>
  <c r="R101" i="114"/>
  <c r="Q101" i="114"/>
  <c r="R100" i="114"/>
  <c r="Q100" i="114"/>
  <c r="R99" i="114"/>
  <c r="Q99" i="114"/>
  <c r="R98" i="114"/>
  <c r="Q98" i="114"/>
  <c r="R97" i="114"/>
  <c r="Q97" i="114"/>
  <c r="R96" i="114"/>
  <c r="Q96" i="114"/>
  <c r="R95" i="114"/>
  <c r="Q95" i="114"/>
  <c r="R94" i="114"/>
  <c r="Q94" i="114"/>
  <c r="R93" i="114"/>
  <c r="Q93" i="114"/>
  <c r="R92" i="114"/>
  <c r="Q92" i="114"/>
  <c r="R91" i="114"/>
  <c r="Q91" i="114"/>
  <c r="R90" i="114"/>
  <c r="Q90" i="114"/>
  <c r="R89" i="114"/>
  <c r="Q89" i="114"/>
  <c r="R88" i="114"/>
  <c r="Q88" i="114"/>
  <c r="R87" i="114"/>
  <c r="Q87" i="114"/>
  <c r="R86" i="114"/>
  <c r="Q86" i="114"/>
  <c r="R85" i="114"/>
  <c r="Q85" i="114"/>
  <c r="R84" i="114"/>
  <c r="Q84" i="114"/>
  <c r="R83" i="114"/>
  <c r="Q83" i="114"/>
  <c r="R82" i="114"/>
  <c r="Q82" i="114"/>
  <c r="R81" i="114"/>
  <c r="Q81" i="114"/>
  <c r="R80" i="114"/>
  <c r="Q80" i="114"/>
  <c r="R79" i="114"/>
  <c r="Q79" i="114"/>
  <c r="R78" i="114"/>
  <c r="Q78" i="114"/>
  <c r="R77" i="114"/>
  <c r="Q77" i="114"/>
  <c r="R76" i="114"/>
  <c r="Q76" i="114"/>
  <c r="R75" i="114"/>
  <c r="Q75" i="114"/>
  <c r="R74" i="114"/>
  <c r="Q74" i="114"/>
  <c r="R73" i="114"/>
  <c r="Q73" i="114"/>
  <c r="R72" i="114"/>
  <c r="Q72" i="114"/>
  <c r="R71" i="114"/>
  <c r="Q71" i="114"/>
  <c r="R70" i="114"/>
  <c r="Q70" i="114"/>
  <c r="R69" i="114"/>
  <c r="Q69" i="114"/>
  <c r="R68" i="114"/>
  <c r="Q68" i="114"/>
  <c r="R67" i="114"/>
  <c r="Q67" i="114"/>
  <c r="R66" i="114"/>
  <c r="Q66" i="114"/>
  <c r="R65" i="114"/>
  <c r="Q65" i="114"/>
  <c r="R64" i="114"/>
  <c r="Q64" i="114"/>
  <c r="R63" i="114"/>
  <c r="Q63" i="114"/>
  <c r="R62" i="114"/>
  <c r="Q62" i="114"/>
  <c r="R61" i="114"/>
  <c r="Q61" i="114"/>
  <c r="R60" i="114"/>
  <c r="Q60" i="114"/>
  <c r="R59" i="114"/>
  <c r="Q59" i="114"/>
  <c r="R58" i="114"/>
  <c r="Q58" i="114"/>
  <c r="R57" i="114"/>
  <c r="Q57" i="114"/>
  <c r="R56" i="114"/>
  <c r="Q56" i="114"/>
  <c r="R55" i="114"/>
  <c r="Q55" i="114"/>
  <c r="R54" i="114"/>
  <c r="Q54" i="114"/>
  <c r="R53" i="114"/>
  <c r="Q53" i="114"/>
  <c r="R52" i="114"/>
  <c r="Q52" i="114"/>
  <c r="R51" i="114"/>
  <c r="Q51" i="114"/>
  <c r="R50" i="114"/>
  <c r="Q50" i="114"/>
  <c r="R49" i="114"/>
  <c r="Q49" i="114"/>
  <c r="R48" i="114"/>
  <c r="Q48" i="114"/>
  <c r="R47" i="114"/>
  <c r="Q47" i="114"/>
  <c r="R46" i="114"/>
  <c r="Q46" i="114"/>
  <c r="R45" i="114"/>
  <c r="Q45" i="114"/>
  <c r="R44" i="114"/>
  <c r="Q44" i="114"/>
  <c r="R43" i="114"/>
  <c r="Q43" i="114"/>
  <c r="R42" i="114"/>
  <c r="Q42" i="114"/>
  <c r="R41" i="114"/>
  <c r="Q41" i="114"/>
  <c r="R40" i="114"/>
  <c r="Q40" i="114"/>
  <c r="R39" i="114"/>
  <c r="Q39" i="114"/>
  <c r="R38" i="114"/>
  <c r="Q38" i="114"/>
  <c r="R37" i="114"/>
  <c r="Q37" i="114"/>
  <c r="R36" i="114"/>
  <c r="Q36" i="114"/>
  <c r="R35" i="114"/>
  <c r="Q35" i="114"/>
  <c r="R34" i="114"/>
  <c r="Q34" i="114"/>
  <c r="R33" i="114"/>
  <c r="Q33" i="114"/>
  <c r="R32" i="114"/>
  <c r="Q32" i="114"/>
  <c r="R31" i="114"/>
  <c r="Q31" i="114"/>
  <c r="R30" i="114"/>
  <c r="Q30" i="114"/>
  <c r="R29" i="114"/>
  <c r="Q29" i="114"/>
  <c r="R28" i="114"/>
  <c r="Q28" i="114"/>
  <c r="R27" i="114"/>
  <c r="Q27" i="114"/>
  <c r="R26" i="114"/>
  <c r="Q26" i="114"/>
  <c r="R25" i="114"/>
  <c r="Q25" i="114"/>
  <c r="R24" i="114"/>
  <c r="Q24" i="114"/>
  <c r="R23" i="114"/>
  <c r="Q23" i="114"/>
  <c r="R22" i="114"/>
  <c r="Q22" i="114"/>
  <c r="R21" i="114"/>
  <c r="Q21" i="114"/>
  <c r="R20" i="114"/>
  <c r="Q20" i="114"/>
  <c r="R19" i="114"/>
  <c r="Q19" i="114"/>
  <c r="R18" i="114"/>
  <c r="Q18" i="114"/>
  <c r="R17" i="114"/>
  <c r="Q17" i="114"/>
  <c r="R16" i="114"/>
  <c r="Q16" i="114"/>
  <c r="R15" i="114"/>
  <c r="Q15" i="114"/>
  <c r="R14" i="114"/>
  <c r="Q14" i="114"/>
  <c r="R13" i="114"/>
  <c r="Q13" i="114"/>
  <c r="R12" i="114"/>
  <c r="Q12" i="114"/>
  <c r="R11" i="114"/>
  <c r="Q11" i="114"/>
  <c r="R10" i="114"/>
  <c r="Q10" i="114"/>
  <c r="R9" i="114"/>
  <c r="D4" i="114"/>
  <c r="Q9" i="114"/>
  <c r="A2" i="114" a="1"/>
  <c r="A2" i="114" s="1"/>
  <c r="A1" i="114" s="1"/>
  <c r="D45" i="126" s="1" a="1"/>
  <c r="D45" i="126" s="1"/>
  <c r="R208" i="113"/>
  <c r="Q208" i="113"/>
  <c r="R207" i="113"/>
  <c r="Q207" i="113"/>
  <c r="R206" i="113"/>
  <c r="Q206" i="113"/>
  <c r="R205" i="113"/>
  <c r="Q205" i="113"/>
  <c r="R204" i="113"/>
  <c r="Q204" i="113"/>
  <c r="R203" i="113"/>
  <c r="Q203" i="113"/>
  <c r="R202" i="113"/>
  <c r="Q202" i="113"/>
  <c r="R201" i="113"/>
  <c r="Q201" i="113"/>
  <c r="R200" i="113"/>
  <c r="Q200" i="113"/>
  <c r="R199" i="113"/>
  <c r="Q199" i="113"/>
  <c r="R198" i="113"/>
  <c r="Q198" i="113"/>
  <c r="R197" i="113"/>
  <c r="Q197" i="113"/>
  <c r="R196" i="113"/>
  <c r="Q196" i="113"/>
  <c r="R195" i="113"/>
  <c r="Q195" i="113"/>
  <c r="R194" i="113"/>
  <c r="Q194" i="113"/>
  <c r="R193" i="113"/>
  <c r="Q193" i="113"/>
  <c r="R192" i="113"/>
  <c r="Q192" i="113"/>
  <c r="R191" i="113"/>
  <c r="Q191" i="113"/>
  <c r="R190" i="113"/>
  <c r="Q190" i="113"/>
  <c r="R189" i="113"/>
  <c r="Q189" i="113"/>
  <c r="R188" i="113"/>
  <c r="Q188" i="113"/>
  <c r="R187" i="113"/>
  <c r="Q187" i="113"/>
  <c r="R186" i="113"/>
  <c r="Q186" i="113"/>
  <c r="R185" i="113"/>
  <c r="Q185" i="113"/>
  <c r="R184" i="113"/>
  <c r="Q184" i="113"/>
  <c r="R183" i="113"/>
  <c r="Q183" i="113"/>
  <c r="R182" i="113"/>
  <c r="Q182" i="113"/>
  <c r="R181" i="113"/>
  <c r="Q181" i="113"/>
  <c r="R180" i="113"/>
  <c r="Q180" i="113"/>
  <c r="R179" i="113"/>
  <c r="Q179" i="113"/>
  <c r="R178" i="113"/>
  <c r="Q178" i="113"/>
  <c r="R177" i="113"/>
  <c r="Q177" i="113"/>
  <c r="R176" i="113"/>
  <c r="Q176" i="113"/>
  <c r="R175" i="113"/>
  <c r="Q175" i="113"/>
  <c r="R174" i="113"/>
  <c r="Q174" i="113"/>
  <c r="R173" i="113"/>
  <c r="Q173" i="113"/>
  <c r="R172" i="113"/>
  <c r="Q172" i="113"/>
  <c r="R171" i="113"/>
  <c r="Q171" i="113"/>
  <c r="R170" i="113"/>
  <c r="Q170" i="113"/>
  <c r="R169" i="113"/>
  <c r="Q169" i="113"/>
  <c r="R168" i="113"/>
  <c r="Q168" i="113"/>
  <c r="R167" i="113"/>
  <c r="Q167" i="113"/>
  <c r="R166" i="113"/>
  <c r="Q166" i="113"/>
  <c r="R165" i="113"/>
  <c r="Q165" i="113"/>
  <c r="R164" i="113"/>
  <c r="Q164" i="113"/>
  <c r="R163" i="113"/>
  <c r="Q163" i="113"/>
  <c r="R162" i="113"/>
  <c r="Q162" i="113"/>
  <c r="R161" i="113"/>
  <c r="Q161" i="113"/>
  <c r="R160" i="113"/>
  <c r="Q160" i="113"/>
  <c r="R159" i="113"/>
  <c r="Q159" i="113"/>
  <c r="R158" i="113"/>
  <c r="Q158" i="113"/>
  <c r="R157" i="113"/>
  <c r="Q157" i="113"/>
  <c r="R156" i="113"/>
  <c r="Q156" i="113"/>
  <c r="R155" i="113"/>
  <c r="Q155" i="113"/>
  <c r="R154" i="113"/>
  <c r="Q154" i="113"/>
  <c r="R153" i="113"/>
  <c r="Q153" i="113"/>
  <c r="R152" i="113"/>
  <c r="Q152" i="113"/>
  <c r="R151" i="113"/>
  <c r="Q151" i="113"/>
  <c r="R150" i="113"/>
  <c r="Q150" i="113"/>
  <c r="R149" i="113"/>
  <c r="Q149" i="113"/>
  <c r="R148" i="113"/>
  <c r="Q148" i="113"/>
  <c r="R147" i="113"/>
  <c r="Q147" i="113"/>
  <c r="R146" i="113"/>
  <c r="Q146" i="113"/>
  <c r="R145" i="113"/>
  <c r="Q145" i="113"/>
  <c r="R144" i="113"/>
  <c r="Q144" i="113"/>
  <c r="R143" i="113"/>
  <c r="Q143" i="113"/>
  <c r="R142" i="113"/>
  <c r="Q142" i="113"/>
  <c r="R141" i="113"/>
  <c r="Q141" i="113"/>
  <c r="R140" i="113"/>
  <c r="Q140" i="113"/>
  <c r="R139" i="113"/>
  <c r="Q139" i="113"/>
  <c r="R138" i="113"/>
  <c r="Q138" i="113"/>
  <c r="R137" i="113"/>
  <c r="Q137" i="113"/>
  <c r="R136" i="113"/>
  <c r="Q136" i="113"/>
  <c r="R135" i="113"/>
  <c r="Q135" i="113"/>
  <c r="R134" i="113"/>
  <c r="Q134" i="113"/>
  <c r="R133" i="113"/>
  <c r="Q133" i="113"/>
  <c r="R132" i="113"/>
  <c r="Q132" i="113"/>
  <c r="R131" i="113"/>
  <c r="Q131" i="113"/>
  <c r="R130" i="113"/>
  <c r="Q130" i="113"/>
  <c r="R129" i="113"/>
  <c r="Q129" i="113"/>
  <c r="R128" i="113"/>
  <c r="Q128" i="113"/>
  <c r="R127" i="113"/>
  <c r="Q127" i="113"/>
  <c r="R126" i="113"/>
  <c r="Q126" i="113"/>
  <c r="R125" i="113"/>
  <c r="Q125" i="113"/>
  <c r="R124" i="113"/>
  <c r="Q124" i="113"/>
  <c r="R123" i="113"/>
  <c r="Q123" i="113"/>
  <c r="R122" i="113"/>
  <c r="Q122" i="113"/>
  <c r="R121" i="113"/>
  <c r="Q121" i="113"/>
  <c r="R120" i="113"/>
  <c r="Q120" i="113"/>
  <c r="R119" i="113"/>
  <c r="Q119" i="113"/>
  <c r="R118" i="113"/>
  <c r="Q118" i="113"/>
  <c r="R117" i="113"/>
  <c r="Q117" i="113"/>
  <c r="R116" i="113"/>
  <c r="Q116" i="113"/>
  <c r="R115" i="113"/>
  <c r="Q115" i="113"/>
  <c r="R114" i="113"/>
  <c r="Q114" i="113"/>
  <c r="R113" i="113"/>
  <c r="Q113" i="113"/>
  <c r="R112" i="113"/>
  <c r="Q112" i="113"/>
  <c r="R111" i="113"/>
  <c r="Q111" i="113"/>
  <c r="R110" i="113"/>
  <c r="Q110" i="113"/>
  <c r="R109" i="113"/>
  <c r="Q109" i="113"/>
  <c r="R108" i="113"/>
  <c r="Q108" i="113"/>
  <c r="R107" i="113"/>
  <c r="Q107" i="113"/>
  <c r="R106" i="113"/>
  <c r="Q106" i="113"/>
  <c r="R105" i="113"/>
  <c r="Q105" i="113"/>
  <c r="R104" i="113"/>
  <c r="Q104" i="113"/>
  <c r="R103" i="113"/>
  <c r="Q103" i="113"/>
  <c r="R102" i="113"/>
  <c r="Q102" i="113"/>
  <c r="R101" i="113"/>
  <c r="Q101" i="113"/>
  <c r="R100" i="113"/>
  <c r="Q100" i="113"/>
  <c r="R99" i="113"/>
  <c r="Q99" i="113"/>
  <c r="R98" i="113"/>
  <c r="Q98" i="113"/>
  <c r="R97" i="113"/>
  <c r="Q97" i="113"/>
  <c r="R96" i="113"/>
  <c r="Q96" i="113"/>
  <c r="R95" i="113"/>
  <c r="Q95" i="113"/>
  <c r="R94" i="113"/>
  <c r="Q94" i="113"/>
  <c r="R93" i="113"/>
  <c r="Q93" i="113"/>
  <c r="R92" i="113"/>
  <c r="Q92" i="113"/>
  <c r="R91" i="113"/>
  <c r="Q91" i="113"/>
  <c r="R90" i="113"/>
  <c r="Q90" i="113"/>
  <c r="R89" i="113"/>
  <c r="Q89" i="113"/>
  <c r="R88" i="113"/>
  <c r="Q88" i="113"/>
  <c r="R87" i="113"/>
  <c r="Q87" i="113"/>
  <c r="R86" i="113"/>
  <c r="Q86" i="113"/>
  <c r="R85" i="113"/>
  <c r="Q85" i="113"/>
  <c r="R84" i="113"/>
  <c r="Q84" i="113"/>
  <c r="R83" i="113"/>
  <c r="Q83" i="113"/>
  <c r="R82" i="113"/>
  <c r="Q82" i="113"/>
  <c r="R81" i="113"/>
  <c r="Q81" i="113"/>
  <c r="R80" i="113"/>
  <c r="Q80" i="113"/>
  <c r="R79" i="113"/>
  <c r="Q79" i="113"/>
  <c r="R78" i="113"/>
  <c r="Q78" i="113"/>
  <c r="R77" i="113"/>
  <c r="Q77" i="113"/>
  <c r="R76" i="113"/>
  <c r="Q76" i="113"/>
  <c r="R75" i="113"/>
  <c r="Q75" i="113"/>
  <c r="R74" i="113"/>
  <c r="Q74" i="113"/>
  <c r="R73" i="113"/>
  <c r="Q73" i="113"/>
  <c r="R72" i="113"/>
  <c r="Q72" i="113"/>
  <c r="R71" i="113"/>
  <c r="Q71" i="113"/>
  <c r="R70" i="113"/>
  <c r="Q70" i="113"/>
  <c r="R69" i="113"/>
  <c r="Q69" i="113"/>
  <c r="R68" i="113"/>
  <c r="Q68" i="113"/>
  <c r="R67" i="113"/>
  <c r="Q67" i="113"/>
  <c r="R66" i="113"/>
  <c r="Q66" i="113"/>
  <c r="R65" i="113"/>
  <c r="Q65" i="113"/>
  <c r="R64" i="113"/>
  <c r="Q64" i="113"/>
  <c r="R63" i="113"/>
  <c r="Q63" i="113"/>
  <c r="R62" i="113"/>
  <c r="Q62" i="113"/>
  <c r="R61" i="113"/>
  <c r="Q61" i="113"/>
  <c r="R60" i="113"/>
  <c r="Q60" i="113"/>
  <c r="R59" i="113"/>
  <c r="Q59" i="113"/>
  <c r="R58" i="113"/>
  <c r="Q58" i="113"/>
  <c r="R57" i="113"/>
  <c r="Q57" i="113"/>
  <c r="R56" i="113"/>
  <c r="Q56" i="113"/>
  <c r="R55" i="113"/>
  <c r="Q55" i="113"/>
  <c r="R54" i="113"/>
  <c r="Q54" i="113"/>
  <c r="R53" i="113"/>
  <c r="Q53" i="113"/>
  <c r="R52" i="113"/>
  <c r="Q52" i="113"/>
  <c r="R51" i="113"/>
  <c r="Q51" i="113"/>
  <c r="R50" i="113"/>
  <c r="Q50" i="113"/>
  <c r="R49" i="113"/>
  <c r="Q49" i="113"/>
  <c r="R48" i="113"/>
  <c r="Q48" i="113"/>
  <c r="R47" i="113"/>
  <c r="Q47" i="113"/>
  <c r="R46" i="113"/>
  <c r="Q46" i="113"/>
  <c r="R45" i="113"/>
  <c r="Q45" i="113"/>
  <c r="R44" i="113"/>
  <c r="Q44" i="113"/>
  <c r="R43" i="113"/>
  <c r="Q43" i="113"/>
  <c r="R42" i="113"/>
  <c r="Q42" i="113"/>
  <c r="R41" i="113"/>
  <c r="Q41" i="113"/>
  <c r="R40" i="113"/>
  <c r="Q40" i="113"/>
  <c r="R39" i="113"/>
  <c r="Q39" i="113"/>
  <c r="R38" i="113"/>
  <c r="Q38" i="113"/>
  <c r="R37" i="113"/>
  <c r="Q37" i="113"/>
  <c r="R36" i="113"/>
  <c r="Q36" i="113"/>
  <c r="R35" i="113"/>
  <c r="Q35" i="113"/>
  <c r="R34" i="113"/>
  <c r="Q34" i="113"/>
  <c r="R33" i="113"/>
  <c r="Q33" i="113"/>
  <c r="R32" i="113"/>
  <c r="Q32" i="113"/>
  <c r="R31" i="113"/>
  <c r="Q31" i="113"/>
  <c r="R30" i="113"/>
  <c r="Q30" i="113"/>
  <c r="R29" i="113"/>
  <c r="Q29" i="113"/>
  <c r="R28" i="113"/>
  <c r="Q28" i="113"/>
  <c r="R27" i="113"/>
  <c r="Q27" i="113"/>
  <c r="R26" i="113"/>
  <c r="Q26" i="113"/>
  <c r="R25" i="113"/>
  <c r="Q25" i="113"/>
  <c r="R24" i="113"/>
  <c r="Q24" i="113"/>
  <c r="R23" i="113"/>
  <c r="Q23" i="113"/>
  <c r="R22" i="113"/>
  <c r="Q22" i="113"/>
  <c r="R21" i="113"/>
  <c r="Q21" i="113"/>
  <c r="R20" i="113"/>
  <c r="Q20" i="113"/>
  <c r="R19" i="113"/>
  <c r="Q19" i="113"/>
  <c r="R18" i="113"/>
  <c r="Q18" i="113"/>
  <c r="R17" i="113"/>
  <c r="Q17" i="113"/>
  <c r="R16" i="113"/>
  <c r="Q16" i="113"/>
  <c r="R15" i="113"/>
  <c r="Q15" i="113"/>
  <c r="R14" i="113"/>
  <c r="Q14" i="113"/>
  <c r="R13" i="113"/>
  <c r="Q13" i="113"/>
  <c r="R12" i="113"/>
  <c r="Q12" i="113"/>
  <c r="R11" i="113"/>
  <c r="Q11" i="113"/>
  <c r="R10" i="113"/>
  <c r="Q10" i="113"/>
  <c r="Q9" i="113"/>
  <c r="R9" i="113"/>
  <c r="D4" i="113"/>
  <c r="A2" i="113" a="1"/>
  <c r="A2" i="113" s="1"/>
  <c r="A1" i="113" s="1"/>
  <c r="D44" i="126" s="1" a="1"/>
  <c r="D44" i="126" s="1"/>
  <c r="R208" i="112"/>
  <c r="Q208" i="112"/>
  <c r="R207" i="112"/>
  <c r="Q207" i="112"/>
  <c r="R206" i="112"/>
  <c r="Q206" i="112"/>
  <c r="R205" i="112"/>
  <c r="Q205" i="112"/>
  <c r="R204" i="112"/>
  <c r="Q204" i="112"/>
  <c r="R203" i="112"/>
  <c r="Q203" i="112"/>
  <c r="R202" i="112"/>
  <c r="Q202" i="112"/>
  <c r="R201" i="112"/>
  <c r="Q201" i="112"/>
  <c r="R200" i="112"/>
  <c r="Q200" i="112"/>
  <c r="R199" i="112"/>
  <c r="Q199" i="112"/>
  <c r="R198" i="112"/>
  <c r="Q198" i="112"/>
  <c r="R197" i="112"/>
  <c r="Q197" i="112"/>
  <c r="R196" i="112"/>
  <c r="Q196" i="112"/>
  <c r="R195" i="112"/>
  <c r="Q195" i="112"/>
  <c r="R194" i="112"/>
  <c r="Q194" i="112"/>
  <c r="R193" i="112"/>
  <c r="Q193" i="112"/>
  <c r="R192" i="112"/>
  <c r="Q192" i="112"/>
  <c r="R191" i="112"/>
  <c r="Q191" i="112"/>
  <c r="R190" i="112"/>
  <c r="Q190" i="112"/>
  <c r="R189" i="112"/>
  <c r="Q189" i="112"/>
  <c r="R188" i="112"/>
  <c r="Q188" i="112"/>
  <c r="R187" i="112"/>
  <c r="Q187" i="112"/>
  <c r="R186" i="112"/>
  <c r="Q186" i="112"/>
  <c r="R185" i="112"/>
  <c r="Q185" i="112"/>
  <c r="R184" i="112"/>
  <c r="Q184" i="112"/>
  <c r="R183" i="112"/>
  <c r="Q183" i="112"/>
  <c r="R182" i="112"/>
  <c r="Q182" i="112"/>
  <c r="R181" i="112"/>
  <c r="Q181" i="112"/>
  <c r="R180" i="112"/>
  <c r="Q180" i="112"/>
  <c r="R179" i="112"/>
  <c r="Q179" i="112"/>
  <c r="R178" i="112"/>
  <c r="Q178" i="112"/>
  <c r="R177" i="112"/>
  <c r="Q177" i="112"/>
  <c r="R176" i="112"/>
  <c r="Q176" i="112"/>
  <c r="R175" i="112"/>
  <c r="Q175" i="112"/>
  <c r="R174" i="112"/>
  <c r="Q174" i="112"/>
  <c r="R173" i="112"/>
  <c r="Q173" i="112"/>
  <c r="R172" i="112"/>
  <c r="Q172" i="112"/>
  <c r="R171" i="112"/>
  <c r="Q171" i="112"/>
  <c r="R170" i="112"/>
  <c r="Q170" i="112"/>
  <c r="R169" i="112"/>
  <c r="Q169" i="112"/>
  <c r="R168" i="112"/>
  <c r="Q168" i="112"/>
  <c r="R167" i="112"/>
  <c r="Q167" i="112"/>
  <c r="R166" i="112"/>
  <c r="Q166" i="112"/>
  <c r="R165" i="112"/>
  <c r="Q165" i="112"/>
  <c r="R164" i="112"/>
  <c r="Q164" i="112"/>
  <c r="R163" i="112"/>
  <c r="Q163" i="112"/>
  <c r="R162" i="112"/>
  <c r="Q162" i="112"/>
  <c r="R161" i="112"/>
  <c r="Q161" i="112"/>
  <c r="R160" i="112"/>
  <c r="Q160" i="112"/>
  <c r="R159" i="112"/>
  <c r="Q159" i="112"/>
  <c r="R158" i="112"/>
  <c r="Q158" i="112"/>
  <c r="R157" i="112"/>
  <c r="Q157" i="112"/>
  <c r="R156" i="112"/>
  <c r="Q156" i="112"/>
  <c r="R155" i="112"/>
  <c r="Q155" i="112"/>
  <c r="R154" i="112"/>
  <c r="Q154" i="112"/>
  <c r="R153" i="112"/>
  <c r="Q153" i="112"/>
  <c r="R152" i="112"/>
  <c r="Q152" i="112"/>
  <c r="R151" i="112"/>
  <c r="Q151" i="112"/>
  <c r="R150" i="112"/>
  <c r="Q150" i="112"/>
  <c r="R149" i="112"/>
  <c r="Q149" i="112"/>
  <c r="R148" i="112"/>
  <c r="Q148" i="112"/>
  <c r="R147" i="112"/>
  <c r="Q147" i="112"/>
  <c r="R146" i="112"/>
  <c r="Q146" i="112"/>
  <c r="R145" i="112"/>
  <c r="Q145" i="112"/>
  <c r="R144" i="112"/>
  <c r="Q144" i="112"/>
  <c r="R143" i="112"/>
  <c r="Q143" i="112"/>
  <c r="R142" i="112"/>
  <c r="Q142" i="112"/>
  <c r="R141" i="112"/>
  <c r="Q141" i="112"/>
  <c r="R140" i="112"/>
  <c r="Q140" i="112"/>
  <c r="R139" i="112"/>
  <c r="Q139" i="112"/>
  <c r="R138" i="112"/>
  <c r="Q138" i="112"/>
  <c r="R137" i="112"/>
  <c r="Q137" i="112"/>
  <c r="R136" i="112"/>
  <c r="Q136" i="112"/>
  <c r="R135" i="112"/>
  <c r="Q135" i="112"/>
  <c r="R134" i="112"/>
  <c r="Q134" i="112"/>
  <c r="R133" i="112"/>
  <c r="Q133" i="112"/>
  <c r="R132" i="112"/>
  <c r="Q132" i="112"/>
  <c r="R131" i="112"/>
  <c r="Q131" i="112"/>
  <c r="R130" i="112"/>
  <c r="Q130" i="112"/>
  <c r="R129" i="112"/>
  <c r="Q129" i="112"/>
  <c r="R128" i="112"/>
  <c r="Q128" i="112"/>
  <c r="R127" i="112"/>
  <c r="Q127" i="112"/>
  <c r="R126" i="112"/>
  <c r="Q126" i="112"/>
  <c r="R125" i="112"/>
  <c r="Q125" i="112"/>
  <c r="R124" i="112"/>
  <c r="Q124" i="112"/>
  <c r="R123" i="112"/>
  <c r="Q123" i="112"/>
  <c r="R122" i="112"/>
  <c r="Q122" i="112"/>
  <c r="R121" i="112"/>
  <c r="Q121" i="112"/>
  <c r="R120" i="112"/>
  <c r="Q120" i="112"/>
  <c r="R119" i="112"/>
  <c r="Q119" i="112"/>
  <c r="R118" i="112"/>
  <c r="Q118" i="112"/>
  <c r="R117" i="112"/>
  <c r="Q117" i="112"/>
  <c r="R116" i="112"/>
  <c r="Q116" i="112"/>
  <c r="R115" i="112"/>
  <c r="Q115" i="112"/>
  <c r="R114" i="112"/>
  <c r="Q114" i="112"/>
  <c r="R113" i="112"/>
  <c r="Q113" i="112"/>
  <c r="R112" i="112"/>
  <c r="Q112" i="112"/>
  <c r="R111" i="112"/>
  <c r="Q111" i="112"/>
  <c r="R110" i="112"/>
  <c r="Q110" i="112"/>
  <c r="R109" i="112"/>
  <c r="Q109" i="112"/>
  <c r="R108" i="112"/>
  <c r="Q108" i="112"/>
  <c r="R107" i="112"/>
  <c r="Q107" i="112"/>
  <c r="R106" i="112"/>
  <c r="Q106" i="112"/>
  <c r="R105" i="112"/>
  <c r="Q105" i="112"/>
  <c r="R104" i="112"/>
  <c r="Q104" i="112"/>
  <c r="R103" i="112"/>
  <c r="Q103" i="112"/>
  <c r="R102" i="112"/>
  <c r="Q102" i="112"/>
  <c r="R101" i="112"/>
  <c r="Q101" i="112"/>
  <c r="R100" i="112"/>
  <c r="Q100" i="112"/>
  <c r="R99" i="112"/>
  <c r="Q99" i="112"/>
  <c r="R98" i="112"/>
  <c r="Q98" i="112"/>
  <c r="R97" i="112"/>
  <c r="Q97" i="112"/>
  <c r="R96" i="112"/>
  <c r="Q96" i="112"/>
  <c r="R95" i="112"/>
  <c r="Q95" i="112"/>
  <c r="R94" i="112"/>
  <c r="Q94" i="112"/>
  <c r="R93" i="112"/>
  <c r="Q93" i="112"/>
  <c r="R92" i="112"/>
  <c r="Q92" i="112"/>
  <c r="R91" i="112"/>
  <c r="Q91" i="112"/>
  <c r="R90" i="112"/>
  <c r="Q90" i="112"/>
  <c r="R89" i="112"/>
  <c r="Q89" i="112"/>
  <c r="R88" i="112"/>
  <c r="Q88" i="112"/>
  <c r="R87" i="112"/>
  <c r="Q87" i="112"/>
  <c r="R86" i="112"/>
  <c r="Q86" i="112"/>
  <c r="R85" i="112"/>
  <c r="Q85" i="112"/>
  <c r="R84" i="112"/>
  <c r="Q84" i="112"/>
  <c r="R83" i="112"/>
  <c r="Q83" i="112"/>
  <c r="R82" i="112"/>
  <c r="Q82" i="112"/>
  <c r="R81" i="112"/>
  <c r="Q81" i="112"/>
  <c r="R80" i="112"/>
  <c r="Q80" i="112"/>
  <c r="R79" i="112"/>
  <c r="Q79" i="112"/>
  <c r="R78" i="112"/>
  <c r="Q78" i="112"/>
  <c r="R77" i="112"/>
  <c r="Q77" i="112"/>
  <c r="R76" i="112"/>
  <c r="Q76" i="112"/>
  <c r="R75" i="112"/>
  <c r="Q75" i="112"/>
  <c r="R74" i="112"/>
  <c r="Q74" i="112"/>
  <c r="R73" i="112"/>
  <c r="Q73" i="112"/>
  <c r="R72" i="112"/>
  <c r="Q72" i="112"/>
  <c r="R71" i="112"/>
  <c r="Q71" i="112"/>
  <c r="R70" i="112"/>
  <c r="Q70" i="112"/>
  <c r="R69" i="112"/>
  <c r="Q69" i="112"/>
  <c r="R68" i="112"/>
  <c r="Q68" i="112"/>
  <c r="R67" i="112"/>
  <c r="Q67" i="112"/>
  <c r="R66" i="112"/>
  <c r="Q66" i="112"/>
  <c r="R65" i="112"/>
  <c r="Q65" i="112"/>
  <c r="R64" i="112"/>
  <c r="Q64" i="112"/>
  <c r="R63" i="112"/>
  <c r="Q63" i="112"/>
  <c r="R62" i="112"/>
  <c r="Q62" i="112"/>
  <c r="R61" i="112"/>
  <c r="Q61" i="112"/>
  <c r="R60" i="112"/>
  <c r="Q60" i="112"/>
  <c r="R59" i="112"/>
  <c r="Q59" i="112"/>
  <c r="R58" i="112"/>
  <c r="Q58" i="112"/>
  <c r="R57" i="112"/>
  <c r="Q57" i="112"/>
  <c r="R56" i="112"/>
  <c r="Q56" i="112"/>
  <c r="R55" i="112"/>
  <c r="Q55" i="112"/>
  <c r="R54" i="112"/>
  <c r="Q54" i="112"/>
  <c r="R53" i="112"/>
  <c r="Q53" i="112"/>
  <c r="R52" i="112"/>
  <c r="Q52" i="112"/>
  <c r="R51" i="112"/>
  <c r="Q51" i="112"/>
  <c r="R50" i="112"/>
  <c r="Q50" i="112"/>
  <c r="R49" i="112"/>
  <c r="Q49" i="112"/>
  <c r="R48" i="112"/>
  <c r="Q48" i="112"/>
  <c r="R47" i="112"/>
  <c r="Q47" i="112"/>
  <c r="R46" i="112"/>
  <c r="Q46" i="112"/>
  <c r="R45" i="112"/>
  <c r="Q45" i="112"/>
  <c r="R44" i="112"/>
  <c r="Q44" i="112"/>
  <c r="R43" i="112"/>
  <c r="Q43" i="112"/>
  <c r="R42" i="112"/>
  <c r="Q42" i="112"/>
  <c r="R41" i="112"/>
  <c r="Q41" i="112"/>
  <c r="R40" i="112"/>
  <c r="Q40" i="112"/>
  <c r="R39" i="112"/>
  <c r="Q39" i="112"/>
  <c r="R38" i="112"/>
  <c r="Q38" i="112"/>
  <c r="R37" i="112"/>
  <c r="Q37" i="112"/>
  <c r="R36" i="112"/>
  <c r="Q36" i="112"/>
  <c r="R35" i="112"/>
  <c r="Q35" i="112"/>
  <c r="R34" i="112"/>
  <c r="Q34" i="112"/>
  <c r="R33" i="112"/>
  <c r="Q33" i="112"/>
  <c r="R32" i="112"/>
  <c r="Q32" i="112"/>
  <c r="R31" i="112"/>
  <c r="Q31" i="112"/>
  <c r="R30" i="112"/>
  <c r="Q30" i="112"/>
  <c r="R29" i="112"/>
  <c r="Q29" i="112"/>
  <c r="R28" i="112"/>
  <c r="Q28" i="112"/>
  <c r="R27" i="112"/>
  <c r="Q27" i="112"/>
  <c r="R26" i="112"/>
  <c r="Q26" i="112"/>
  <c r="R25" i="112"/>
  <c r="Q25" i="112"/>
  <c r="R24" i="112"/>
  <c r="Q24" i="112"/>
  <c r="R23" i="112"/>
  <c r="Q23" i="112"/>
  <c r="R22" i="112"/>
  <c r="Q22" i="112"/>
  <c r="R21" i="112"/>
  <c r="Q21" i="112"/>
  <c r="R20" i="112"/>
  <c r="Q20" i="112"/>
  <c r="R19" i="112"/>
  <c r="Q19" i="112"/>
  <c r="R18" i="112"/>
  <c r="Q18" i="112"/>
  <c r="R17" i="112"/>
  <c r="Q17" i="112"/>
  <c r="R16" i="112"/>
  <c r="Q16" i="112"/>
  <c r="R15" i="112"/>
  <c r="Q15" i="112"/>
  <c r="R14" i="112"/>
  <c r="Q14" i="112"/>
  <c r="R13" i="112"/>
  <c r="Q13" i="112"/>
  <c r="R12" i="112"/>
  <c r="Q12" i="112"/>
  <c r="R11" i="112"/>
  <c r="Q11" i="112"/>
  <c r="R10" i="112"/>
  <c r="Q10" i="112"/>
  <c r="R9" i="112"/>
  <c r="D4" i="112"/>
  <c r="Q9" i="112"/>
  <c r="A2" i="112" a="1"/>
  <c r="A2" i="112" s="1"/>
  <c r="A1" i="112" s="1"/>
  <c r="D43" i="126" s="1" a="1"/>
  <c r="D43" i="126" s="1"/>
  <c r="R208" i="111"/>
  <c r="Q208" i="111"/>
  <c r="R207" i="111"/>
  <c r="Q207" i="111"/>
  <c r="R206" i="111"/>
  <c r="Q206" i="111"/>
  <c r="R205" i="111"/>
  <c r="Q205" i="111"/>
  <c r="R204" i="111"/>
  <c r="Q204" i="111"/>
  <c r="R203" i="111"/>
  <c r="Q203" i="111"/>
  <c r="R202" i="111"/>
  <c r="Q202" i="111"/>
  <c r="R201" i="111"/>
  <c r="Q201" i="111"/>
  <c r="R200" i="111"/>
  <c r="Q200" i="111"/>
  <c r="R199" i="111"/>
  <c r="Q199" i="111"/>
  <c r="R198" i="111"/>
  <c r="Q198" i="111"/>
  <c r="R197" i="111"/>
  <c r="Q197" i="111"/>
  <c r="R196" i="111"/>
  <c r="Q196" i="111"/>
  <c r="R195" i="111"/>
  <c r="Q195" i="111"/>
  <c r="R194" i="111"/>
  <c r="Q194" i="111"/>
  <c r="R193" i="111"/>
  <c r="Q193" i="111"/>
  <c r="R192" i="111"/>
  <c r="Q192" i="111"/>
  <c r="R191" i="111"/>
  <c r="Q191" i="111"/>
  <c r="R190" i="111"/>
  <c r="Q190" i="111"/>
  <c r="R189" i="111"/>
  <c r="Q189" i="111"/>
  <c r="R188" i="111"/>
  <c r="Q188" i="111"/>
  <c r="R187" i="111"/>
  <c r="Q187" i="111"/>
  <c r="R186" i="111"/>
  <c r="Q186" i="111"/>
  <c r="R185" i="111"/>
  <c r="Q185" i="111"/>
  <c r="R184" i="111"/>
  <c r="Q184" i="111"/>
  <c r="R183" i="111"/>
  <c r="Q183" i="111"/>
  <c r="R182" i="111"/>
  <c r="Q182" i="111"/>
  <c r="R181" i="111"/>
  <c r="Q181" i="111"/>
  <c r="R180" i="111"/>
  <c r="Q180" i="111"/>
  <c r="R179" i="111"/>
  <c r="Q179" i="111"/>
  <c r="R178" i="111"/>
  <c r="Q178" i="111"/>
  <c r="R177" i="111"/>
  <c r="Q177" i="111"/>
  <c r="R176" i="111"/>
  <c r="Q176" i="111"/>
  <c r="R175" i="111"/>
  <c r="Q175" i="111"/>
  <c r="R174" i="111"/>
  <c r="Q174" i="111"/>
  <c r="R173" i="111"/>
  <c r="Q173" i="111"/>
  <c r="R172" i="111"/>
  <c r="Q172" i="111"/>
  <c r="R171" i="111"/>
  <c r="Q171" i="111"/>
  <c r="R170" i="111"/>
  <c r="Q170" i="111"/>
  <c r="R169" i="111"/>
  <c r="Q169" i="111"/>
  <c r="R168" i="111"/>
  <c r="Q168" i="111"/>
  <c r="R167" i="111"/>
  <c r="Q167" i="111"/>
  <c r="R166" i="111"/>
  <c r="Q166" i="111"/>
  <c r="R165" i="111"/>
  <c r="Q165" i="111"/>
  <c r="R164" i="111"/>
  <c r="Q164" i="111"/>
  <c r="R163" i="111"/>
  <c r="Q163" i="111"/>
  <c r="R162" i="111"/>
  <c r="Q162" i="111"/>
  <c r="R161" i="111"/>
  <c r="Q161" i="111"/>
  <c r="R160" i="111"/>
  <c r="Q160" i="111"/>
  <c r="R159" i="111"/>
  <c r="Q159" i="111"/>
  <c r="R158" i="111"/>
  <c r="Q158" i="111"/>
  <c r="R157" i="111"/>
  <c r="Q157" i="111"/>
  <c r="R156" i="111"/>
  <c r="Q156" i="111"/>
  <c r="R155" i="111"/>
  <c r="Q155" i="111"/>
  <c r="R154" i="111"/>
  <c r="Q154" i="111"/>
  <c r="R153" i="111"/>
  <c r="Q153" i="111"/>
  <c r="R152" i="111"/>
  <c r="Q152" i="111"/>
  <c r="R151" i="111"/>
  <c r="Q151" i="111"/>
  <c r="R150" i="111"/>
  <c r="Q150" i="111"/>
  <c r="R149" i="111"/>
  <c r="Q149" i="111"/>
  <c r="R148" i="111"/>
  <c r="Q148" i="111"/>
  <c r="R147" i="111"/>
  <c r="Q147" i="111"/>
  <c r="R146" i="111"/>
  <c r="Q146" i="111"/>
  <c r="R145" i="111"/>
  <c r="Q145" i="111"/>
  <c r="R144" i="111"/>
  <c r="Q144" i="111"/>
  <c r="R143" i="111"/>
  <c r="Q143" i="111"/>
  <c r="R142" i="111"/>
  <c r="Q142" i="111"/>
  <c r="R141" i="111"/>
  <c r="Q141" i="111"/>
  <c r="R140" i="111"/>
  <c r="Q140" i="111"/>
  <c r="R139" i="111"/>
  <c r="Q139" i="111"/>
  <c r="R138" i="111"/>
  <c r="Q138" i="111"/>
  <c r="R137" i="111"/>
  <c r="Q137" i="111"/>
  <c r="R136" i="111"/>
  <c r="Q136" i="111"/>
  <c r="R135" i="111"/>
  <c r="Q135" i="111"/>
  <c r="R134" i="111"/>
  <c r="Q134" i="111"/>
  <c r="R133" i="111"/>
  <c r="Q133" i="111"/>
  <c r="R132" i="111"/>
  <c r="Q132" i="111"/>
  <c r="R131" i="111"/>
  <c r="Q131" i="111"/>
  <c r="R130" i="111"/>
  <c r="Q130" i="111"/>
  <c r="R129" i="111"/>
  <c r="Q129" i="111"/>
  <c r="R128" i="111"/>
  <c r="Q128" i="111"/>
  <c r="R127" i="111"/>
  <c r="Q127" i="111"/>
  <c r="R126" i="111"/>
  <c r="Q126" i="111"/>
  <c r="R125" i="111"/>
  <c r="Q125" i="111"/>
  <c r="R124" i="111"/>
  <c r="Q124" i="111"/>
  <c r="R123" i="111"/>
  <c r="Q123" i="111"/>
  <c r="R122" i="111"/>
  <c r="Q122" i="111"/>
  <c r="R121" i="111"/>
  <c r="Q121" i="111"/>
  <c r="R120" i="111"/>
  <c r="Q120" i="111"/>
  <c r="R119" i="111"/>
  <c r="Q119" i="111"/>
  <c r="R118" i="111"/>
  <c r="Q118" i="111"/>
  <c r="R117" i="111"/>
  <c r="Q117" i="111"/>
  <c r="R116" i="111"/>
  <c r="Q116" i="111"/>
  <c r="R115" i="111"/>
  <c r="Q115" i="111"/>
  <c r="R114" i="111"/>
  <c r="Q114" i="111"/>
  <c r="R113" i="111"/>
  <c r="Q113" i="111"/>
  <c r="R112" i="111"/>
  <c r="Q112" i="111"/>
  <c r="R111" i="111"/>
  <c r="Q111" i="111"/>
  <c r="R110" i="111"/>
  <c r="Q110" i="111"/>
  <c r="R109" i="111"/>
  <c r="Q109" i="111"/>
  <c r="R108" i="111"/>
  <c r="Q108" i="111"/>
  <c r="R107" i="111"/>
  <c r="Q107" i="111"/>
  <c r="R106" i="111"/>
  <c r="Q106" i="111"/>
  <c r="R105" i="111"/>
  <c r="Q105" i="111"/>
  <c r="R104" i="111"/>
  <c r="Q104" i="111"/>
  <c r="R103" i="111"/>
  <c r="Q103" i="111"/>
  <c r="R102" i="111"/>
  <c r="Q102" i="111"/>
  <c r="R101" i="111"/>
  <c r="Q101" i="111"/>
  <c r="R100" i="111"/>
  <c r="Q100" i="111"/>
  <c r="R99" i="111"/>
  <c r="Q99" i="111"/>
  <c r="R98" i="111"/>
  <c r="Q98" i="111"/>
  <c r="R97" i="111"/>
  <c r="Q97" i="111"/>
  <c r="R96" i="111"/>
  <c r="Q96" i="111"/>
  <c r="R95" i="111"/>
  <c r="Q95" i="111"/>
  <c r="R94" i="111"/>
  <c r="Q94" i="111"/>
  <c r="R93" i="111"/>
  <c r="Q93" i="111"/>
  <c r="R92" i="111"/>
  <c r="Q92" i="111"/>
  <c r="R91" i="111"/>
  <c r="Q91" i="111"/>
  <c r="R90" i="111"/>
  <c r="Q90" i="111"/>
  <c r="R89" i="111"/>
  <c r="Q89" i="111"/>
  <c r="R88" i="111"/>
  <c r="Q88" i="111"/>
  <c r="R87" i="111"/>
  <c r="Q87" i="111"/>
  <c r="R86" i="111"/>
  <c r="Q86" i="111"/>
  <c r="R85" i="111"/>
  <c r="Q85" i="111"/>
  <c r="R84" i="111"/>
  <c r="Q84" i="111"/>
  <c r="R83" i="111"/>
  <c r="Q83" i="111"/>
  <c r="R82" i="111"/>
  <c r="Q82" i="111"/>
  <c r="R81" i="111"/>
  <c r="Q81" i="111"/>
  <c r="R80" i="111"/>
  <c r="Q80" i="111"/>
  <c r="R79" i="111"/>
  <c r="Q79" i="111"/>
  <c r="R78" i="111"/>
  <c r="Q78" i="111"/>
  <c r="R77" i="111"/>
  <c r="Q77" i="111"/>
  <c r="R76" i="111"/>
  <c r="Q76" i="111"/>
  <c r="R75" i="111"/>
  <c r="Q75" i="111"/>
  <c r="R74" i="111"/>
  <c r="Q74" i="111"/>
  <c r="R73" i="111"/>
  <c r="Q73" i="111"/>
  <c r="R72" i="111"/>
  <c r="Q72" i="111"/>
  <c r="R71" i="111"/>
  <c r="Q71" i="111"/>
  <c r="R70" i="111"/>
  <c r="Q70" i="111"/>
  <c r="R69" i="111"/>
  <c r="Q69" i="111"/>
  <c r="R68" i="111"/>
  <c r="Q68" i="111"/>
  <c r="R67" i="111"/>
  <c r="Q67" i="111"/>
  <c r="R66" i="111"/>
  <c r="Q66" i="111"/>
  <c r="R65" i="111"/>
  <c r="Q65" i="111"/>
  <c r="R64" i="111"/>
  <c r="Q64" i="111"/>
  <c r="R63" i="111"/>
  <c r="Q63" i="111"/>
  <c r="R62" i="111"/>
  <c r="Q62" i="111"/>
  <c r="R61" i="111"/>
  <c r="Q61" i="111"/>
  <c r="R60" i="111"/>
  <c r="Q60" i="111"/>
  <c r="R59" i="111"/>
  <c r="Q59" i="111"/>
  <c r="R58" i="111"/>
  <c r="Q58" i="111"/>
  <c r="R57" i="111"/>
  <c r="Q57" i="111"/>
  <c r="R56" i="111"/>
  <c r="Q56" i="111"/>
  <c r="R55" i="111"/>
  <c r="Q55" i="111"/>
  <c r="R54" i="111"/>
  <c r="Q54" i="111"/>
  <c r="R53" i="111"/>
  <c r="Q53" i="111"/>
  <c r="R52" i="111"/>
  <c r="Q52" i="111"/>
  <c r="R51" i="111"/>
  <c r="Q51" i="111"/>
  <c r="R50" i="111"/>
  <c r="Q50" i="111"/>
  <c r="R49" i="111"/>
  <c r="Q49" i="111"/>
  <c r="R48" i="111"/>
  <c r="Q48" i="111"/>
  <c r="R47" i="111"/>
  <c r="Q47" i="111"/>
  <c r="R46" i="111"/>
  <c r="Q46" i="111"/>
  <c r="R45" i="111"/>
  <c r="Q45" i="111"/>
  <c r="R44" i="111"/>
  <c r="Q44" i="111"/>
  <c r="R43" i="111"/>
  <c r="Q43" i="111"/>
  <c r="R42" i="111"/>
  <c r="Q42" i="111"/>
  <c r="R41" i="111"/>
  <c r="Q41" i="111"/>
  <c r="R40" i="111"/>
  <c r="Q40" i="111"/>
  <c r="R39" i="111"/>
  <c r="Q39" i="111"/>
  <c r="R38" i="111"/>
  <c r="Q38" i="111"/>
  <c r="R37" i="111"/>
  <c r="Q37" i="111"/>
  <c r="R36" i="111"/>
  <c r="Q36" i="111"/>
  <c r="R35" i="111"/>
  <c r="Q35" i="111"/>
  <c r="R34" i="111"/>
  <c r="Q34" i="111"/>
  <c r="R33" i="111"/>
  <c r="Q33" i="111"/>
  <c r="R32" i="111"/>
  <c r="Q32" i="111"/>
  <c r="R31" i="111"/>
  <c r="Q31" i="111"/>
  <c r="R30" i="111"/>
  <c r="Q30" i="111"/>
  <c r="R29" i="111"/>
  <c r="Q29" i="111"/>
  <c r="R28" i="111"/>
  <c r="Q28" i="111"/>
  <c r="R27" i="111"/>
  <c r="Q27" i="111"/>
  <c r="R26" i="111"/>
  <c r="Q26" i="111"/>
  <c r="R25" i="111"/>
  <c r="Q25" i="111"/>
  <c r="R24" i="111"/>
  <c r="Q24" i="111"/>
  <c r="R23" i="111"/>
  <c r="Q23" i="111"/>
  <c r="R22" i="111"/>
  <c r="Q22" i="111"/>
  <c r="R21" i="111"/>
  <c r="Q21" i="111"/>
  <c r="R20" i="111"/>
  <c r="Q20" i="111"/>
  <c r="R19" i="111"/>
  <c r="Q19" i="111"/>
  <c r="R18" i="111"/>
  <c r="Q18" i="111"/>
  <c r="R17" i="111"/>
  <c r="Q17" i="111"/>
  <c r="R16" i="111"/>
  <c r="Q16" i="111"/>
  <c r="R15" i="111"/>
  <c r="Q15" i="111"/>
  <c r="R14" i="111"/>
  <c r="Q14" i="111"/>
  <c r="R13" i="111"/>
  <c r="Q13" i="111"/>
  <c r="R12" i="111"/>
  <c r="Q12" i="111"/>
  <c r="R11" i="111"/>
  <c r="Q11" i="111"/>
  <c r="R10" i="111"/>
  <c r="Q10" i="111"/>
  <c r="R9" i="111"/>
  <c r="D4" i="111"/>
  <c r="Q9" i="111"/>
  <c r="A2" i="111" a="1"/>
  <c r="A2" i="111" s="1"/>
  <c r="A1" i="111" s="1"/>
  <c r="D42" i="126" s="1" a="1"/>
  <c r="D42" i="126" s="1"/>
  <c r="R208" i="110"/>
  <c r="Q208" i="110"/>
  <c r="R207" i="110"/>
  <c r="Q207" i="110"/>
  <c r="R206" i="110"/>
  <c r="Q206" i="110"/>
  <c r="R205" i="110"/>
  <c r="Q205" i="110"/>
  <c r="R204" i="110"/>
  <c r="Q204" i="110"/>
  <c r="R203" i="110"/>
  <c r="Q203" i="110"/>
  <c r="R202" i="110"/>
  <c r="Q202" i="110"/>
  <c r="R201" i="110"/>
  <c r="Q201" i="110"/>
  <c r="R200" i="110"/>
  <c r="Q200" i="110"/>
  <c r="R199" i="110"/>
  <c r="Q199" i="110"/>
  <c r="R198" i="110"/>
  <c r="Q198" i="110"/>
  <c r="R197" i="110"/>
  <c r="Q197" i="110"/>
  <c r="R196" i="110"/>
  <c r="Q196" i="110"/>
  <c r="R195" i="110"/>
  <c r="Q195" i="110"/>
  <c r="R194" i="110"/>
  <c r="Q194" i="110"/>
  <c r="R193" i="110"/>
  <c r="Q193" i="110"/>
  <c r="R192" i="110"/>
  <c r="Q192" i="110"/>
  <c r="R191" i="110"/>
  <c r="Q191" i="110"/>
  <c r="R190" i="110"/>
  <c r="Q190" i="110"/>
  <c r="R189" i="110"/>
  <c r="Q189" i="110"/>
  <c r="R188" i="110"/>
  <c r="Q188" i="110"/>
  <c r="R187" i="110"/>
  <c r="Q187" i="110"/>
  <c r="R186" i="110"/>
  <c r="Q186" i="110"/>
  <c r="R185" i="110"/>
  <c r="Q185" i="110"/>
  <c r="R184" i="110"/>
  <c r="Q184" i="110"/>
  <c r="R183" i="110"/>
  <c r="Q183" i="110"/>
  <c r="R182" i="110"/>
  <c r="Q182" i="110"/>
  <c r="R181" i="110"/>
  <c r="Q181" i="110"/>
  <c r="R180" i="110"/>
  <c r="Q180" i="110"/>
  <c r="R179" i="110"/>
  <c r="Q179" i="110"/>
  <c r="R178" i="110"/>
  <c r="Q178" i="110"/>
  <c r="R177" i="110"/>
  <c r="Q177" i="110"/>
  <c r="R176" i="110"/>
  <c r="Q176" i="110"/>
  <c r="R175" i="110"/>
  <c r="Q175" i="110"/>
  <c r="R174" i="110"/>
  <c r="Q174" i="110"/>
  <c r="R173" i="110"/>
  <c r="Q173" i="110"/>
  <c r="R172" i="110"/>
  <c r="Q172" i="110"/>
  <c r="R171" i="110"/>
  <c r="Q171" i="110"/>
  <c r="R170" i="110"/>
  <c r="Q170" i="110"/>
  <c r="R169" i="110"/>
  <c r="Q169" i="110"/>
  <c r="R168" i="110"/>
  <c r="Q168" i="110"/>
  <c r="R167" i="110"/>
  <c r="Q167" i="110"/>
  <c r="R166" i="110"/>
  <c r="Q166" i="110"/>
  <c r="R165" i="110"/>
  <c r="Q165" i="110"/>
  <c r="R164" i="110"/>
  <c r="Q164" i="110"/>
  <c r="R163" i="110"/>
  <c r="Q163" i="110"/>
  <c r="R162" i="110"/>
  <c r="Q162" i="110"/>
  <c r="R161" i="110"/>
  <c r="Q161" i="110"/>
  <c r="R160" i="110"/>
  <c r="Q160" i="110"/>
  <c r="R159" i="110"/>
  <c r="Q159" i="110"/>
  <c r="R158" i="110"/>
  <c r="Q158" i="110"/>
  <c r="R157" i="110"/>
  <c r="Q157" i="110"/>
  <c r="R156" i="110"/>
  <c r="Q156" i="110"/>
  <c r="R155" i="110"/>
  <c r="Q155" i="110"/>
  <c r="R154" i="110"/>
  <c r="Q154" i="110"/>
  <c r="R153" i="110"/>
  <c r="Q153" i="110"/>
  <c r="R152" i="110"/>
  <c r="Q152" i="110"/>
  <c r="R151" i="110"/>
  <c r="Q151" i="110"/>
  <c r="R150" i="110"/>
  <c r="Q150" i="110"/>
  <c r="R149" i="110"/>
  <c r="Q149" i="110"/>
  <c r="R148" i="110"/>
  <c r="Q148" i="110"/>
  <c r="R147" i="110"/>
  <c r="Q147" i="110"/>
  <c r="R146" i="110"/>
  <c r="Q146" i="110"/>
  <c r="R145" i="110"/>
  <c r="Q145" i="110"/>
  <c r="R144" i="110"/>
  <c r="Q144" i="110"/>
  <c r="R143" i="110"/>
  <c r="Q143" i="110"/>
  <c r="R142" i="110"/>
  <c r="Q142" i="110"/>
  <c r="R141" i="110"/>
  <c r="Q141" i="110"/>
  <c r="R140" i="110"/>
  <c r="Q140" i="110"/>
  <c r="R139" i="110"/>
  <c r="Q139" i="110"/>
  <c r="R138" i="110"/>
  <c r="Q138" i="110"/>
  <c r="R137" i="110"/>
  <c r="Q137" i="110"/>
  <c r="R136" i="110"/>
  <c r="Q136" i="110"/>
  <c r="R135" i="110"/>
  <c r="Q135" i="110"/>
  <c r="R134" i="110"/>
  <c r="Q134" i="110"/>
  <c r="R133" i="110"/>
  <c r="Q133" i="110"/>
  <c r="R132" i="110"/>
  <c r="Q132" i="110"/>
  <c r="R131" i="110"/>
  <c r="Q131" i="110"/>
  <c r="R130" i="110"/>
  <c r="Q130" i="110"/>
  <c r="R129" i="110"/>
  <c r="Q129" i="110"/>
  <c r="R128" i="110"/>
  <c r="Q128" i="110"/>
  <c r="R127" i="110"/>
  <c r="Q127" i="110"/>
  <c r="R126" i="110"/>
  <c r="Q126" i="110"/>
  <c r="R125" i="110"/>
  <c r="Q125" i="110"/>
  <c r="R124" i="110"/>
  <c r="Q124" i="110"/>
  <c r="R123" i="110"/>
  <c r="Q123" i="110"/>
  <c r="R122" i="110"/>
  <c r="Q122" i="110"/>
  <c r="R121" i="110"/>
  <c r="Q121" i="110"/>
  <c r="R120" i="110"/>
  <c r="Q120" i="110"/>
  <c r="R119" i="110"/>
  <c r="Q119" i="110"/>
  <c r="R118" i="110"/>
  <c r="Q118" i="110"/>
  <c r="R117" i="110"/>
  <c r="Q117" i="110"/>
  <c r="R116" i="110"/>
  <c r="Q116" i="110"/>
  <c r="R115" i="110"/>
  <c r="Q115" i="110"/>
  <c r="R114" i="110"/>
  <c r="Q114" i="110"/>
  <c r="R113" i="110"/>
  <c r="Q113" i="110"/>
  <c r="R112" i="110"/>
  <c r="Q112" i="110"/>
  <c r="R111" i="110"/>
  <c r="Q111" i="110"/>
  <c r="R110" i="110"/>
  <c r="Q110" i="110"/>
  <c r="R109" i="110"/>
  <c r="Q109" i="110"/>
  <c r="R108" i="110"/>
  <c r="Q108" i="110"/>
  <c r="R107" i="110"/>
  <c r="Q107" i="110"/>
  <c r="R106" i="110"/>
  <c r="Q106" i="110"/>
  <c r="R105" i="110"/>
  <c r="Q105" i="110"/>
  <c r="R104" i="110"/>
  <c r="Q104" i="110"/>
  <c r="R103" i="110"/>
  <c r="Q103" i="110"/>
  <c r="R102" i="110"/>
  <c r="Q102" i="110"/>
  <c r="R101" i="110"/>
  <c r="Q101" i="110"/>
  <c r="R100" i="110"/>
  <c r="Q100" i="110"/>
  <c r="R99" i="110"/>
  <c r="Q99" i="110"/>
  <c r="R98" i="110"/>
  <c r="Q98" i="110"/>
  <c r="R97" i="110"/>
  <c r="Q97" i="110"/>
  <c r="R96" i="110"/>
  <c r="Q96" i="110"/>
  <c r="R95" i="110"/>
  <c r="Q95" i="110"/>
  <c r="R94" i="110"/>
  <c r="Q94" i="110"/>
  <c r="R93" i="110"/>
  <c r="Q93" i="110"/>
  <c r="R92" i="110"/>
  <c r="Q92" i="110"/>
  <c r="R91" i="110"/>
  <c r="Q91" i="110"/>
  <c r="R90" i="110"/>
  <c r="Q90" i="110"/>
  <c r="R89" i="110"/>
  <c r="Q89" i="110"/>
  <c r="R88" i="110"/>
  <c r="Q88" i="110"/>
  <c r="R87" i="110"/>
  <c r="Q87" i="110"/>
  <c r="R86" i="110"/>
  <c r="Q86" i="110"/>
  <c r="R85" i="110"/>
  <c r="Q85" i="110"/>
  <c r="R84" i="110"/>
  <c r="Q84" i="110"/>
  <c r="R83" i="110"/>
  <c r="Q83" i="110"/>
  <c r="R82" i="110"/>
  <c r="Q82" i="110"/>
  <c r="R81" i="110"/>
  <c r="Q81" i="110"/>
  <c r="R80" i="110"/>
  <c r="Q80" i="110"/>
  <c r="R79" i="110"/>
  <c r="Q79" i="110"/>
  <c r="R78" i="110"/>
  <c r="Q78" i="110"/>
  <c r="R77" i="110"/>
  <c r="Q77" i="110"/>
  <c r="R76" i="110"/>
  <c r="Q76" i="110"/>
  <c r="R75" i="110"/>
  <c r="Q75" i="110"/>
  <c r="R74" i="110"/>
  <c r="Q74" i="110"/>
  <c r="R73" i="110"/>
  <c r="Q73" i="110"/>
  <c r="R72" i="110"/>
  <c r="Q72" i="110"/>
  <c r="R71" i="110"/>
  <c r="Q71" i="110"/>
  <c r="R70" i="110"/>
  <c r="Q70" i="110"/>
  <c r="R69" i="110"/>
  <c r="Q69" i="110"/>
  <c r="R68" i="110"/>
  <c r="Q68" i="110"/>
  <c r="R67" i="110"/>
  <c r="Q67" i="110"/>
  <c r="R66" i="110"/>
  <c r="Q66" i="110"/>
  <c r="R65" i="110"/>
  <c r="Q65" i="110"/>
  <c r="R64" i="110"/>
  <c r="Q64" i="110"/>
  <c r="R63" i="110"/>
  <c r="Q63" i="110"/>
  <c r="R62" i="110"/>
  <c r="Q62" i="110"/>
  <c r="R61" i="110"/>
  <c r="Q61" i="110"/>
  <c r="R60" i="110"/>
  <c r="Q60" i="110"/>
  <c r="R59" i="110"/>
  <c r="Q59" i="110"/>
  <c r="R58" i="110"/>
  <c r="Q58" i="110"/>
  <c r="R57" i="110"/>
  <c r="Q57" i="110"/>
  <c r="R56" i="110"/>
  <c r="Q56" i="110"/>
  <c r="R55" i="110"/>
  <c r="Q55" i="110"/>
  <c r="R54" i="110"/>
  <c r="Q54" i="110"/>
  <c r="R53" i="110"/>
  <c r="Q53" i="110"/>
  <c r="R52" i="110"/>
  <c r="Q52" i="110"/>
  <c r="R51" i="110"/>
  <c r="Q51" i="110"/>
  <c r="R50" i="110"/>
  <c r="Q50" i="110"/>
  <c r="R49" i="110"/>
  <c r="Q49" i="110"/>
  <c r="R48" i="110"/>
  <c r="Q48" i="110"/>
  <c r="R47" i="110"/>
  <c r="Q47" i="110"/>
  <c r="R46" i="110"/>
  <c r="Q46" i="110"/>
  <c r="R45" i="110"/>
  <c r="Q45" i="110"/>
  <c r="R44" i="110"/>
  <c r="Q44" i="110"/>
  <c r="R43" i="110"/>
  <c r="Q43" i="110"/>
  <c r="R42" i="110"/>
  <c r="Q42" i="110"/>
  <c r="R41" i="110"/>
  <c r="Q41" i="110"/>
  <c r="R40" i="110"/>
  <c r="Q40" i="110"/>
  <c r="R39" i="110"/>
  <c r="Q39" i="110"/>
  <c r="R38" i="110"/>
  <c r="Q38" i="110"/>
  <c r="R37" i="110"/>
  <c r="Q37" i="110"/>
  <c r="R36" i="110"/>
  <c r="Q36" i="110"/>
  <c r="R35" i="110"/>
  <c r="Q35" i="110"/>
  <c r="R34" i="110"/>
  <c r="Q34" i="110"/>
  <c r="R33" i="110"/>
  <c r="Q33" i="110"/>
  <c r="R32" i="110"/>
  <c r="Q32" i="110"/>
  <c r="R31" i="110"/>
  <c r="Q31" i="110"/>
  <c r="R30" i="110"/>
  <c r="Q30" i="110"/>
  <c r="R29" i="110"/>
  <c r="Q29" i="110"/>
  <c r="R28" i="110"/>
  <c r="Q28" i="110"/>
  <c r="R27" i="110"/>
  <c r="Q27" i="110"/>
  <c r="R26" i="110"/>
  <c r="Q26" i="110"/>
  <c r="R25" i="110"/>
  <c r="Q25" i="110"/>
  <c r="R24" i="110"/>
  <c r="Q24" i="110"/>
  <c r="R23" i="110"/>
  <c r="Q23" i="110"/>
  <c r="R22" i="110"/>
  <c r="Q22" i="110"/>
  <c r="R21" i="110"/>
  <c r="Q21" i="110"/>
  <c r="R20" i="110"/>
  <c r="Q20" i="110"/>
  <c r="R19" i="110"/>
  <c r="Q19" i="110"/>
  <c r="R18" i="110"/>
  <c r="Q18" i="110"/>
  <c r="R17" i="110"/>
  <c r="Q17" i="110"/>
  <c r="R16" i="110"/>
  <c r="Q16" i="110"/>
  <c r="R15" i="110"/>
  <c r="Q15" i="110"/>
  <c r="R14" i="110"/>
  <c r="Q14" i="110"/>
  <c r="R13" i="110"/>
  <c r="Q13" i="110"/>
  <c r="R12" i="110"/>
  <c r="Q12" i="110"/>
  <c r="R11" i="110"/>
  <c r="Q11" i="110"/>
  <c r="R10" i="110"/>
  <c r="Q10" i="110"/>
  <c r="R9" i="110"/>
  <c r="Q9" i="110"/>
  <c r="A2" i="110" a="1"/>
  <c r="A2" i="110" s="1"/>
  <c r="A1" i="110" s="1"/>
  <c r="D41" i="126" s="1" a="1"/>
  <c r="D41" i="126" s="1"/>
  <c r="Q208" i="109"/>
  <c r="Q207" i="109"/>
  <c r="Q206" i="109"/>
  <c r="Q205" i="109"/>
  <c r="Q204" i="109"/>
  <c r="Q203" i="109"/>
  <c r="Q202" i="109"/>
  <c r="Q201" i="109"/>
  <c r="Q200" i="109"/>
  <c r="Q199" i="109"/>
  <c r="Q198" i="109"/>
  <c r="Q197" i="109"/>
  <c r="Q196" i="109"/>
  <c r="Q195" i="109"/>
  <c r="Q194" i="109"/>
  <c r="Q193" i="109"/>
  <c r="Q192" i="109"/>
  <c r="Q191" i="109"/>
  <c r="Q190" i="109"/>
  <c r="Q189" i="109"/>
  <c r="Q188" i="109"/>
  <c r="Q187" i="109"/>
  <c r="Q186" i="109"/>
  <c r="Q185" i="109"/>
  <c r="Q184" i="109"/>
  <c r="Q183" i="109"/>
  <c r="Q182" i="109"/>
  <c r="Q181" i="109"/>
  <c r="Q180" i="109"/>
  <c r="Q179" i="109"/>
  <c r="Q178" i="109"/>
  <c r="Q177" i="109"/>
  <c r="Q176" i="109"/>
  <c r="Q175" i="109"/>
  <c r="Q174" i="109"/>
  <c r="Q173" i="109"/>
  <c r="Q172" i="109"/>
  <c r="Q171" i="109"/>
  <c r="Q170" i="109"/>
  <c r="Q169" i="109"/>
  <c r="Q168" i="109"/>
  <c r="Q167" i="109"/>
  <c r="Q166" i="109"/>
  <c r="Q165" i="109"/>
  <c r="Q164" i="109"/>
  <c r="Q163" i="109"/>
  <c r="Q162" i="109"/>
  <c r="Q161" i="109"/>
  <c r="Q160" i="109"/>
  <c r="Q159" i="109"/>
  <c r="Q158" i="109"/>
  <c r="Q157" i="109"/>
  <c r="Q156" i="109"/>
  <c r="Q155" i="109"/>
  <c r="Q154" i="109"/>
  <c r="Q153" i="109"/>
  <c r="Q152" i="109"/>
  <c r="Q151" i="109"/>
  <c r="Q150" i="109"/>
  <c r="Q149" i="109"/>
  <c r="Q148" i="109"/>
  <c r="Q147" i="109"/>
  <c r="Q146" i="109"/>
  <c r="Q145" i="109"/>
  <c r="Q144" i="109"/>
  <c r="Q143" i="109"/>
  <c r="Q142" i="109"/>
  <c r="Q141" i="109"/>
  <c r="Q140" i="109"/>
  <c r="Q139" i="109"/>
  <c r="Q138" i="109"/>
  <c r="Q137" i="109"/>
  <c r="Q136" i="109"/>
  <c r="Q135" i="109"/>
  <c r="Q134" i="109"/>
  <c r="Q133" i="109"/>
  <c r="Q132" i="109"/>
  <c r="Q131" i="109"/>
  <c r="Q130" i="109"/>
  <c r="Q129" i="109"/>
  <c r="Q128" i="109"/>
  <c r="Q127" i="109"/>
  <c r="Q126" i="109"/>
  <c r="Q125" i="109"/>
  <c r="Q124" i="109"/>
  <c r="Q123" i="109"/>
  <c r="Q122" i="109"/>
  <c r="Q121" i="109"/>
  <c r="Q120" i="109"/>
  <c r="Q119" i="109"/>
  <c r="Q118" i="109"/>
  <c r="Q117" i="109"/>
  <c r="Q116" i="109"/>
  <c r="Q115" i="109"/>
  <c r="Q114" i="109"/>
  <c r="Q113" i="109"/>
  <c r="Q112" i="109"/>
  <c r="Q111" i="109"/>
  <c r="Q110" i="109"/>
  <c r="Q109" i="109"/>
  <c r="Q108" i="109"/>
  <c r="Q107" i="109"/>
  <c r="Q106" i="109"/>
  <c r="Q105" i="109"/>
  <c r="Q104" i="109"/>
  <c r="Q103" i="109"/>
  <c r="Q102" i="109"/>
  <c r="Q101" i="109"/>
  <c r="Q100" i="109"/>
  <c r="Q99" i="109"/>
  <c r="Q98" i="109"/>
  <c r="Q97" i="109"/>
  <c r="Q96" i="109"/>
  <c r="Q95" i="109"/>
  <c r="Q94" i="109"/>
  <c r="Q93" i="109"/>
  <c r="Q92" i="109"/>
  <c r="Q91" i="109"/>
  <c r="Q90" i="109"/>
  <c r="Q89" i="109"/>
  <c r="Q88" i="109"/>
  <c r="Q87" i="109"/>
  <c r="Q86" i="109"/>
  <c r="Q85" i="109"/>
  <c r="Q84" i="109"/>
  <c r="Q83" i="109"/>
  <c r="Q82" i="109"/>
  <c r="Q81" i="109"/>
  <c r="Q80" i="109"/>
  <c r="Q79" i="109"/>
  <c r="Q78" i="109"/>
  <c r="Q77" i="109"/>
  <c r="Q76" i="109"/>
  <c r="Q75" i="109"/>
  <c r="Q74" i="109"/>
  <c r="Q73" i="109"/>
  <c r="Q72" i="109"/>
  <c r="Q71" i="109"/>
  <c r="Q70" i="109"/>
  <c r="Q69" i="109"/>
  <c r="Q68" i="109"/>
  <c r="Q67" i="109"/>
  <c r="Q66" i="109"/>
  <c r="Q65" i="109"/>
  <c r="Q64" i="109"/>
  <c r="Q63" i="109"/>
  <c r="Q62" i="109"/>
  <c r="Q61" i="109"/>
  <c r="Q60" i="109"/>
  <c r="Q59" i="109"/>
  <c r="Q58" i="109"/>
  <c r="Q57" i="109"/>
  <c r="Q56" i="109"/>
  <c r="Q55" i="109"/>
  <c r="Q54" i="109"/>
  <c r="Q53" i="109"/>
  <c r="Q52" i="109"/>
  <c r="Q51" i="109"/>
  <c r="Q50" i="109"/>
  <c r="Q49" i="109"/>
  <c r="Q48" i="109"/>
  <c r="Q47" i="109"/>
  <c r="Q46" i="109"/>
  <c r="Q45" i="109"/>
  <c r="Q44" i="109"/>
  <c r="Q43" i="109"/>
  <c r="Q42" i="109"/>
  <c r="Q41" i="109"/>
  <c r="Q40" i="109"/>
  <c r="Q39" i="109"/>
  <c r="Q38" i="109"/>
  <c r="Q37" i="109"/>
  <c r="Q36" i="109"/>
  <c r="Q35" i="109"/>
  <c r="Q34" i="109"/>
  <c r="Q33" i="109"/>
  <c r="Q32" i="109"/>
  <c r="Q31" i="109"/>
  <c r="R31" i="109"/>
  <c r="Q30" i="109"/>
  <c r="Q29" i="109"/>
  <c r="Q28" i="109"/>
  <c r="R28" i="109"/>
  <c r="S28" i="109"/>
  <c r="D4" i="109"/>
  <c r="E40" i="126" a="1"/>
  <c r="E40" i="126" s="1"/>
  <c r="Q27" i="109"/>
  <c r="R27" i="109"/>
  <c r="Q26" i="109"/>
  <c r="R26" i="109"/>
  <c r="Q25" i="109"/>
  <c r="R25" i="109"/>
  <c r="S25" i="109"/>
  <c r="Q24" i="109"/>
  <c r="R24" i="109"/>
  <c r="S24" i="109"/>
  <c r="Q23" i="109"/>
  <c r="R23" i="109"/>
  <c r="Q22" i="109"/>
  <c r="R22" i="109"/>
  <c r="Q21" i="109"/>
  <c r="R21" i="109"/>
  <c r="Q20" i="109"/>
  <c r="R20" i="109"/>
  <c r="Q19" i="109"/>
  <c r="R19" i="109"/>
  <c r="Q18" i="109"/>
  <c r="R18" i="109"/>
  <c r="Q17" i="109"/>
  <c r="R17" i="109"/>
  <c r="Q16" i="109"/>
  <c r="Q15" i="109"/>
  <c r="Q14" i="109"/>
  <c r="Q13" i="109"/>
  <c r="Q12" i="109"/>
  <c r="Q11" i="109"/>
  <c r="Q10" i="109"/>
  <c r="Q9" i="109"/>
  <c r="A2" i="109" a="1"/>
  <c r="A2" i="109" s="1"/>
  <c r="A1" i="109" s="1"/>
  <c r="D40" i="126" s="1" a="1"/>
  <c r="D40" i="126" s="1"/>
  <c r="R208" i="108"/>
  <c r="Q208" i="108"/>
  <c r="R207" i="108"/>
  <c r="Q207" i="108"/>
  <c r="R206" i="108"/>
  <c r="Q206" i="108"/>
  <c r="R205" i="108"/>
  <c r="Q205" i="108"/>
  <c r="R204" i="108"/>
  <c r="Q204" i="108"/>
  <c r="R203" i="108"/>
  <c r="Q203" i="108"/>
  <c r="R202" i="108"/>
  <c r="Q202" i="108"/>
  <c r="R201" i="108"/>
  <c r="Q201" i="108"/>
  <c r="R200" i="108"/>
  <c r="Q200" i="108"/>
  <c r="R199" i="108"/>
  <c r="Q199" i="108"/>
  <c r="R198" i="108"/>
  <c r="Q198" i="108"/>
  <c r="R197" i="108"/>
  <c r="Q197" i="108"/>
  <c r="R196" i="108"/>
  <c r="Q196" i="108"/>
  <c r="R195" i="108"/>
  <c r="Q195" i="108"/>
  <c r="R194" i="108"/>
  <c r="Q194" i="108"/>
  <c r="R193" i="108"/>
  <c r="Q193" i="108"/>
  <c r="R192" i="108"/>
  <c r="Q192" i="108"/>
  <c r="R191" i="108"/>
  <c r="Q191" i="108"/>
  <c r="R190" i="108"/>
  <c r="Q190" i="108"/>
  <c r="R189" i="108"/>
  <c r="Q189" i="108"/>
  <c r="R188" i="108"/>
  <c r="Q188" i="108"/>
  <c r="R187" i="108"/>
  <c r="Q187" i="108"/>
  <c r="R186" i="108"/>
  <c r="Q186" i="108"/>
  <c r="R185" i="108"/>
  <c r="Q185" i="108"/>
  <c r="R184" i="108"/>
  <c r="Q184" i="108"/>
  <c r="R183" i="108"/>
  <c r="Q183" i="108"/>
  <c r="R182" i="108"/>
  <c r="Q182" i="108"/>
  <c r="R181" i="108"/>
  <c r="Q181" i="108"/>
  <c r="R180" i="108"/>
  <c r="Q180" i="108"/>
  <c r="R179" i="108"/>
  <c r="Q179" i="108"/>
  <c r="R178" i="108"/>
  <c r="Q178" i="108"/>
  <c r="R177" i="108"/>
  <c r="Q177" i="108"/>
  <c r="R176" i="108"/>
  <c r="Q176" i="108"/>
  <c r="R175" i="108"/>
  <c r="Q175" i="108"/>
  <c r="R174" i="108"/>
  <c r="Q174" i="108"/>
  <c r="R173" i="108"/>
  <c r="Q173" i="108"/>
  <c r="R172" i="108"/>
  <c r="Q172" i="108"/>
  <c r="R171" i="108"/>
  <c r="Q171" i="108"/>
  <c r="R170" i="108"/>
  <c r="Q170" i="108"/>
  <c r="R169" i="108"/>
  <c r="Q169" i="108"/>
  <c r="R168" i="108"/>
  <c r="Q168" i="108"/>
  <c r="R167" i="108"/>
  <c r="Q167" i="108"/>
  <c r="R166" i="108"/>
  <c r="Q166" i="108"/>
  <c r="R165" i="108"/>
  <c r="Q165" i="108"/>
  <c r="R164" i="108"/>
  <c r="Q164" i="108"/>
  <c r="R163" i="108"/>
  <c r="Q163" i="108"/>
  <c r="R162" i="108"/>
  <c r="Q162" i="108"/>
  <c r="R161" i="108"/>
  <c r="Q161" i="108"/>
  <c r="R160" i="108"/>
  <c r="Q160" i="108"/>
  <c r="R159" i="108"/>
  <c r="Q159" i="108"/>
  <c r="R158" i="108"/>
  <c r="Q158" i="108"/>
  <c r="R157" i="108"/>
  <c r="Q157" i="108"/>
  <c r="R156" i="108"/>
  <c r="Q156" i="108"/>
  <c r="R155" i="108"/>
  <c r="Q155" i="108"/>
  <c r="R154" i="108"/>
  <c r="Q154" i="108"/>
  <c r="R153" i="108"/>
  <c r="Q153" i="108"/>
  <c r="R152" i="108"/>
  <c r="Q152" i="108"/>
  <c r="R151" i="108"/>
  <c r="Q151" i="108"/>
  <c r="R150" i="108"/>
  <c r="Q150" i="108"/>
  <c r="R149" i="108"/>
  <c r="Q149" i="108"/>
  <c r="R148" i="108"/>
  <c r="Q148" i="108"/>
  <c r="R147" i="108"/>
  <c r="Q147" i="108"/>
  <c r="R146" i="108"/>
  <c r="Q146" i="108"/>
  <c r="R145" i="108"/>
  <c r="Q145" i="108"/>
  <c r="R144" i="108"/>
  <c r="Q144" i="108"/>
  <c r="R143" i="108"/>
  <c r="Q143" i="108"/>
  <c r="R142" i="108"/>
  <c r="Q142" i="108"/>
  <c r="R141" i="108"/>
  <c r="Q141" i="108"/>
  <c r="R140" i="108"/>
  <c r="Q140" i="108"/>
  <c r="R139" i="108"/>
  <c r="Q139" i="108"/>
  <c r="R138" i="108"/>
  <c r="Q138" i="108"/>
  <c r="R137" i="108"/>
  <c r="Q137" i="108"/>
  <c r="R136" i="108"/>
  <c r="Q136" i="108"/>
  <c r="R135" i="108"/>
  <c r="Q135" i="108"/>
  <c r="R134" i="108"/>
  <c r="Q134" i="108"/>
  <c r="R133" i="108"/>
  <c r="Q133" i="108"/>
  <c r="R132" i="108"/>
  <c r="Q132" i="108"/>
  <c r="R131" i="108"/>
  <c r="Q131" i="108"/>
  <c r="R130" i="108"/>
  <c r="Q130" i="108"/>
  <c r="R129" i="108"/>
  <c r="Q129" i="108"/>
  <c r="R128" i="108"/>
  <c r="Q128" i="108"/>
  <c r="R127" i="108"/>
  <c r="Q127" i="108"/>
  <c r="R126" i="108"/>
  <c r="Q126" i="108"/>
  <c r="R125" i="108"/>
  <c r="Q125" i="108"/>
  <c r="R124" i="108"/>
  <c r="Q124" i="108"/>
  <c r="R123" i="108"/>
  <c r="Q123" i="108"/>
  <c r="R122" i="108"/>
  <c r="Q122" i="108"/>
  <c r="R121" i="108"/>
  <c r="Q121" i="108"/>
  <c r="R120" i="108"/>
  <c r="Q120" i="108"/>
  <c r="R119" i="108"/>
  <c r="Q119" i="108"/>
  <c r="R118" i="108"/>
  <c r="Q118" i="108"/>
  <c r="R117" i="108"/>
  <c r="Q117" i="108"/>
  <c r="R116" i="108"/>
  <c r="Q116" i="108"/>
  <c r="R115" i="108"/>
  <c r="Q115" i="108"/>
  <c r="R114" i="108"/>
  <c r="Q114" i="108"/>
  <c r="R113" i="108"/>
  <c r="Q113" i="108"/>
  <c r="R112" i="108"/>
  <c r="Q112" i="108"/>
  <c r="R111" i="108"/>
  <c r="Q111" i="108"/>
  <c r="R110" i="108"/>
  <c r="Q110" i="108"/>
  <c r="R109" i="108"/>
  <c r="Q109" i="108"/>
  <c r="R108" i="108"/>
  <c r="Q108" i="108"/>
  <c r="R107" i="108"/>
  <c r="Q107" i="108"/>
  <c r="R106" i="108"/>
  <c r="Q106" i="108"/>
  <c r="R105" i="108"/>
  <c r="Q105" i="108"/>
  <c r="R104" i="108"/>
  <c r="Q104" i="108"/>
  <c r="R103" i="108"/>
  <c r="Q103" i="108"/>
  <c r="R102" i="108"/>
  <c r="Q102" i="108"/>
  <c r="R101" i="108"/>
  <c r="Q101" i="108"/>
  <c r="R100" i="108"/>
  <c r="Q100" i="108"/>
  <c r="R99" i="108"/>
  <c r="Q99" i="108"/>
  <c r="R98" i="108"/>
  <c r="Q98" i="108"/>
  <c r="R97" i="108"/>
  <c r="Q97" i="108"/>
  <c r="R96" i="108"/>
  <c r="Q96" i="108"/>
  <c r="R95" i="108"/>
  <c r="Q95" i="108"/>
  <c r="R94" i="108"/>
  <c r="Q94" i="108"/>
  <c r="R93" i="108"/>
  <c r="Q93" i="108"/>
  <c r="R92" i="108"/>
  <c r="Q92" i="108"/>
  <c r="R91" i="108"/>
  <c r="Q91" i="108"/>
  <c r="R90" i="108"/>
  <c r="Q90" i="108"/>
  <c r="R89" i="108"/>
  <c r="Q89" i="108"/>
  <c r="R88" i="108"/>
  <c r="Q88" i="108"/>
  <c r="R87" i="108"/>
  <c r="Q87" i="108"/>
  <c r="R86" i="108"/>
  <c r="Q86" i="108"/>
  <c r="R85" i="108"/>
  <c r="Q85" i="108"/>
  <c r="R84" i="108"/>
  <c r="Q84" i="108"/>
  <c r="R83" i="108"/>
  <c r="Q83" i="108"/>
  <c r="R82" i="108"/>
  <c r="Q82" i="108"/>
  <c r="R81" i="108"/>
  <c r="Q81" i="108"/>
  <c r="R80" i="108"/>
  <c r="Q80" i="108"/>
  <c r="R79" i="108"/>
  <c r="Q79" i="108"/>
  <c r="R78" i="108"/>
  <c r="Q78" i="108"/>
  <c r="R77" i="108"/>
  <c r="Q77" i="108"/>
  <c r="R76" i="108"/>
  <c r="Q76" i="108"/>
  <c r="R75" i="108"/>
  <c r="Q75" i="108"/>
  <c r="R74" i="108"/>
  <c r="Q74" i="108"/>
  <c r="R73" i="108"/>
  <c r="Q73" i="108"/>
  <c r="R72" i="108"/>
  <c r="Q72" i="108"/>
  <c r="R71" i="108"/>
  <c r="Q71" i="108"/>
  <c r="R70" i="108"/>
  <c r="Q70" i="108"/>
  <c r="R69" i="108"/>
  <c r="Q69" i="108"/>
  <c r="R68" i="108"/>
  <c r="Q68" i="108"/>
  <c r="R67" i="108"/>
  <c r="Q67" i="108"/>
  <c r="R66" i="108"/>
  <c r="Q66" i="108"/>
  <c r="R65" i="108"/>
  <c r="Q65" i="108"/>
  <c r="R64" i="108"/>
  <c r="Q64" i="108"/>
  <c r="R63" i="108"/>
  <c r="Q63" i="108"/>
  <c r="R62" i="108"/>
  <c r="Q62" i="108"/>
  <c r="R61" i="108"/>
  <c r="Q61" i="108"/>
  <c r="R60" i="108"/>
  <c r="Q60" i="108"/>
  <c r="R59" i="108"/>
  <c r="Q59" i="108"/>
  <c r="R58" i="108"/>
  <c r="Q58" i="108"/>
  <c r="R57" i="108"/>
  <c r="Q57" i="108"/>
  <c r="R56" i="108"/>
  <c r="Q56" i="108"/>
  <c r="R55" i="108"/>
  <c r="Q55" i="108"/>
  <c r="R54" i="108"/>
  <c r="Q54" i="108"/>
  <c r="R53" i="108"/>
  <c r="Q53" i="108"/>
  <c r="R52" i="108"/>
  <c r="Q52" i="108"/>
  <c r="R51" i="108"/>
  <c r="Q51" i="108"/>
  <c r="R50" i="108"/>
  <c r="Q50" i="108"/>
  <c r="R49" i="108"/>
  <c r="Q49" i="108"/>
  <c r="R48" i="108"/>
  <c r="Q48" i="108"/>
  <c r="R47" i="108"/>
  <c r="Q47" i="108"/>
  <c r="R46" i="108"/>
  <c r="Q46" i="108"/>
  <c r="R45" i="108"/>
  <c r="Q45" i="108"/>
  <c r="R44" i="108"/>
  <c r="Q44" i="108"/>
  <c r="R43" i="108"/>
  <c r="Q43" i="108"/>
  <c r="R42" i="108"/>
  <c r="Q42" i="108"/>
  <c r="R41" i="108"/>
  <c r="Q41" i="108"/>
  <c r="R40" i="108"/>
  <c r="Q40" i="108"/>
  <c r="R39" i="108"/>
  <c r="Q39" i="108"/>
  <c r="R38" i="108"/>
  <c r="Q38" i="108"/>
  <c r="R37" i="108"/>
  <c r="Q37" i="108"/>
  <c r="R36" i="108"/>
  <c r="Q36" i="108"/>
  <c r="R35" i="108"/>
  <c r="Q35" i="108"/>
  <c r="R34" i="108"/>
  <c r="Q34" i="108"/>
  <c r="R33" i="108"/>
  <c r="Q33" i="108"/>
  <c r="R32" i="108"/>
  <c r="Q32" i="108"/>
  <c r="R31" i="108"/>
  <c r="Q31" i="108"/>
  <c r="R30" i="108"/>
  <c r="Q30" i="108"/>
  <c r="R29" i="108"/>
  <c r="Q29" i="108"/>
  <c r="R28" i="108"/>
  <c r="Q28" i="108"/>
  <c r="R27" i="108"/>
  <c r="Q27" i="108"/>
  <c r="R26" i="108"/>
  <c r="Q26" i="108"/>
  <c r="R25" i="108"/>
  <c r="Q25" i="108"/>
  <c r="R24" i="108"/>
  <c r="Q24" i="108"/>
  <c r="R23" i="108"/>
  <c r="Q23" i="108"/>
  <c r="R22" i="108"/>
  <c r="Q22" i="108"/>
  <c r="R21" i="108"/>
  <c r="Q21" i="108"/>
  <c r="R20" i="108"/>
  <c r="Q20" i="108"/>
  <c r="R19" i="108"/>
  <c r="Q19" i="108"/>
  <c r="R18" i="108"/>
  <c r="Q18" i="108"/>
  <c r="R17" i="108"/>
  <c r="Q17" i="108"/>
  <c r="R16" i="108"/>
  <c r="Q16" i="108"/>
  <c r="R15" i="108"/>
  <c r="Q15" i="108"/>
  <c r="R14" i="108"/>
  <c r="Q14" i="108"/>
  <c r="R13" i="108"/>
  <c r="Q13" i="108"/>
  <c r="R12" i="108"/>
  <c r="Q12" i="108"/>
  <c r="R11" i="108"/>
  <c r="Q11" i="108"/>
  <c r="R10" i="108"/>
  <c r="Q10" i="108"/>
  <c r="R9" i="108"/>
  <c r="D4" i="108"/>
  <c r="Q9" i="108"/>
  <c r="A2" i="108" a="1"/>
  <c r="A2" i="108" s="1"/>
  <c r="A1" i="108" s="1"/>
  <c r="D39" i="126" s="1" a="1"/>
  <c r="D39" i="126" s="1"/>
  <c r="R208" i="107"/>
  <c r="Q208" i="107"/>
  <c r="R207" i="107"/>
  <c r="Q207" i="107"/>
  <c r="R206" i="107"/>
  <c r="Q206" i="107"/>
  <c r="R205" i="107"/>
  <c r="Q205" i="107"/>
  <c r="R204" i="107"/>
  <c r="Q204" i="107"/>
  <c r="R203" i="107"/>
  <c r="Q203" i="107"/>
  <c r="R202" i="107"/>
  <c r="Q202" i="107"/>
  <c r="R201" i="107"/>
  <c r="Q201" i="107"/>
  <c r="R200" i="107"/>
  <c r="Q200" i="107"/>
  <c r="R199" i="107"/>
  <c r="Q199" i="107"/>
  <c r="R198" i="107"/>
  <c r="Q198" i="107"/>
  <c r="R197" i="107"/>
  <c r="Q197" i="107"/>
  <c r="R196" i="107"/>
  <c r="Q196" i="107"/>
  <c r="R195" i="107"/>
  <c r="Q195" i="107"/>
  <c r="R194" i="107"/>
  <c r="Q194" i="107"/>
  <c r="R193" i="107"/>
  <c r="Q193" i="107"/>
  <c r="R192" i="107"/>
  <c r="Q192" i="107"/>
  <c r="R191" i="107"/>
  <c r="Q191" i="107"/>
  <c r="R190" i="107"/>
  <c r="Q190" i="107"/>
  <c r="R189" i="107"/>
  <c r="Q189" i="107"/>
  <c r="R188" i="107"/>
  <c r="Q188" i="107"/>
  <c r="R187" i="107"/>
  <c r="Q187" i="107"/>
  <c r="R186" i="107"/>
  <c r="Q186" i="107"/>
  <c r="R185" i="107"/>
  <c r="Q185" i="107"/>
  <c r="R184" i="107"/>
  <c r="Q184" i="107"/>
  <c r="R183" i="107"/>
  <c r="Q183" i="107"/>
  <c r="R182" i="107"/>
  <c r="Q182" i="107"/>
  <c r="R181" i="107"/>
  <c r="Q181" i="107"/>
  <c r="R180" i="107"/>
  <c r="Q180" i="107"/>
  <c r="R179" i="107"/>
  <c r="Q179" i="107"/>
  <c r="R178" i="107"/>
  <c r="Q178" i="107"/>
  <c r="R177" i="107"/>
  <c r="Q177" i="107"/>
  <c r="R176" i="107"/>
  <c r="Q176" i="107"/>
  <c r="R175" i="107"/>
  <c r="Q175" i="107"/>
  <c r="R174" i="107"/>
  <c r="Q174" i="107"/>
  <c r="R173" i="107"/>
  <c r="Q173" i="107"/>
  <c r="R172" i="107"/>
  <c r="Q172" i="107"/>
  <c r="R171" i="107"/>
  <c r="Q171" i="107"/>
  <c r="R170" i="107"/>
  <c r="Q170" i="107"/>
  <c r="R169" i="107"/>
  <c r="Q169" i="107"/>
  <c r="R168" i="107"/>
  <c r="Q168" i="107"/>
  <c r="R167" i="107"/>
  <c r="Q167" i="107"/>
  <c r="R166" i="107"/>
  <c r="Q166" i="107"/>
  <c r="R165" i="107"/>
  <c r="Q165" i="107"/>
  <c r="R164" i="107"/>
  <c r="Q164" i="107"/>
  <c r="R163" i="107"/>
  <c r="Q163" i="107"/>
  <c r="R162" i="107"/>
  <c r="Q162" i="107"/>
  <c r="R161" i="107"/>
  <c r="Q161" i="107"/>
  <c r="R160" i="107"/>
  <c r="Q160" i="107"/>
  <c r="R159" i="107"/>
  <c r="Q159" i="107"/>
  <c r="R158" i="107"/>
  <c r="Q158" i="107"/>
  <c r="R157" i="107"/>
  <c r="Q157" i="107"/>
  <c r="R156" i="107"/>
  <c r="Q156" i="107"/>
  <c r="R155" i="107"/>
  <c r="Q155" i="107"/>
  <c r="R154" i="107"/>
  <c r="Q154" i="107"/>
  <c r="R153" i="107"/>
  <c r="Q153" i="107"/>
  <c r="R152" i="107"/>
  <c r="Q152" i="107"/>
  <c r="R151" i="107"/>
  <c r="Q151" i="107"/>
  <c r="R150" i="107"/>
  <c r="Q150" i="107"/>
  <c r="R149" i="107"/>
  <c r="Q149" i="107"/>
  <c r="R148" i="107"/>
  <c r="Q148" i="107"/>
  <c r="R147" i="107"/>
  <c r="Q147" i="107"/>
  <c r="R146" i="107"/>
  <c r="Q146" i="107"/>
  <c r="R145" i="107"/>
  <c r="Q145" i="107"/>
  <c r="R144" i="107"/>
  <c r="Q144" i="107"/>
  <c r="R143" i="107"/>
  <c r="Q143" i="107"/>
  <c r="R142" i="107"/>
  <c r="Q142" i="107"/>
  <c r="R141" i="107"/>
  <c r="Q141" i="107"/>
  <c r="R140" i="107"/>
  <c r="Q140" i="107"/>
  <c r="R139" i="107"/>
  <c r="Q139" i="107"/>
  <c r="R138" i="107"/>
  <c r="Q138" i="107"/>
  <c r="R137" i="107"/>
  <c r="Q137" i="107"/>
  <c r="R136" i="107"/>
  <c r="Q136" i="107"/>
  <c r="R135" i="107"/>
  <c r="Q135" i="107"/>
  <c r="R134" i="107"/>
  <c r="Q134" i="107"/>
  <c r="R133" i="107"/>
  <c r="Q133" i="107"/>
  <c r="R132" i="107"/>
  <c r="Q132" i="107"/>
  <c r="R131" i="107"/>
  <c r="Q131" i="107"/>
  <c r="R130" i="107"/>
  <c r="Q130" i="107"/>
  <c r="R129" i="107"/>
  <c r="Q129" i="107"/>
  <c r="R128" i="107"/>
  <c r="Q128" i="107"/>
  <c r="R127" i="107"/>
  <c r="Q127" i="107"/>
  <c r="R126" i="107"/>
  <c r="Q126" i="107"/>
  <c r="R125" i="107"/>
  <c r="Q125" i="107"/>
  <c r="R124" i="107"/>
  <c r="Q124" i="107"/>
  <c r="R123" i="107"/>
  <c r="Q123" i="107"/>
  <c r="R122" i="107"/>
  <c r="Q122" i="107"/>
  <c r="R121" i="107"/>
  <c r="Q121" i="107"/>
  <c r="R120" i="107"/>
  <c r="Q120" i="107"/>
  <c r="R119" i="107"/>
  <c r="Q119" i="107"/>
  <c r="R118" i="107"/>
  <c r="Q118" i="107"/>
  <c r="R117" i="107"/>
  <c r="Q117" i="107"/>
  <c r="R116" i="107"/>
  <c r="Q116" i="107"/>
  <c r="R115" i="107"/>
  <c r="Q115" i="107"/>
  <c r="R114" i="107"/>
  <c r="Q114" i="107"/>
  <c r="R113" i="107"/>
  <c r="Q113" i="107"/>
  <c r="R112" i="107"/>
  <c r="Q112" i="107"/>
  <c r="R111" i="107"/>
  <c r="Q111" i="107"/>
  <c r="R110" i="107"/>
  <c r="Q110" i="107"/>
  <c r="R109" i="107"/>
  <c r="Q109" i="107"/>
  <c r="R108" i="107"/>
  <c r="Q108" i="107"/>
  <c r="R107" i="107"/>
  <c r="Q107" i="107"/>
  <c r="R106" i="107"/>
  <c r="Q106" i="107"/>
  <c r="R105" i="107"/>
  <c r="Q105" i="107"/>
  <c r="R104" i="107"/>
  <c r="Q104" i="107"/>
  <c r="R103" i="107"/>
  <c r="Q103" i="107"/>
  <c r="R102" i="107"/>
  <c r="Q102" i="107"/>
  <c r="R101" i="107"/>
  <c r="Q101" i="107"/>
  <c r="R100" i="107"/>
  <c r="Q100" i="107"/>
  <c r="R99" i="107"/>
  <c r="Q99" i="107"/>
  <c r="R98" i="107"/>
  <c r="Q98" i="107"/>
  <c r="R97" i="107"/>
  <c r="Q97" i="107"/>
  <c r="R96" i="107"/>
  <c r="Q96" i="107"/>
  <c r="R95" i="107"/>
  <c r="Q95" i="107"/>
  <c r="R94" i="107"/>
  <c r="Q94" i="107"/>
  <c r="R93" i="107"/>
  <c r="Q93" i="107"/>
  <c r="R92" i="107"/>
  <c r="Q92" i="107"/>
  <c r="R91" i="107"/>
  <c r="Q91" i="107"/>
  <c r="R90" i="107"/>
  <c r="Q90" i="107"/>
  <c r="R89" i="107"/>
  <c r="Q89" i="107"/>
  <c r="R88" i="107"/>
  <c r="Q88" i="107"/>
  <c r="R87" i="107"/>
  <c r="Q87" i="107"/>
  <c r="R86" i="107"/>
  <c r="Q86" i="107"/>
  <c r="R85" i="107"/>
  <c r="Q85" i="107"/>
  <c r="R84" i="107"/>
  <c r="Q84" i="107"/>
  <c r="R83" i="107"/>
  <c r="Q83" i="107"/>
  <c r="R82" i="107"/>
  <c r="Q82" i="107"/>
  <c r="R81" i="107"/>
  <c r="Q81" i="107"/>
  <c r="R80" i="107"/>
  <c r="Q80" i="107"/>
  <c r="R79" i="107"/>
  <c r="Q79" i="107"/>
  <c r="R78" i="107"/>
  <c r="Q78" i="107"/>
  <c r="R77" i="107"/>
  <c r="Q77" i="107"/>
  <c r="R76" i="107"/>
  <c r="Q76" i="107"/>
  <c r="R75" i="107"/>
  <c r="Q75" i="107"/>
  <c r="R74" i="107"/>
  <c r="Q74" i="107"/>
  <c r="R73" i="107"/>
  <c r="Q73" i="107"/>
  <c r="R72" i="107"/>
  <c r="Q72" i="107"/>
  <c r="R71" i="107"/>
  <c r="Q71" i="107"/>
  <c r="R70" i="107"/>
  <c r="Q70" i="107"/>
  <c r="R69" i="107"/>
  <c r="Q69" i="107"/>
  <c r="R68" i="107"/>
  <c r="Q68" i="107"/>
  <c r="R67" i="107"/>
  <c r="Q67" i="107"/>
  <c r="R66" i="107"/>
  <c r="Q66" i="107"/>
  <c r="R65" i="107"/>
  <c r="Q65" i="107"/>
  <c r="R64" i="107"/>
  <c r="Q64" i="107"/>
  <c r="R63" i="107"/>
  <c r="Q63" i="107"/>
  <c r="R62" i="107"/>
  <c r="Q62" i="107"/>
  <c r="R61" i="107"/>
  <c r="Q61" i="107"/>
  <c r="R60" i="107"/>
  <c r="Q60" i="107"/>
  <c r="R59" i="107"/>
  <c r="Q59" i="107"/>
  <c r="R58" i="107"/>
  <c r="Q58" i="107"/>
  <c r="R57" i="107"/>
  <c r="Q57" i="107"/>
  <c r="R56" i="107"/>
  <c r="Q56" i="107"/>
  <c r="R55" i="107"/>
  <c r="Q55" i="107"/>
  <c r="R54" i="107"/>
  <c r="Q54" i="107"/>
  <c r="R53" i="107"/>
  <c r="Q53" i="107"/>
  <c r="R52" i="107"/>
  <c r="Q52" i="107"/>
  <c r="R51" i="107"/>
  <c r="Q51" i="107"/>
  <c r="R50" i="107"/>
  <c r="Q50" i="107"/>
  <c r="R49" i="107"/>
  <c r="Q49" i="107"/>
  <c r="R48" i="107"/>
  <c r="Q48" i="107"/>
  <c r="R47" i="107"/>
  <c r="Q47" i="107"/>
  <c r="R46" i="107"/>
  <c r="Q46" i="107"/>
  <c r="R45" i="107"/>
  <c r="Q45" i="107"/>
  <c r="R44" i="107"/>
  <c r="Q44" i="107"/>
  <c r="R43" i="107"/>
  <c r="Q43" i="107"/>
  <c r="R42" i="107"/>
  <c r="Q42" i="107"/>
  <c r="R41" i="107"/>
  <c r="Q41" i="107"/>
  <c r="R40" i="107"/>
  <c r="Q40" i="107"/>
  <c r="R39" i="107"/>
  <c r="Q39" i="107"/>
  <c r="R38" i="107"/>
  <c r="Q38" i="107"/>
  <c r="R37" i="107"/>
  <c r="Q37" i="107"/>
  <c r="R36" i="107"/>
  <c r="Q36" i="107"/>
  <c r="R35" i="107"/>
  <c r="Q35" i="107"/>
  <c r="R34" i="107"/>
  <c r="Q34" i="107"/>
  <c r="R33" i="107"/>
  <c r="Q33" i="107"/>
  <c r="R32" i="107"/>
  <c r="Q32" i="107"/>
  <c r="R31" i="107"/>
  <c r="Q31" i="107"/>
  <c r="R30" i="107"/>
  <c r="Q30" i="107"/>
  <c r="R29" i="107"/>
  <c r="Q29" i="107"/>
  <c r="R28" i="107"/>
  <c r="Q28" i="107"/>
  <c r="R27" i="107"/>
  <c r="Q27" i="107"/>
  <c r="R26" i="107"/>
  <c r="Q26" i="107"/>
  <c r="R25" i="107"/>
  <c r="Q25" i="107"/>
  <c r="R24" i="107"/>
  <c r="Q24" i="107"/>
  <c r="R23" i="107"/>
  <c r="Q23" i="107"/>
  <c r="R22" i="107"/>
  <c r="Q22" i="107"/>
  <c r="R21" i="107"/>
  <c r="Q21" i="107"/>
  <c r="R20" i="107"/>
  <c r="Q20" i="107"/>
  <c r="R19" i="107"/>
  <c r="Q19" i="107"/>
  <c r="R18" i="107"/>
  <c r="Q18" i="107"/>
  <c r="R17" i="107"/>
  <c r="Q17" i="107"/>
  <c r="R16" i="107"/>
  <c r="Q16" i="107"/>
  <c r="R15" i="107"/>
  <c r="Q15" i="107"/>
  <c r="R14" i="107"/>
  <c r="Q14" i="107"/>
  <c r="R13" i="107"/>
  <c r="Q13" i="107"/>
  <c r="R12" i="107"/>
  <c r="Q12" i="107"/>
  <c r="R11" i="107"/>
  <c r="Q11" i="107"/>
  <c r="R10" i="107"/>
  <c r="Q10" i="107"/>
  <c r="Q9" i="107"/>
  <c r="R9" i="107"/>
  <c r="D4" i="107"/>
  <c r="A2" i="107" a="1"/>
  <c r="A2" i="107" s="1"/>
  <c r="A1" i="107" s="1"/>
  <c r="D38" i="126" s="1" a="1"/>
  <c r="D38" i="126" s="1"/>
  <c r="R208" i="106"/>
  <c r="Q208" i="106"/>
  <c r="R207" i="106"/>
  <c r="Q207" i="106"/>
  <c r="R206" i="106"/>
  <c r="Q206" i="106"/>
  <c r="R205" i="106"/>
  <c r="Q205" i="106"/>
  <c r="R204" i="106"/>
  <c r="Q204" i="106"/>
  <c r="R203" i="106"/>
  <c r="Q203" i="106"/>
  <c r="R202" i="106"/>
  <c r="Q202" i="106"/>
  <c r="R201" i="106"/>
  <c r="Q201" i="106"/>
  <c r="R200" i="106"/>
  <c r="Q200" i="106"/>
  <c r="R199" i="106"/>
  <c r="Q199" i="106"/>
  <c r="R198" i="106"/>
  <c r="Q198" i="106"/>
  <c r="R197" i="106"/>
  <c r="Q197" i="106"/>
  <c r="R196" i="106"/>
  <c r="Q196" i="106"/>
  <c r="R195" i="106"/>
  <c r="Q195" i="106"/>
  <c r="R194" i="106"/>
  <c r="Q194" i="106"/>
  <c r="R193" i="106"/>
  <c r="Q193" i="106"/>
  <c r="R192" i="106"/>
  <c r="Q192" i="106"/>
  <c r="R191" i="106"/>
  <c r="Q191" i="106"/>
  <c r="R190" i="106"/>
  <c r="Q190" i="106"/>
  <c r="R189" i="106"/>
  <c r="Q189" i="106"/>
  <c r="R188" i="106"/>
  <c r="Q188" i="106"/>
  <c r="R187" i="106"/>
  <c r="Q187" i="106"/>
  <c r="R186" i="106"/>
  <c r="Q186" i="106"/>
  <c r="R185" i="106"/>
  <c r="Q185" i="106"/>
  <c r="R184" i="106"/>
  <c r="Q184" i="106"/>
  <c r="R183" i="106"/>
  <c r="Q183" i="106"/>
  <c r="R182" i="106"/>
  <c r="Q182" i="106"/>
  <c r="R181" i="106"/>
  <c r="Q181" i="106"/>
  <c r="R180" i="106"/>
  <c r="Q180" i="106"/>
  <c r="R179" i="106"/>
  <c r="Q179" i="106"/>
  <c r="R178" i="106"/>
  <c r="Q178" i="106"/>
  <c r="R177" i="106"/>
  <c r="Q177" i="106"/>
  <c r="R176" i="106"/>
  <c r="Q176" i="106"/>
  <c r="R175" i="106"/>
  <c r="Q175" i="106"/>
  <c r="R174" i="106"/>
  <c r="Q174" i="106"/>
  <c r="R173" i="106"/>
  <c r="Q173" i="106"/>
  <c r="R172" i="106"/>
  <c r="Q172" i="106"/>
  <c r="R171" i="106"/>
  <c r="Q171" i="106"/>
  <c r="R170" i="106"/>
  <c r="Q170" i="106"/>
  <c r="R169" i="106"/>
  <c r="Q169" i="106"/>
  <c r="R168" i="106"/>
  <c r="Q168" i="106"/>
  <c r="R167" i="106"/>
  <c r="Q167" i="106"/>
  <c r="R166" i="106"/>
  <c r="Q166" i="106"/>
  <c r="R165" i="106"/>
  <c r="Q165" i="106"/>
  <c r="R164" i="106"/>
  <c r="Q164" i="106"/>
  <c r="R163" i="106"/>
  <c r="Q163" i="106"/>
  <c r="R162" i="106"/>
  <c r="Q162" i="106"/>
  <c r="R161" i="106"/>
  <c r="Q161" i="106"/>
  <c r="R160" i="106"/>
  <c r="Q160" i="106"/>
  <c r="R159" i="106"/>
  <c r="Q159" i="106"/>
  <c r="R158" i="106"/>
  <c r="Q158" i="106"/>
  <c r="R157" i="106"/>
  <c r="Q157" i="106"/>
  <c r="R156" i="106"/>
  <c r="Q156" i="106"/>
  <c r="R155" i="106"/>
  <c r="Q155" i="106"/>
  <c r="R154" i="106"/>
  <c r="Q154" i="106"/>
  <c r="R153" i="106"/>
  <c r="Q153" i="106"/>
  <c r="R152" i="106"/>
  <c r="Q152" i="106"/>
  <c r="R151" i="106"/>
  <c r="Q151" i="106"/>
  <c r="R150" i="106"/>
  <c r="Q150" i="106"/>
  <c r="R149" i="106"/>
  <c r="Q149" i="106"/>
  <c r="R148" i="106"/>
  <c r="Q148" i="106"/>
  <c r="R147" i="106"/>
  <c r="Q147" i="106"/>
  <c r="R146" i="106"/>
  <c r="Q146" i="106"/>
  <c r="R145" i="106"/>
  <c r="Q145" i="106"/>
  <c r="R144" i="106"/>
  <c r="Q144" i="106"/>
  <c r="R143" i="106"/>
  <c r="Q143" i="106"/>
  <c r="R142" i="106"/>
  <c r="Q142" i="106"/>
  <c r="R141" i="106"/>
  <c r="Q141" i="106"/>
  <c r="R140" i="106"/>
  <c r="Q140" i="106"/>
  <c r="R139" i="106"/>
  <c r="Q139" i="106"/>
  <c r="R138" i="106"/>
  <c r="Q138" i="106"/>
  <c r="R137" i="106"/>
  <c r="Q137" i="106"/>
  <c r="R136" i="106"/>
  <c r="Q136" i="106"/>
  <c r="R135" i="106"/>
  <c r="Q135" i="106"/>
  <c r="R134" i="106"/>
  <c r="Q134" i="106"/>
  <c r="R133" i="106"/>
  <c r="Q133" i="106"/>
  <c r="R132" i="106"/>
  <c r="Q132" i="106"/>
  <c r="R131" i="106"/>
  <c r="Q131" i="106"/>
  <c r="R130" i="106"/>
  <c r="Q130" i="106"/>
  <c r="R129" i="106"/>
  <c r="Q129" i="106"/>
  <c r="R128" i="106"/>
  <c r="Q128" i="106"/>
  <c r="R127" i="106"/>
  <c r="Q127" i="106"/>
  <c r="R126" i="106"/>
  <c r="Q126" i="106"/>
  <c r="R125" i="106"/>
  <c r="Q125" i="106"/>
  <c r="R124" i="106"/>
  <c r="Q124" i="106"/>
  <c r="R123" i="106"/>
  <c r="Q123" i="106"/>
  <c r="R122" i="106"/>
  <c r="Q122" i="106"/>
  <c r="R121" i="106"/>
  <c r="Q121" i="106"/>
  <c r="R120" i="106"/>
  <c r="Q120" i="106"/>
  <c r="R119" i="106"/>
  <c r="Q119" i="106"/>
  <c r="R118" i="106"/>
  <c r="Q118" i="106"/>
  <c r="R117" i="106"/>
  <c r="Q117" i="106"/>
  <c r="R116" i="106"/>
  <c r="Q116" i="106"/>
  <c r="R115" i="106"/>
  <c r="Q115" i="106"/>
  <c r="R114" i="106"/>
  <c r="Q114" i="106"/>
  <c r="R113" i="106"/>
  <c r="Q113" i="106"/>
  <c r="R112" i="106"/>
  <c r="Q112" i="106"/>
  <c r="R111" i="106"/>
  <c r="Q111" i="106"/>
  <c r="R110" i="106"/>
  <c r="Q110" i="106"/>
  <c r="R109" i="106"/>
  <c r="Q109" i="106"/>
  <c r="R108" i="106"/>
  <c r="Q108" i="106"/>
  <c r="R107" i="106"/>
  <c r="Q107" i="106"/>
  <c r="R106" i="106"/>
  <c r="Q106" i="106"/>
  <c r="R105" i="106"/>
  <c r="Q105" i="106"/>
  <c r="R104" i="106"/>
  <c r="Q104" i="106"/>
  <c r="R103" i="106"/>
  <c r="Q103" i="106"/>
  <c r="R102" i="106"/>
  <c r="Q102" i="106"/>
  <c r="R101" i="106"/>
  <c r="Q101" i="106"/>
  <c r="R100" i="106"/>
  <c r="Q100" i="106"/>
  <c r="R99" i="106"/>
  <c r="Q99" i="106"/>
  <c r="R98" i="106"/>
  <c r="Q98" i="106"/>
  <c r="R97" i="106"/>
  <c r="Q97" i="106"/>
  <c r="R96" i="106"/>
  <c r="Q96" i="106"/>
  <c r="R95" i="106"/>
  <c r="Q95" i="106"/>
  <c r="R94" i="106"/>
  <c r="Q94" i="106"/>
  <c r="R93" i="106"/>
  <c r="Q93" i="106"/>
  <c r="R92" i="106"/>
  <c r="Q92" i="106"/>
  <c r="R91" i="106"/>
  <c r="Q91" i="106"/>
  <c r="R90" i="106"/>
  <c r="Q90" i="106"/>
  <c r="R89" i="106"/>
  <c r="Q89" i="106"/>
  <c r="R88" i="106"/>
  <c r="Q88" i="106"/>
  <c r="R87" i="106"/>
  <c r="Q87" i="106"/>
  <c r="R86" i="106"/>
  <c r="Q86" i="106"/>
  <c r="R85" i="106"/>
  <c r="Q85" i="106"/>
  <c r="R84" i="106"/>
  <c r="Q84" i="106"/>
  <c r="R83" i="106"/>
  <c r="Q83" i="106"/>
  <c r="R82" i="106"/>
  <c r="Q82" i="106"/>
  <c r="R81" i="106"/>
  <c r="Q81" i="106"/>
  <c r="R80" i="106"/>
  <c r="Q80" i="106"/>
  <c r="R79" i="106"/>
  <c r="Q79" i="106"/>
  <c r="R78" i="106"/>
  <c r="Q78" i="106"/>
  <c r="R77" i="106"/>
  <c r="Q77" i="106"/>
  <c r="R76" i="106"/>
  <c r="Q76" i="106"/>
  <c r="R75" i="106"/>
  <c r="Q75" i="106"/>
  <c r="R74" i="106"/>
  <c r="Q74" i="106"/>
  <c r="R73" i="106"/>
  <c r="Q73" i="106"/>
  <c r="R72" i="106"/>
  <c r="Q72" i="106"/>
  <c r="R71" i="106"/>
  <c r="Q71" i="106"/>
  <c r="R70" i="106"/>
  <c r="Q70" i="106"/>
  <c r="R69" i="106"/>
  <c r="Q69" i="106"/>
  <c r="R68" i="106"/>
  <c r="Q68" i="106"/>
  <c r="R67" i="106"/>
  <c r="Q67" i="106"/>
  <c r="R66" i="106"/>
  <c r="Q66" i="106"/>
  <c r="R65" i="106"/>
  <c r="Q65" i="106"/>
  <c r="R64" i="106"/>
  <c r="Q64" i="106"/>
  <c r="R63" i="106"/>
  <c r="Q63" i="106"/>
  <c r="R62" i="106"/>
  <c r="Q62" i="106"/>
  <c r="R61" i="106"/>
  <c r="Q61" i="106"/>
  <c r="R60" i="106"/>
  <c r="Q60" i="106"/>
  <c r="R59" i="106"/>
  <c r="Q59" i="106"/>
  <c r="R58" i="106"/>
  <c r="Q58" i="106"/>
  <c r="R57" i="106"/>
  <c r="Q57" i="106"/>
  <c r="R56" i="106"/>
  <c r="Q56" i="106"/>
  <c r="R55" i="106"/>
  <c r="Q55" i="106"/>
  <c r="R54" i="106"/>
  <c r="Q54" i="106"/>
  <c r="R53" i="106"/>
  <c r="Q53" i="106"/>
  <c r="R52" i="106"/>
  <c r="Q52" i="106"/>
  <c r="R51" i="106"/>
  <c r="Q51" i="106"/>
  <c r="R50" i="106"/>
  <c r="Q50" i="106"/>
  <c r="R49" i="106"/>
  <c r="Q49" i="106"/>
  <c r="R48" i="106"/>
  <c r="Q48" i="106"/>
  <c r="R47" i="106"/>
  <c r="Q47" i="106"/>
  <c r="R46" i="106"/>
  <c r="Q46" i="106"/>
  <c r="R45" i="106"/>
  <c r="Q45" i="106"/>
  <c r="R44" i="106"/>
  <c r="Q44" i="106"/>
  <c r="R43" i="106"/>
  <c r="Q43" i="106"/>
  <c r="R42" i="106"/>
  <c r="Q42" i="106"/>
  <c r="R41" i="106"/>
  <c r="Q41" i="106"/>
  <c r="R40" i="106"/>
  <c r="Q40" i="106"/>
  <c r="R39" i="106"/>
  <c r="Q39" i="106"/>
  <c r="R38" i="106"/>
  <c r="Q38" i="106"/>
  <c r="R37" i="106"/>
  <c r="Q37" i="106"/>
  <c r="R36" i="106"/>
  <c r="Q36" i="106"/>
  <c r="R35" i="106"/>
  <c r="Q35" i="106"/>
  <c r="R34" i="106"/>
  <c r="Q34" i="106"/>
  <c r="R33" i="106"/>
  <c r="Q33" i="106"/>
  <c r="R32" i="106"/>
  <c r="Q32" i="106"/>
  <c r="R31" i="106"/>
  <c r="Q31" i="106"/>
  <c r="R30" i="106"/>
  <c r="Q30" i="106"/>
  <c r="R29" i="106"/>
  <c r="Q29" i="106"/>
  <c r="R28" i="106"/>
  <c r="Q28" i="106"/>
  <c r="R27" i="106"/>
  <c r="Q27" i="106"/>
  <c r="R26" i="106"/>
  <c r="Q26" i="106"/>
  <c r="R25" i="106"/>
  <c r="Q25" i="106"/>
  <c r="R24" i="106"/>
  <c r="Q24" i="106"/>
  <c r="R23" i="106"/>
  <c r="Q23" i="106"/>
  <c r="R22" i="106"/>
  <c r="Q22" i="106"/>
  <c r="R21" i="106"/>
  <c r="Q21" i="106"/>
  <c r="R20" i="106"/>
  <c r="Q20" i="106"/>
  <c r="R19" i="106"/>
  <c r="Q19" i="106"/>
  <c r="R18" i="106"/>
  <c r="Q18" i="106"/>
  <c r="R17" i="106"/>
  <c r="Q17" i="106"/>
  <c r="R16" i="106"/>
  <c r="Q16" i="106"/>
  <c r="R15" i="106"/>
  <c r="Q15" i="106"/>
  <c r="R14" i="106"/>
  <c r="Q14" i="106"/>
  <c r="R13" i="106"/>
  <c r="Q13" i="106"/>
  <c r="R12" i="106"/>
  <c r="Q12" i="106"/>
  <c r="R11" i="106"/>
  <c r="Q11" i="106"/>
  <c r="R10" i="106"/>
  <c r="Q10" i="106"/>
  <c r="R9" i="106"/>
  <c r="D4" i="106"/>
  <c r="Q9" i="106"/>
  <c r="A2" i="106" a="1"/>
  <c r="A2" i="106" s="1"/>
  <c r="A1" i="106" s="1"/>
  <c r="D37" i="126" s="1" a="1"/>
  <c r="D37" i="126" s="1"/>
  <c r="R208" i="105"/>
  <c r="Q208" i="105"/>
  <c r="R207" i="105"/>
  <c r="Q207" i="105"/>
  <c r="R206" i="105"/>
  <c r="Q206" i="105"/>
  <c r="R205" i="105"/>
  <c r="Q205" i="105"/>
  <c r="R204" i="105"/>
  <c r="Q204" i="105"/>
  <c r="R203" i="105"/>
  <c r="Q203" i="105"/>
  <c r="R202" i="105"/>
  <c r="Q202" i="105"/>
  <c r="R201" i="105"/>
  <c r="Q201" i="105"/>
  <c r="R200" i="105"/>
  <c r="Q200" i="105"/>
  <c r="R199" i="105"/>
  <c r="Q199" i="105"/>
  <c r="R198" i="105"/>
  <c r="Q198" i="105"/>
  <c r="R197" i="105"/>
  <c r="Q197" i="105"/>
  <c r="R196" i="105"/>
  <c r="Q196" i="105"/>
  <c r="R195" i="105"/>
  <c r="Q195" i="105"/>
  <c r="R194" i="105"/>
  <c r="Q194" i="105"/>
  <c r="R193" i="105"/>
  <c r="Q193" i="105"/>
  <c r="R192" i="105"/>
  <c r="Q192" i="105"/>
  <c r="R191" i="105"/>
  <c r="Q191" i="105"/>
  <c r="R190" i="105"/>
  <c r="Q190" i="105"/>
  <c r="R189" i="105"/>
  <c r="Q189" i="105"/>
  <c r="R188" i="105"/>
  <c r="Q188" i="105"/>
  <c r="R187" i="105"/>
  <c r="Q187" i="105"/>
  <c r="R186" i="105"/>
  <c r="Q186" i="105"/>
  <c r="R185" i="105"/>
  <c r="Q185" i="105"/>
  <c r="R184" i="105"/>
  <c r="Q184" i="105"/>
  <c r="R183" i="105"/>
  <c r="Q183" i="105"/>
  <c r="R182" i="105"/>
  <c r="Q182" i="105"/>
  <c r="R181" i="105"/>
  <c r="Q181" i="105"/>
  <c r="R180" i="105"/>
  <c r="Q180" i="105"/>
  <c r="R179" i="105"/>
  <c r="Q179" i="105"/>
  <c r="R178" i="105"/>
  <c r="Q178" i="105"/>
  <c r="R177" i="105"/>
  <c r="Q177" i="105"/>
  <c r="R176" i="105"/>
  <c r="Q176" i="105"/>
  <c r="R175" i="105"/>
  <c r="Q175" i="105"/>
  <c r="R174" i="105"/>
  <c r="Q174" i="105"/>
  <c r="R173" i="105"/>
  <c r="Q173" i="105"/>
  <c r="R172" i="105"/>
  <c r="Q172" i="105"/>
  <c r="R171" i="105"/>
  <c r="Q171" i="105"/>
  <c r="R170" i="105"/>
  <c r="Q170" i="105"/>
  <c r="R169" i="105"/>
  <c r="Q169" i="105"/>
  <c r="R168" i="105"/>
  <c r="Q168" i="105"/>
  <c r="R167" i="105"/>
  <c r="Q167" i="105"/>
  <c r="R166" i="105"/>
  <c r="Q166" i="105"/>
  <c r="R165" i="105"/>
  <c r="Q165" i="105"/>
  <c r="R164" i="105"/>
  <c r="Q164" i="105"/>
  <c r="R163" i="105"/>
  <c r="Q163" i="105"/>
  <c r="R162" i="105"/>
  <c r="Q162" i="105"/>
  <c r="R161" i="105"/>
  <c r="Q161" i="105"/>
  <c r="R160" i="105"/>
  <c r="Q160" i="105"/>
  <c r="R159" i="105"/>
  <c r="Q159" i="105"/>
  <c r="R158" i="105"/>
  <c r="Q158" i="105"/>
  <c r="R157" i="105"/>
  <c r="Q157" i="105"/>
  <c r="R156" i="105"/>
  <c r="Q156" i="105"/>
  <c r="R155" i="105"/>
  <c r="Q155" i="105"/>
  <c r="R154" i="105"/>
  <c r="Q154" i="105"/>
  <c r="R153" i="105"/>
  <c r="Q153" i="105"/>
  <c r="R152" i="105"/>
  <c r="Q152" i="105"/>
  <c r="R151" i="105"/>
  <c r="Q151" i="105"/>
  <c r="R150" i="105"/>
  <c r="Q150" i="105"/>
  <c r="R149" i="105"/>
  <c r="Q149" i="105"/>
  <c r="R148" i="105"/>
  <c r="Q148" i="105"/>
  <c r="R147" i="105"/>
  <c r="Q147" i="105"/>
  <c r="R146" i="105"/>
  <c r="Q146" i="105"/>
  <c r="R145" i="105"/>
  <c r="Q145" i="105"/>
  <c r="R144" i="105"/>
  <c r="Q144" i="105"/>
  <c r="R143" i="105"/>
  <c r="Q143" i="105"/>
  <c r="R142" i="105"/>
  <c r="Q142" i="105"/>
  <c r="R141" i="105"/>
  <c r="Q141" i="105"/>
  <c r="R140" i="105"/>
  <c r="Q140" i="105"/>
  <c r="R139" i="105"/>
  <c r="Q139" i="105"/>
  <c r="R138" i="105"/>
  <c r="Q138" i="105"/>
  <c r="R137" i="105"/>
  <c r="Q137" i="105"/>
  <c r="R136" i="105"/>
  <c r="Q136" i="105"/>
  <c r="R135" i="105"/>
  <c r="Q135" i="105"/>
  <c r="R134" i="105"/>
  <c r="Q134" i="105"/>
  <c r="R133" i="105"/>
  <c r="Q133" i="105"/>
  <c r="R132" i="105"/>
  <c r="Q132" i="105"/>
  <c r="R131" i="105"/>
  <c r="Q131" i="105"/>
  <c r="R130" i="105"/>
  <c r="Q130" i="105"/>
  <c r="R129" i="105"/>
  <c r="Q129" i="105"/>
  <c r="R128" i="105"/>
  <c r="Q128" i="105"/>
  <c r="R127" i="105"/>
  <c r="Q127" i="105"/>
  <c r="R126" i="105"/>
  <c r="Q126" i="105"/>
  <c r="R125" i="105"/>
  <c r="Q125" i="105"/>
  <c r="R124" i="105"/>
  <c r="Q124" i="105"/>
  <c r="R123" i="105"/>
  <c r="Q123" i="105"/>
  <c r="R122" i="105"/>
  <c r="Q122" i="105"/>
  <c r="R121" i="105"/>
  <c r="Q121" i="105"/>
  <c r="R120" i="105"/>
  <c r="Q120" i="105"/>
  <c r="R119" i="105"/>
  <c r="Q119" i="105"/>
  <c r="R118" i="105"/>
  <c r="Q118" i="105"/>
  <c r="R117" i="105"/>
  <c r="Q117" i="105"/>
  <c r="R116" i="105"/>
  <c r="Q116" i="105"/>
  <c r="R115" i="105"/>
  <c r="Q115" i="105"/>
  <c r="R114" i="105"/>
  <c r="Q114" i="105"/>
  <c r="R113" i="105"/>
  <c r="Q113" i="105"/>
  <c r="R112" i="105"/>
  <c r="Q112" i="105"/>
  <c r="R111" i="105"/>
  <c r="Q111" i="105"/>
  <c r="R110" i="105"/>
  <c r="Q110" i="105"/>
  <c r="R109" i="105"/>
  <c r="Q109" i="105"/>
  <c r="R108" i="105"/>
  <c r="Q108" i="105"/>
  <c r="R107" i="105"/>
  <c r="Q107" i="105"/>
  <c r="R106" i="105"/>
  <c r="Q106" i="105"/>
  <c r="R105" i="105"/>
  <c r="Q105" i="105"/>
  <c r="R104" i="105"/>
  <c r="Q104" i="105"/>
  <c r="R103" i="105"/>
  <c r="Q103" i="105"/>
  <c r="R102" i="105"/>
  <c r="Q102" i="105"/>
  <c r="R101" i="105"/>
  <c r="Q101" i="105"/>
  <c r="R100" i="105"/>
  <c r="Q100" i="105"/>
  <c r="R99" i="105"/>
  <c r="Q99" i="105"/>
  <c r="R98" i="105"/>
  <c r="Q98" i="105"/>
  <c r="R97" i="105"/>
  <c r="Q97" i="105"/>
  <c r="R96" i="105"/>
  <c r="Q96" i="105"/>
  <c r="R95" i="105"/>
  <c r="Q95" i="105"/>
  <c r="R94" i="105"/>
  <c r="Q94" i="105"/>
  <c r="R93" i="105"/>
  <c r="Q93" i="105"/>
  <c r="R92" i="105"/>
  <c r="Q92" i="105"/>
  <c r="R91" i="105"/>
  <c r="Q91" i="105"/>
  <c r="R90" i="105"/>
  <c r="Q90" i="105"/>
  <c r="R89" i="105"/>
  <c r="Q89" i="105"/>
  <c r="R88" i="105"/>
  <c r="Q88" i="105"/>
  <c r="R87" i="105"/>
  <c r="Q87" i="105"/>
  <c r="R86" i="105"/>
  <c r="Q86" i="105"/>
  <c r="R85" i="105"/>
  <c r="Q85" i="105"/>
  <c r="R84" i="105"/>
  <c r="Q84" i="105"/>
  <c r="R83" i="105"/>
  <c r="Q83" i="105"/>
  <c r="R82" i="105"/>
  <c r="Q82" i="105"/>
  <c r="R81" i="105"/>
  <c r="Q81" i="105"/>
  <c r="R80" i="105"/>
  <c r="Q80" i="105"/>
  <c r="R79" i="105"/>
  <c r="Q79" i="105"/>
  <c r="R78" i="105"/>
  <c r="Q78" i="105"/>
  <c r="R77" i="105"/>
  <c r="Q77" i="105"/>
  <c r="R76" i="105"/>
  <c r="Q76" i="105"/>
  <c r="R75" i="105"/>
  <c r="Q75" i="105"/>
  <c r="R74" i="105"/>
  <c r="Q74" i="105"/>
  <c r="R73" i="105"/>
  <c r="Q73" i="105"/>
  <c r="R72" i="105"/>
  <c r="Q72" i="105"/>
  <c r="R71" i="105"/>
  <c r="Q71" i="105"/>
  <c r="R70" i="105"/>
  <c r="Q70" i="105"/>
  <c r="R69" i="105"/>
  <c r="Q69" i="105"/>
  <c r="R68" i="105"/>
  <c r="Q68" i="105"/>
  <c r="R67" i="105"/>
  <c r="Q67" i="105"/>
  <c r="R66" i="105"/>
  <c r="Q66" i="105"/>
  <c r="R65" i="105"/>
  <c r="Q65" i="105"/>
  <c r="R64" i="105"/>
  <c r="Q64" i="105"/>
  <c r="R63" i="105"/>
  <c r="Q63" i="105"/>
  <c r="R62" i="105"/>
  <c r="Q62" i="105"/>
  <c r="R61" i="105"/>
  <c r="Q61" i="105"/>
  <c r="R60" i="105"/>
  <c r="Q60" i="105"/>
  <c r="R59" i="105"/>
  <c r="Q59" i="105"/>
  <c r="R58" i="105"/>
  <c r="Q58" i="105"/>
  <c r="R57" i="105"/>
  <c r="Q57" i="105"/>
  <c r="R56" i="105"/>
  <c r="Q56" i="105"/>
  <c r="R55" i="105"/>
  <c r="Q55" i="105"/>
  <c r="R54" i="105"/>
  <c r="Q54" i="105"/>
  <c r="R53" i="105"/>
  <c r="Q53" i="105"/>
  <c r="R52" i="105"/>
  <c r="Q52" i="105"/>
  <c r="R51" i="105"/>
  <c r="Q51" i="105"/>
  <c r="R50" i="105"/>
  <c r="Q50" i="105"/>
  <c r="R49" i="105"/>
  <c r="Q49" i="105"/>
  <c r="R48" i="105"/>
  <c r="Q48" i="105"/>
  <c r="R47" i="105"/>
  <c r="Q47" i="105"/>
  <c r="R46" i="105"/>
  <c r="Q46" i="105"/>
  <c r="R45" i="105"/>
  <c r="Q45" i="105"/>
  <c r="R44" i="105"/>
  <c r="Q44" i="105"/>
  <c r="R43" i="105"/>
  <c r="Q43" i="105"/>
  <c r="R42" i="105"/>
  <c r="Q42" i="105"/>
  <c r="R41" i="105"/>
  <c r="Q41" i="105"/>
  <c r="R40" i="105"/>
  <c r="Q40" i="105"/>
  <c r="R39" i="105"/>
  <c r="Q39" i="105"/>
  <c r="R38" i="105"/>
  <c r="Q38" i="105"/>
  <c r="R37" i="105"/>
  <c r="Q37" i="105"/>
  <c r="R36" i="105"/>
  <c r="Q36" i="105"/>
  <c r="R35" i="105"/>
  <c r="Q35" i="105"/>
  <c r="R34" i="105"/>
  <c r="Q34" i="105"/>
  <c r="R33" i="105"/>
  <c r="Q33" i="105"/>
  <c r="R32" i="105"/>
  <c r="Q32" i="105"/>
  <c r="R31" i="105"/>
  <c r="Q31" i="105"/>
  <c r="R30" i="105"/>
  <c r="Q30" i="105"/>
  <c r="R29" i="105"/>
  <c r="Q29" i="105"/>
  <c r="R28" i="105"/>
  <c r="Q28" i="105"/>
  <c r="R27" i="105"/>
  <c r="Q27" i="105"/>
  <c r="R26" i="105"/>
  <c r="Q26" i="105"/>
  <c r="R25" i="105"/>
  <c r="Q25" i="105"/>
  <c r="R24" i="105"/>
  <c r="Q24" i="105"/>
  <c r="R23" i="105"/>
  <c r="Q23" i="105"/>
  <c r="R22" i="105"/>
  <c r="Q22" i="105"/>
  <c r="R21" i="105"/>
  <c r="Q21" i="105"/>
  <c r="R20" i="105"/>
  <c r="Q20" i="105"/>
  <c r="R19" i="105"/>
  <c r="Q19" i="105"/>
  <c r="R18" i="105"/>
  <c r="Q18" i="105"/>
  <c r="R17" i="105"/>
  <c r="Q17" i="105"/>
  <c r="R16" i="105"/>
  <c r="Q16" i="105"/>
  <c r="R15" i="105"/>
  <c r="Q15" i="105"/>
  <c r="R14" i="105"/>
  <c r="Q14" i="105"/>
  <c r="R13" i="105"/>
  <c r="Q13" i="105"/>
  <c r="R12" i="105"/>
  <c r="Q12" i="105"/>
  <c r="R11" i="105"/>
  <c r="Q11" i="105"/>
  <c r="R10" i="105"/>
  <c r="Q10" i="105"/>
  <c r="R9" i="105"/>
  <c r="D4" i="105"/>
  <c r="Q9" i="105"/>
  <c r="A2" i="105" a="1"/>
  <c r="A2" i="105" s="1"/>
  <c r="A1" i="105" s="1"/>
  <c r="D36" i="126" s="1" a="1"/>
  <c r="D36" i="126" s="1"/>
  <c r="R208" i="104"/>
  <c r="Q208" i="104"/>
  <c r="R207" i="104"/>
  <c r="Q207" i="104"/>
  <c r="R206" i="104"/>
  <c r="Q206" i="104"/>
  <c r="R205" i="104"/>
  <c r="Q205" i="104"/>
  <c r="R204" i="104"/>
  <c r="Q204" i="104"/>
  <c r="R203" i="104"/>
  <c r="Q203" i="104"/>
  <c r="R202" i="104"/>
  <c r="Q202" i="104"/>
  <c r="R201" i="104"/>
  <c r="Q201" i="104"/>
  <c r="R200" i="104"/>
  <c r="Q200" i="104"/>
  <c r="R199" i="104"/>
  <c r="Q199" i="104"/>
  <c r="R198" i="104"/>
  <c r="Q198" i="104"/>
  <c r="R197" i="104"/>
  <c r="Q197" i="104"/>
  <c r="R196" i="104"/>
  <c r="Q196" i="104"/>
  <c r="R195" i="104"/>
  <c r="Q195" i="104"/>
  <c r="R194" i="104"/>
  <c r="Q194" i="104"/>
  <c r="R193" i="104"/>
  <c r="Q193" i="104"/>
  <c r="R192" i="104"/>
  <c r="Q192" i="104"/>
  <c r="R191" i="104"/>
  <c r="Q191" i="104"/>
  <c r="R190" i="104"/>
  <c r="Q190" i="104"/>
  <c r="R189" i="104"/>
  <c r="Q189" i="104"/>
  <c r="R188" i="104"/>
  <c r="Q188" i="104"/>
  <c r="R187" i="104"/>
  <c r="Q187" i="104"/>
  <c r="R186" i="104"/>
  <c r="Q186" i="104"/>
  <c r="R185" i="104"/>
  <c r="Q185" i="104"/>
  <c r="R184" i="104"/>
  <c r="Q184" i="104"/>
  <c r="R183" i="104"/>
  <c r="Q183" i="104"/>
  <c r="R182" i="104"/>
  <c r="Q182" i="104"/>
  <c r="R181" i="104"/>
  <c r="Q181" i="104"/>
  <c r="R180" i="104"/>
  <c r="Q180" i="104"/>
  <c r="R179" i="104"/>
  <c r="Q179" i="104"/>
  <c r="R178" i="104"/>
  <c r="Q178" i="104"/>
  <c r="R177" i="104"/>
  <c r="Q177" i="104"/>
  <c r="R176" i="104"/>
  <c r="Q176" i="104"/>
  <c r="R175" i="104"/>
  <c r="Q175" i="104"/>
  <c r="R174" i="104"/>
  <c r="Q174" i="104"/>
  <c r="R173" i="104"/>
  <c r="Q173" i="104"/>
  <c r="R172" i="104"/>
  <c r="Q172" i="104"/>
  <c r="R171" i="104"/>
  <c r="Q171" i="104"/>
  <c r="R170" i="104"/>
  <c r="Q170" i="104"/>
  <c r="R169" i="104"/>
  <c r="Q169" i="104"/>
  <c r="R168" i="104"/>
  <c r="Q168" i="104"/>
  <c r="R167" i="104"/>
  <c r="Q167" i="104"/>
  <c r="R166" i="104"/>
  <c r="Q166" i="104"/>
  <c r="R165" i="104"/>
  <c r="Q165" i="104"/>
  <c r="R164" i="104"/>
  <c r="Q164" i="104"/>
  <c r="R163" i="104"/>
  <c r="Q163" i="104"/>
  <c r="R162" i="104"/>
  <c r="Q162" i="104"/>
  <c r="R161" i="104"/>
  <c r="Q161" i="104"/>
  <c r="R160" i="104"/>
  <c r="Q160" i="104"/>
  <c r="R159" i="104"/>
  <c r="Q159" i="104"/>
  <c r="R158" i="104"/>
  <c r="Q158" i="104"/>
  <c r="R157" i="104"/>
  <c r="Q157" i="104"/>
  <c r="R156" i="104"/>
  <c r="Q156" i="104"/>
  <c r="R155" i="104"/>
  <c r="Q155" i="104"/>
  <c r="R154" i="104"/>
  <c r="Q154" i="104"/>
  <c r="R153" i="104"/>
  <c r="Q153" i="104"/>
  <c r="R152" i="104"/>
  <c r="Q152" i="104"/>
  <c r="R151" i="104"/>
  <c r="Q151" i="104"/>
  <c r="R150" i="104"/>
  <c r="Q150" i="104"/>
  <c r="R149" i="104"/>
  <c r="Q149" i="104"/>
  <c r="R148" i="104"/>
  <c r="Q148" i="104"/>
  <c r="R147" i="104"/>
  <c r="Q147" i="104"/>
  <c r="R146" i="104"/>
  <c r="Q146" i="104"/>
  <c r="R145" i="104"/>
  <c r="Q145" i="104"/>
  <c r="R144" i="104"/>
  <c r="Q144" i="104"/>
  <c r="R143" i="104"/>
  <c r="Q143" i="104"/>
  <c r="R142" i="104"/>
  <c r="Q142" i="104"/>
  <c r="R141" i="104"/>
  <c r="Q141" i="104"/>
  <c r="R140" i="104"/>
  <c r="Q140" i="104"/>
  <c r="R139" i="104"/>
  <c r="Q139" i="104"/>
  <c r="R138" i="104"/>
  <c r="Q138" i="104"/>
  <c r="R137" i="104"/>
  <c r="Q137" i="104"/>
  <c r="R136" i="104"/>
  <c r="Q136" i="104"/>
  <c r="R135" i="104"/>
  <c r="Q135" i="104"/>
  <c r="R134" i="104"/>
  <c r="Q134" i="104"/>
  <c r="R133" i="104"/>
  <c r="Q133" i="104"/>
  <c r="R132" i="104"/>
  <c r="Q132" i="104"/>
  <c r="R131" i="104"/>
  <c r="Q131" i="104"/>
  <c r="R130" i="104"/>
  <c r="Q130" i="104"/>
  <c r="R129" i="104"/>
  <c r="Q129" i="104"/>
  <c r="R128" i="104"/>
  <c r="Q128" i="104"/>
  <c r="R127" i="104"/>
  <c r="Q127" i="104"/>
  <c r="R126" i="104"/>
  <c r="Q126" i="104"/>
  <c r="R125" i="104"/>
  <c r="Q125" i="104"/>
  <c r="R124" i="104"/>
  <c r="Q124" i="104"/>
  <c r="R123" i="104"/>
  <c r="Q123" i="104"/>
  <c r="R122" i="104"/>
  <c r="Q122" i="104"/>
  <c r="R121" i="104"/>
  <c r="Q121" i="104"/>
  <c r="R120" i="104"/>
  <c r="Q120" i="104"/>
  <c r="R119" i="104"/>
  <c r="Q119" i="104"/>
  <c r="R118" i="104"/>
  <c r="Q118" i="104"/>
  <c r="R117" i="104"/>
  <c r="Q117" i="104"/>
  <c r="R116" i="104"/>
  <c r="Q116" i="104"/>
  <c r="R115" i="104"/>
  <c r="Q115" i="104"/>
  <c r="R114" i="104"/>
  <c r="Q114" i="104"/>
  <c r="R113" i="104"/>
  <c r="Q113" i="104"/>
  <c r="R112" i="104"/>
  <c r="Q112" i="104"/>
  <c r="R111" i="104"/>
  <c r="Q111" i="104"/>
  <c r="R110" i="104"/>
  <c r="Q110" i="104"/>
  <c r="R109" i="104"/>
  <c r="Q109" i="104"/>
  <c r="R108" i="104"/>
  <c r="Q108" i="104"/>
  <c r="R107" i="104"/>
  <c r="Q107" i="104"/>
  <c r="R106" i="104"/>
  <c r="Q106" i="104"/>
  <c r="R105" i="104"/>
  <c r="Q105" i="104"/>
  <c r="R104" i="104"/>
  <c r="Q104" i="104"/>
  <c r="R103" i="104"/>
  <c r="Q103" i="104"/>
  <c r="R102" i="104"/>
  <c r="Q102" i="104"/>
  <c r="R101" i="104"/>
  <c r="Q101" i="104"/>
  <c r="R100" i="104"/>
  <c r="Q100" i="104"/>
  <c r="R99" i="104"/>
  <c r="Q99" i="104"/>
  <c r="R98" i="104"/>
  <c r="Q98" i="104"/>
  <c r="R97" i="104"/>
  <c r="Q97" i="104"/>
  <c r="R96" i="104"/>
  <c r="Q96" i="104"/>
  <c r="R95" i="104"/>
  <c r="Q95" i="104"/>
  <c r="R94" i="104"/>
  <c r="Q94" i="104"/>
  <c r="R93" i="104"/>
  <c r="Q93" i="104"/>
  <c r="R92" i="104"/>
  <c r="Q92" i="104"/>
  <c r="R91" i="104"/>
  <c r="Q91" i="104"/>
  <c r="R90" i="104"/>
  <c r="Q90" i="104"/>
  <c r="R89" i="104"/>
  <c r="Q89" i="104"/>
  <c r="R88" i="104"/>
  <c r="Q88" i="104"/>
  <c r="R87" i="104"/>
  <c r="Q87" i="104"/>
  <c r="R86" i="104"/>
  <c r="Q86" i="104"/>
  <c r="R85" i="104"/>
  <c r="Q85" i="104"/>
  <c r="R84" i="104"/>
  <c r="Q84" i="104"/>
  <c r="R83" i="104"/>
  <c r="Q83" i="104"/>
  <c r="R82" i="104"/>
  <c r="Q82" i="104"/>
  <c r="R81" i="104"/>
  <c r="Q81" i="104"/>
  <c r="R80" i="104"/>
  <c r="Q80" i="104"/>
  <c r="R79" i="104"/>
  <c r="Q79" i="104"/>
  <c r="R78" i="104"/>
  <c r="Q78" i="104"/>
  <c r="R77" i="104"/>
  <c r="Q77" i="104"/>
  <c r="R76" i="104"/>
  <c r="Q76" i="104"/>
  <c r="R75" i="104"/>
  <c r="Q75" i="104"/>
  <c r="R74" i="104"/>
  <c r="Q74" i="104"/>
  <c r="R73" i="104"/>
  <c r="Q73" i="104"/>
  <c r="R72" i="104"/>
  <c r="Q72" i="104"/>
  <c r="R71" i="104"/>
  <c r="Q71" i="104"/>
  <c r="R70" i="104"/>
  <c r="Q70" i="104"/>
  <c r="R69" i="104"/>
  <c r="Q69" i="104"/>
  <c r="R68" i="104"/>
  <c r="Q68" i="104"/>
  <c r="R67" i="104"/>
  <c r="Q67" i="104"/>
  <c r="R66" i="104"/>
  <c r="Q66" i="104"/>
  <c r="R65" i="104"/>
  <c r="Q65" i="104"/>
  <c r="R64" i="104"/>
  <c r="Q64" i="104"/>
  <c r="R63" i="104"/>
  <c r="Q63" i="104"/>
  <c r="R62" i="104"/>
  <c r="Q62" i="104"/>
  <c r="R61" i="104"/>
  <c r="Q61" i="104"/>
  <c r="R60" i="104"/>
  <c r="Q60" i="104"/>
  <c r="R59" i="104"/>
  <c r="Q59" i="104"/>
  <c r="R58" i="104"/>
  <c r="Q58" i="104"/>
  <c r="R57" i="104"/>
  <c r="Q57" i="104"/>
  <c r="R56" i="104"/>
  <c r="Q56" i="104"/>
  <c r="R55" i="104"/>
  <c r="Q55" i="104"/>
  <c r="R54" i="104"/>
  <c r="Q54" i="104"/>
  <c r="R53" i="104"/>
  <c r="Q53" i="104"/>
  <c r="R52" i="104"/>
  <c r="Q52" i="104"/>
  <c r="R51" i="104"/>
  <c r="Q51" i="104"/>
  <c r="R50" i="104"/>
  <c r="Q50" i="104"/>
  <c r="R49" i="104"/>
  <c r="Q49" i="104"/>
  <c r="R48" i="104"/>
  <c r="Q48" i="104"/>
  <c r="R47" i="104"/>
  <c r="Q47" i="104"/>
  <c r="R46" i="104"/>
  <c r="Q46" i="104"/>
  <c r="R45" i="104"/>
  <c r="Q45" i="104"/>
  <c r="R44" i="104"/>
  <c r="Q44" i="104"/>
  <c r="R43" i="104"/>
  <c r="Q43" i="104"/>
  <c r="R42" i="104"/>
  <c r="Q42" i="104"/>
  <c r="R41" i="104"/>
  <c r="Q41" i="104"/>
  <c r="R40" i="104"/>
  <c r="Q40" i="104"/>
  <c r="R39" i="104"/>
  <c r="Q39" i="104"/>
  <c r="R38" i="104"/>
  <c r="Q38" i="104"/>
  <c r="R37" i="104"/>
  <c r="Q37" i="104"/>
  <c r="R36" i="104"/>
  <c r="Q36" i="104"/>
  <c r="R35" i="104"/>
  <c r="Q35" i="104"/>
  <c r="R34" i="104"/>
  <c r="Q34" i="104"/>
  <c r="R33" i="104"/>
  <c r="Q33" i="104"/>
  <c r="R32" i="104"/>
  <c r="Q32" i="104"/>
  <c r="R31" i="104"/>
  <c r="Q31" i="104"/>
  <c r="R30" i="104"/>
  <c r="Q30" i="104"/>
  <c r="R29" i="104"/>
  <c r="Q29" i="104"/>
  <c r="R28" i="104"/>
  <c r="Q28" i="104"/>
  <c r="R27" i="104"/>
  <c r="Q27" i="104"/>
  <c r="R26" i="104"/>
  <c r="Q26" i="104"/>
  <c r="R25" i="104"/>
  <c r="Q25" i="104"/>
  <c r="R24" i="104"/>
  <c r="Q24" i="104"/>
  <c r="R23" i="104"/>
  <c r="Q23" i="104"/>
  <c r="R22" i="104"/>
  <c r="Q22" i="104"/>
  <c r="R21" i="104"/>
  <c r="Q21" i="104"/>
  <c r="R20" i="104"/>
  <c r="Q20" i="104"/>
  <c r="R19" i="104"/>
  <c r="Q19" i="104"/>
  <c r="R18" i="104"/>
  <c r="Q18" i="104"/>
  <c r="R17" i="104"/>
  <c r="Q17" i="104"/>
  <c r="R16" i="104"/>
  <c r="Q16" i="104"/>
  <c r="R15" i="104"/>
  <c r="Q15" i="104"/>
  <c r="R14" i="104"/>
  <c r="Q14" i="104"/>
  <c r="R13" i="104"/>
  <c r="Q13" i="104"/>
  <c r="R12" i="104"/>
  <c r="Q12" i="104"/>
  <c r="R11" i="104"/>
  <c r="Q11" i="104"/>
  <c r="R10" i="104"/>
  <c r="Q10" i="104"/>
  <c r="R9" i="104"/>
  <c r="D4" i="104"/>
  <c r="Q9" i="104"/>
  <c r="A2" i="104" a="1"/>
  <c r="A2" i="104" s="1"/>
  <c r="A1" i="104" s="1"/>
  <c r="D35" i="126" s="1" a="1"/>
  <c r="D35" i="126" s="1"/>
  <c r="R208" i="103"/>
  <c r="Q208" i="103"/>
  <c r="R207" i="103"/>
  <c r="Q207" i="103"/>
  <c r="R206" i="103"/>
  <c r="Q206" i="103"/>
  <c r="R205" i="103"/>
  <c r="Q205" i="103"/>
  <c r="R204" i="103"/>
  <c r="Q204" i="103"/>
  <c r="R203" i="103"/>
  <c r="Q203" i="103"/>
  <c r="R202" i="103"/>
  <c r="Q202" i="103"/>
  <c r="R201" i="103"/>
  <c r="Q201" i="103"/>
  <c r="R200" i="103"/>
  <c r="Q200" i="103"/>
  <c r="R199" i="103"/>
  <c r="Q199" i="103"/>
  <c r="R198" i="103"/>
  <c r="Q198" i="103"/>
  <c r="R197" i="103"/>
  <c r="Q197" i="103"/>
  <c r="R196" i="103"/>
  <c r="Q196" i="103"/>
  <c r="R195" i="103"/>
  <c r="Q195" i="103"/>
  <c r="R194" i="103"/>
  <c r="Q194" i="103"/>
  <c r="R193" i="103"/>
  <c r="Q193" i="103"/>
  <c r="R192" i="103"/>
  <c r="Q192" i="103"/>
  <c r="R191" i="103"/>
  <c r="Q191" i="103"/>
  <c r="R190" i="103"/>
  <c r="Q190" i="103"/>
  <c r="R189" i="103"/>
  <c r="Q189" i="103"/>
  <c r="R188" i="103"/>
  <c r="Q188" i="103"/>
  <c r="R187" i="103"/>
  <c r="Q187" i="103"/>
  <c r="R186" i="103"/>
  <c r="Q186" i="103"/>
  <c r="R185" i="103"/>
  <c r="Q185" i="103"/>
  <c r="R184" i="103"/>
  <c r="Q184" i="103"/>
  <c r="R183" i="103"/>
  <c r="Q183" i="103"/>
  <c r="R182" i="103"/>
  <c r="Q182" i="103"/>
  <c r="R181" i="103"/>
  <c r="Q181" i="103"/>
  <c r="R180" i="103"/>
  <c r="Q180" i="103"/>
  <c r="R179" i="103"/>
  <c r="Q179" i="103"/>
  <c r="R178" i="103"/>
  <c r="Q178" i="103"/>
  <c r="R177" i="103"/>
  <c r="Q177" i="103"/>
  <c r="R176" i="103"/>
  <c r="Q176" i="103"/>
  <c r="R175" i="103"/>
  <c r="Q175" i="103"/>
  <c r="R174" i="103"/>
  <c r="Q174" i="103"/>
  <c r="R173" i="103"/>
  <c r="Q173" i="103"/>
  <c r="R172" i="103"/>
  <c r="Q172" i="103"/>
  <c r="R171" i="103"/>
  <c r="Q171" i="103"/>
  <c r="R170" i="103"/>
  <c r="Q170" i="103"/>
  <c r="R169" i="103"/>
  <c r="Q169" i="103"/>
  <c r="R168" i="103"/>
  <c r="Q168" i="103"/>
  <c r="R167" i="103"/>
  <c r="Q167" i="103"/>
  <c r="R166" i="103"/>
  <c r="Q166" i="103"/>
  <c r="R165" i="103"/>
  <c r="Q165" i="103"/>
  <c r="R164" i="103"/>
  <c r="Q164" i="103"/>
  <c r="R163" i="103"/>
  <c r="Q163" i="103"/>
  <c r="R162" i="103"/>
  <c r="Q162" i="103"/>
  <c r="R161" i="103"/>
  <c r="Q161" i="103"/>
  <c r="R160" i="103"/>
  <c r="Q160" i="103"/>
  <c r="R159" i="103"/>
  <c r="Q159" i="103"/>
  <c r="R158" i="103"/>
  <c r="Q158" i="103"/>
  <c r="R157" i="103"/>
  <c r="Q157" i="103"/>
  <c r="R156" i="103"/>
  <c r="Q156" i="103"/>
  <c r="R155" i="103"/>
  <c r="Q155" i="103"/>
  <c r="R154" i="103"/>
  <c r="Q154" i="103"/>
  <c r="R153" i="103"/>
  <c r="Q153" i="103"/>
  <c r="R152" i="103"/>
  <c r="Q152" i="103"/>
  <c r="R151" i="103"/>
  <c r="Q151" i="103"/>
  <c r="R150" i="103"/>
  <c r="Q150" i="103"/>
  <c r="R149" i="103"/>
  <c r="Q149" i="103"/>
  <c r="R148" i="103"/>
  <c r="Q148" i="103"/>
  <c r="R147" i="103"/>
  <c r="Q147" i="103"/>
  <c r="R146" i="103"/>
  <c r="Q146" i="103"/>
  <c r="R145" i="103"/>
  <c r="Q145" i="103"/>
  <c r="R144" i="103"/>
  <c r="Q144" i="103"/>
  <c r="R143" i="103"/>
  <c r="Q143" i="103"/>
  <c r="R142" i="103"/>
  <c r="Q142" i="103"/>
  <c r="R141" i="103"/>
  <c r="Q141" i="103"/>
  <c r="R140" i="103"/>
  <c r="Q140" i="103"/>
  <c r="R139" i="103"/>
  <c r="Q139" i="103"/>
  <c r="R138" i="103"/>
  <c r="Q138" i="103"/>
  <c r="R137" i="103"/>
  <c r="Q137" i="103"/>
  <c r="R136" i="103"/>
  <c r="Q136" i="103"/>
  <c r="R135" i="103"/>
  <c r="Q135" i="103"/>
  <c r="R134" i="103"/>
  <c r="Q134" i="103"/>
  <c r="R133" i="103"/>
  <c r="Q133" i="103"/>
  <c r="R132" i="103"/>
  <c r="Q132" i="103"/>
  <c r="R131" i="103"/>
  <c r="Q131" i="103"/>
  <c r="R130" i="103"/>
  <c r="Q130" i="103"/>
  <c r="R129" i="103"/>
  <c r="Q129" i="103"/>
  <c r="R128" i="103"/>
  <c r="Q128" i="103"/>
  <c r="R127" i="103"/>
  <c r="Q127" i="103"/>
  <c r="R126" i="103"/>
  <c r="Q126" i="103"/>
  <c r="R125" i="103"/>
  <c r="Q125" i="103"/>
  <c r="R124" i="103"/>
  <c r="Q124" i="103"/>
  <c r="R123" i="103"/>
  <c r="Q123" i="103"/>
  <c r="R122" i="103"/>
  <c r="Q122" i="103"/>
  <c r="R121" i="103"/>
  <c r="Q121" i="103"/>
  <c r="R120" i="103"/>
  <c r="Q120" i="103"/>
  <c r="R119" i="103"/>
  <c r="Q119" i="103"/>
  <c r="R118" i="103"/>
  <c r="Q118" i="103"/>
  <c r="R117" i="103"/>
  <c r="Q117" i="103"/>
  <c r="R116" i="103"/>
  <c r="Q116" i="103"/>
  <c r="R115" i="103"/>
  <c r="Q115" i="103"/>
  <c r="R114" i="103"/>
  <c r="Q114" i="103"/>
  <c r="R113" i="103"/>
  <c r="Q113" i="103"/>
  <c r="R112" i="103"/>
  <c r="Q112" i="103"/>
  <c r="R111" i="103"/>
  <c r="Q111" i="103"/>
  <c r="R110" i="103"/>
  <c r="Q110" i="103"/>
  <c r="R109" i="103"/>
  <c r="Q109" i="103"/>
  <c r="R108" i="103"/>
  <c r="Q108" i="103"/>
  <c r="R107" i="103"/>
  <c r="Q107" i="103"/>
  <c r="R106" i="103"/>
  <c r="Q106" i="103"/>
  <c r="R105" i="103"/>
  <c r="Q105" i="103"/>
  <c r="R104" i="103"/>
  <c r="Q104" i="103"/>
  <c r="R103" i="103"/>
  <c r="Q103" i="103"/>
  <c r="R102" i="103"/>
  <c r="Q102" i="103"/>
  <c r="R101" i="103"/>
  <c r="Q101" i="103"/>
  <c r="R100" i="103"/>
  <c r="Q100" i="103"/>
  <c r="R99" i="103"/>
  <c r="Q99" i="103"/>
  <c r="R98" i="103"/>
  <c r="Q98" i="103"/>
  <c r="R97" i="103"/>
  <c r="Q97" i="103"/>
  <c r="R96" i="103"/>
  <c r="Q96" i="103"/>
  <c r="R95" i="103"/>
  <c r="Q95" i="103"/>
  <c r="R94" i="103"/>
  <c r="Q94" i="103"/>
  <c r="R93" i="103"/>
  <c r="Q93" i="103"/>
  <c r="R92" i="103"/>
  <c r="Q92" i="103"/>
  <c r="R91" i="103"/>
  <c r="Q91" i="103"/>
  <c r="R90" i="103"/>
  <c r="Q90" i="103"/>
  <c r="R89" i="103"/>
  <c r="Q89" i="103"/>
  <c r="R88" i="103"/>
  <c r="Q88" i="103"/>
  <c r="R87" i="103"/>
  <c r="Q87" i="103"/>
  <c r="R86" i="103"/>
  <c r="Q86" i="103"/>
  <c r="R85" i="103"/>
  <c r="Q85" i="103"/>
  <c r="R84" i="103"/>
  <c r="Q84" i="103"/>
  <c r="R83" i="103"/>
  <c r="Q83" i="103"/>
  <c r="R82" i="103"/>
  <c r="Q82" i="103"/>
  <c r="R81" i="103"/>
  <c r="Q81" i="103"/>
  <c r="R80" i="103"/>
  <c r="Q80" i="103"/>
  <c r="R79" i="103"/>
  <c r="Q79" i="103"/>
  <c r="R78" i="103"/>
  <c r="Q78" i="103"/>
  <c r="R77" i="103"/>
  <c r="Q77" i="103"/>
  <c r="R76" i="103"/>
  <c r="Q76" i="103"/>
  <c r="R75" i="103"/>
  <c r="Q75" i="103"/>
  <c r="R74" i="103"/>
  <c r="Q74" i="103"/>
  <c r="R73" i="103"/>
  <c r="Q73" i="103"/>
  <c r="R72" i="103"/>
  <c r="Q72" i="103"/>
  <c r="R71" i="103"/>
  <c r="Q71" i="103"/>
  <c r="R70" i="103"/>
  <c r="Q70" i="103"/>
  <c r="R69" i="103"/>
  <c r="Q69" i="103"/>
  <c r="R68" i="103"/>
  <c r="Q68" i="103"/>
  <c r="R67" i="103"/>
  <c r="Q67" i="103"/>
  <c r="R66" i="103"/>
  <c r="Q66" i="103"/>
  <c r="R65" i="103"/>
  <c r="Q65" i="103"/>
  <c r="R64" i="103"/>
  <c r="Q64" i="103"/>
  <c r="R63" i="103"/>
  <c r="Q63" i="103"/>
  <c r="R62" i="103"/>
  <c r="Q62" i="103"/>
  <c r="R61" i="103"/>
  <c r="Q61" i="103"/>
  <c r="R60" i="103"/>
  <c r="Q60" i="103"/>
  <c r="R59" i="103"/>
  <c r="Q59" i="103"/>
  <c r="R58" i="103"/>
  <c r="Q58" i="103"/>
  <c r="R57" i="103"/>
  <c r="Q57" i="103"/>
  <c r="R56" i="103"/>
  <c r="Q56" i="103"/>
  <c r="R55" i="103"/>
  <c r="Q55" i="103"/>
  <c r="R54" i="103"/>
  <c r="Q54" i="103"/>
  <c r="R53" i="103"/>
  <c r="Q53" i="103"/>
  <c r="R52" i="103"/>
  <c r="Q52" i="103"/>
  <c r="R51" i="103"/>
  <c r="Q51" i="103"/>
  <c r="R50" i="103"/>
  <c r="Q50" i="103"/>
  <c r="R49" i="103"/>
  <c r="Q49" i="103"/>
  <c r="R48" i="103"/>
  <c r="Q48" i="103"/>
  <c r="R47" i="103"/>
  <c r="Q47" i="103"/>
  <c r="R46" i="103"/>
  <c r="Q46" i="103"/>
  <c r="R45" i="103"/>
  <c r="Q45" i="103"/>
  <c r="R44" i="103"/>
  <c r="Q44" i="103"/>
  <c r="R43" i="103"/>
  <c r="Q43" i="103"/>
  <c r="R42" i="103"/>
  <c r="Q42" i="103"/>
  <c r="R41" i="103"/>
  <c r="Q41" i="103"/>
  <c r="R40" i="103"/>
  <c r="Q40" i="103"/>
  <c r="R39" i="103"/>
  <c r="Q39" i="103"/>
  <c r="R38" i="103"/>
  <c r="Q38" i="103"/>
  <c r="R37" i="103"/>
  <c r="Q37" i="103"/>
  <c r="R36" i="103"/>
  <c r="Q36" i="103"/>
  <c r="R35" i="103"/>
  <c r="Q35" i="103"/>
  <c r="R34" i="103"/>
  <c r="Q34" i="103"/>
  <c r="R33" i="103"/>
  <c r="Q33" i="103"/>
  <c r="R32" i="103"/>
  <c r="Q32" i="103"/>
  <c r="R31" i="103"/>
  <c r="Q31" i="103"/>
  <c r="R30" i="103"/>
  <c r="Q30" i="103"/>
  <c r="R29" i="103"/>
  <c r="Q29" i="103"/>
  <c r="R28" i="103"/>
  <c r="Q28" i="103"/>
  <c r="R27" i="103"/>
  <c r="Q27" i="103"/>
  <c r="R26" i="103"/>
  <c r="Q26" i="103"/>
  <c r="R25" i="103"/>
  <c r="Q25" i="103"/>
  <c r="R24" i="103"/>
  <c r="Q24" i="103"/>
  <c r="R23" i="103"/>
  <c r="Q23" i="103"/>
  <c r="R22" i="103"/>
  <c r="Q22" i="103"/>
  <c r="R21" i="103"/>
  <c r="Q21" i="103"/>
  <c r="R20" i="103"/>
  <c r="Q20" i="103"/>
  <c r="R19" i="103"/>
  <c r="Q19" i="103"/>
  <c r="R18" i="103"/>
  <c r="Q18" i="103"/>
  <c r="R17" i="103"/>
  <c r="Q17" i="103"/>
  <c r="R16" i="103"/>
  <c r="Q16" i="103"/>
  <c r="R15" i="103"/>
  <c r="Q15" i="103"/>
  <c r="R14" i="103"/>
  <c r="Q14" i="103"/>
  <c r="R13" i="103"/>
  <c r="Q13" i="103"/>
  <c r="R12" i="103"/>
  <c r="Q12" i="103"/>
  <c r="R11" i="103"/>
  <c r="Q11" i="103"/>
  <c r="R10" i="103"/>
  <c r="Q10" i="103"/>
  <c r="R9" i="103"/>
  <c r="D4" i="103"/>
  <c r="Q9" i="103"/>
  <c r="A2" i="103" a="1"/>
  <c r="A2" i="103" s="1"/>
  <c r="A1" i="103" s="1"/>
  <c r="D34" i="126" s="1" a="1"/>
  <c r="D34" i="126" s="1"/>
  <c r="R208" i="102"/>
  <c r="Q208" i="102"/>
  <c r="R207" i="102"/>
  <c r="Q207" i="102"/>
  <c r="R206" i="102"/>
  <c r="Q206" i="102"/>
  <c r="R205" i="102"/>
  <c r="Q205" i="102"/>
  <c r="R204" i="102"/>
  <c r="Q204" i="102"/>
  <c r="R203" i="102"/>
  <c r="Q203" i="102"/>
  <c r="R202" i="102"/>
  <c r="Q202" i="102"/>
  <c r="R201" i="102"/>
  <c r="Q201" i="102"/>
  <c r="R200" i="102"/>
  <c r="Q200" i="102"/>
  <c r="R199" i="102"/>
  <c r="Q199" i="102"/>
  <c r="R198" i="102"/>
  <c r="Q198" i="102"/>
  <c r="R197" i="102"/>
  <c r="Q197" i="102"/>
  <c r="R196" i="102"/>
  <c r="Q196" i="102"/>
  <c r="R195" i="102"/>
  <c r="Q195" i="102"/>
  <c r="R194" i="102"/>
  <c r="Q194" i="102"/>
  <c r="R193" i="102"/>
  <c r="Q193" i="102"/>
  <c r="R192" i="102"/>
  <c r="Q192" i="102"/>
  <c r="R191" i="102"/>
  <c r="Q191" i="102"/>
  <c r="R190" i="102"/>
  <c r="Q190" i="102"/>
  <c r="R189" i="102"/>
  <c r="Q189" i="102"/>
  <c r="R188" i="102"/>
  <c r="Q188" i="102"/>
  <c r="R187" i="102"/>
  <c r="Q187" i="102"/>
  <c r="R186" i="102"/>
  <c r="Q186" i="102"/>
  <c r="R185" i="102"/>
  <c r="Q185" i="102"/>
  <c r="R184" i="102"/>
  <c r="Q184" i="102"/>
  <c r="R183" i="102"/>
  <c r="Q183" i="102"/>
  <c r="R182" i="102"/>
  <c r="Q182" i="102"/>
  <c r="R181" i="102"/>
  <c r="Q181" i="102"/>
  <c r="R180" i="102"/>
  <c r="Q180" i="102"/>
  <c r="R179" i="102"/>
  <c r="Q179" i="102"/>
  <c r="R178" i="102"/>
  <c r="Q178" i="102"/>
  <c r="R177" i="102"/>
  <c r="Q177" i="102"/>
  <c r="R176" i="102"/>
  <c r="Q176" i="102"/>
  <c r="R175" i="102"/>
  <c r="Q175" i="102"/>
  <c r="R174" i="102"/>
  <c r="Q174" i="102"/>
  <c r="R173" i="102"/>
  <c r="Q173" i="102"/>
  <c r="R172" i="102"/>
  <c r="Q172" i="102"/>
  <c r="R171" i="102"/>
  <c r="Q171" i="102"/>
  <c r="R170" i="102"/>
  <c r="Q170" i="102"/>
  <c r="R169" i="102"/>
  <c r="Q169" i="102"/>
  <c r="R168" i="102"/>
  <c r="Q168" i="102"/>
  <c r="R167" i="102"/>
  <c r="Q167" i="102"/>
  <c r="R166" i="102"/>
  <c r="Q166" i="102"/>
  <c r="R165" i="102"/>
  <c r="Q165" i="102"/>
  <c r="R164" i="102"/>
  <c r="Q164" i="102"/>
  <c r="R163" i="102"/>
  <c r="Q163" i="102"/>
  <c r="R162" i="102"/>
  <c r="Q162" i="102"/>
  <c r="R161" i="102"/>
  <c r="Q161" i="102"/>
  <c r="R160" i="102"/>
  <c r="Q160" i="102"/>
  <c r="R159" i="102"/>
  <c r="Q159" i="102"/>
  <c r="R158" i="102"/>
  <c r="Q158" i="102"/>
  <c r="R157" i="102"/>
  <c r="Q157" i="102"/>
  <c r="R156" i="102"/>
  <c r="Q156" i="102"/>
  <c r="R155" i="102"/>
  <c r="Q155" i="102"/>
  <c r="R154" i="102"/>
  <c r="Q154" i="102"/>
  <c r="R153" i="102"/>
  <c r="Q153" i="102"/>
  <c r="R152" i="102"/>
  <c r="Q152" i="102"/>
  <c r="R151" i="102"/>
  <c r="Q151" i="102"/>
  <c r="R150" i="102"/>
  <c r="Q150" i="102"/>
  <c r="R149" i="102"/>
  <c r="Q149" i="102"/>
  <c r="R148" i="102"/>
  <c r="Q148" i="102"/>
  <c r="R147" i="102"/>
  <c r="Q147" i="102"/>
  <c r="R146" i="102"/>
  <c r="Q146" i="102"/>
  <c r="R145" i="102"/>
  <c r="Q145" i="102"/>
  <c r="R144" i="102"/>
  <c r="Q144" i="102"/>
  <c r="R143" i="102"/>
  <c r="Q143" i="102"/>
  <c r="R142" i="102"/>
  <c r="Q142" i="102"/>
  <c r="R141" i="102"/>
  <c r="Q141" i="102"/>
  <c r="R140" i="102"/>
  <c r="Q140" i="102"/>
  <c r="R139" i="102"/>
  <c r="Q139" i="102"/>
  <c r="R138" i="102"/>
  <c r="Q138" i="102"/>
  <c r="R137" i="102"/>
  <c r="Q137" i="102"/>
  <c r="R136" i="102"/>
  <c r="Q136" i="102"/>
  <c r="R135" i="102"/>
  <c r="Q135" i="102"/>
  <c r="R134" i="102"/>
  <c r="Q134" i="102"/>
  <c r="R133" i="102"/>
  <c r="Q133" i="102"/>
  <c r="R132" i="102"/>
  <c r="Q132" i="102"/>
  <c r="R131" i="102"/>
  <c r="Q131" i="102"/>
  <c r="R130" i="102"/>
  <c r="Q130" i="102"/>
  <c r="R129" i="102"/>
  <c r="Q129" i="102"/>
  <c r="R128" i="102"/>
  <c r="Q128" i="102"/>
  <c r="R127" i="102"/>
  <c r="Q127" i="102"/>
  <c r="R126" i="102"/>
  <c r="Q126" i="102"/>
  <c r="R125" i="102"/>
  <c r="Q125" i="102"/>
  <c r="R124" i="102"/>
  <c r="Q124" i="102"/>
  <c r="R123" i="102"/>
  <c r="Q123" i="102"/>
  <c r="R122" i="102"/>
  <c r="Q122" i="102"/>
  <c r="R121" i="102"/>
  <c r="Q121" i="102"/>
  <c r="R120" i="102"/>
  <c r="Q120" i="102"/>
  <c r="R119" i="102"/>
  <c r="Q119" i="102"/>
  <c r="R118" i="102"/>
  <c r="Q118" i="102"/>
  <c r="R117" i="102"/>
  <c r="Q117" i="102"/>
  <c r="R116" i="102"/>
  <c r="Q116" i="102"/>
  <c r="R115" i="102"/>
  <c r="Q115" i="102"/>
  <c r="R114" i="102"/>
  <c r="Q114" i="102"/>
  <c r="R113" i="102"/>
  <c r="Q113" i="102"/>
  <c r="R112" i="102"/>
  <c r="Q112" i="102"/>
  <c r="R111" i="102"/>
  <c r="Q111" i="102"/>
  <c r="R110" i="102"/>
  <c r="Q110" i="102"/>
  <c r="R109" i="102"/>
  <c r="Q109" i="102"/>
  <c r="R108" i="102"/>
  <c r="Q108" i="102"/>
  <c r="R107" i="102"/>
  <c r="Q107" i="102"/>
  <c r="R106" i="102"/>
  <c r="Q106" i="102"/>
  <c r="R105" i="102"/>
  <c r="Q105" i="102"/>
  <c r="R104" i="102"/>
  <c r="Q104" i="102"/>
  <c r="R103" i="102"/>
  <c r="Q103" i="102"/>
  <c r="R102" i="102"/>
  <c r="Q102" i="102"/>
  <c r="R101" i="102"/>
  <c r="Q101" i="102"/>
  <c r="R100" i="102"/>
  <c r="Q100" i="102"/>
  <c r="R99" i="102"/>
  <c r="Q99" i="102"/>
  <c r="R98" i="102"/>
  <c r="Q98" i="102"/>
  <c r="R97" i="102"/>
  <c r="Q97" i="102"/>
  <c r="R96" i="102"/>
  <c r="Q96" i="102"/>
  <c r="R95" i="102"/>
  <c r="Q95" i="102"/>
  <c r="R94" i="102"/>
  <c r="Q94" i="102"/>
  <c r="R93" i="102"/>
  <c r="Q93" i="102"/>
  <c r="R92" i="102"/>
  <c r="Q92" i="102"/>
  <c r="R91" i="102"/>
  <c r="Q91" i="102"/>
  <c r="R90" i="102"/>
  <c r="Q90" i="102"/>
  <c r="R89" i="102"/>
  <c r="Q89" i="102"/>
  <c r="R88" i="102"/>
  <c r="Q88" i="102"/>
  <c r="R87" i="102"/>
  <c r="Q87" i="102"/>
  <c r="R86" i="102"/>
  <c r="Q86" i="102"/>
  <c r="R85" i="102"/>
  <c r="Q85" i="102"/>
  <c r="R84" i="102"/>
  <c r="Q84" i="102"/>
  <c r="R83" i="102"/>
  <c r="Q83" i="102"/>
  <c r="R82" i="102"/>
  <c r="Q82" i="102"/>
  <c r="R81" i="102"/>
  <c r="Q81" i="102"/>
  <c r="R80" i="102"/>
  <c r="Q80" i="102"/>
  <c r="R79" i="102"/>
  <c r="Q79" i="102"/>
  <c r="R78" i="102"/>
  <c r="Q78" i="102"/>
  <c r="R77" i="102"/>
  <c r="Q77" i="102"/>
  <c r="R76" i="102"/>
  <c r="Q76" i="102"/>
  <c r="R75" i="102"/>
  <c r="Q75" i="102"/>
  <c r="R74" i="102"/>
  <c r="Q74" i="102"/>
  <c r="R73" i="102"/>
  <c r="Q73" i="102"/>
  <c r="R72" i="102"/>
  <c r="Q72" i="102"/>
  <c r="R71" i="102"/>
  <c r="Q71" i="102"/>
  <c r="R70" i="102"/>
  <c r="Q70" i="102"/>
  <c r="R69" i="102"/>
  <c r="Q69" i="102"/>
  <c r="R68" i="102"/>
  <c r="Q68" i="102"/>
  <c r="R67" i="102"/>
  <c r="Q67" i="102"/>
  <c r="R66" i="102"/>
  <c r="Q66" i="102"/>
  <c r="R65" i="102"/>
  <c r="Q65" i="102"/>
  <c r="R64" i="102"/>
  <c r="Q64" i="102"/>
  <c r="R63" i="102"/>
  <c r="Q63" i="102"/>
  <c r="R62" i="102"/>
  <c r="Q62" i="102"/>
  <c r="R61" i="102"/>
  <c r="Q61" i="102"/>
  <c r="R60" i="102"/>
  <c r="Q60" i="102"/>
  <c r="R59" i="102"/>
  <c r="Q59" i="102"/>
  <c r="R58" i="102"/>
  <c r="Q58" i="102"/>
  <c r="R57" i="102"/>
  <c r="Q57" i="102"/>
  <c r="R56" i="102"/>
  <c r="Q56" i="102"/>
  <c r="R55" i="102"/>
  <c r="Q55" i="102"/>
  <c r="R54" i="102"/>
  <c r="Q54" i="102"/>
  <c r="R53" i="102"/>
  <c r="Q53" i="102"/>
  <c r="R52" i="102"/>
  <c r="Q52" i="102"/>
  <c r="R51" i="102"/>
  <c r="Q51" i="102"/>
  <c r="R50" i="102"/>
  <c r="Q50" i="102"/>
  <c r="R49" i="102"/>
  <c r="Q49" i="102"/>
  <c r="R48" i="102"/>
  <c r="Q48" i="102"/>
  <c r="R47" i="102"/>
  <c r="Q47" i="102"/>
  <c r="R46" i="102"/>
  <c r="Q46" i="102"/>
  <c r="R45" i="102"/>
  <c r="Q45" i="102"/>
  <c r="R44" i="102"/>
  <c r="Q44" i="102"/>
  <c r="R43" i="102"/>
  <c r="Q43" i="102"/>
  <c r="R42" i="102"/>
  <c r="Q42" i="102"/>
  <c r="R41" i="102"/>
  <c r="Q41" i="102"/>
  <c r="R40" i="102"/>
  <c r="Q40" i="102"/>
  <c r="R39" i="102"/>
  <c r="Q39" i="102"/>
  <c r="R38" i="102"/>
  <c r="Q38" i="102"/>
  <c r="R37" i="102"/>
  <c r="Q37" i="102"/>
  <c r="R36" i="102"/>
  <c r="Q36" i="102"/>
  <c r="R35" i="102"/>
  <c r="Q35" i="102"/>
  <c r="R34" i="102"/>
  <c r="Q34" i="102"/>
  <c r="R33" i="102"/>
  <c r="Q33" i="102"/>
  <c r="R32" i="102"/>
  <c r="Q32" i="102"/>
  <c r="R31" i="102"/>
  <c r="Q31" i="102"/>
  <c r="R30" i="102"/>
  <c r="Q30" i="102"/>
  <c r="R29" i="102"/>
  <c r="Q29" i="102"/>
  <c r="R28" i="102"/>
  <c r="Q28" i="102"/>
  <c r="R27" i="102"/>
  <c r="Q27" i="102"/>
  <c r="R26" i="102"/>
  <c r="Q26" i="102"/>
  <c r="R25" i="102"/>
  <c r="Q25" i="102"/>
  <c r="R24" i="102"/>
  <c r="Q24" i="102"/>
  <c r="R23" i="102"/>
  <c r="Q23" i="102"/>
  <c r="R22" i="102"/>
  <c r="Q22" i="102"/>
  <c r="R21" i="102"/>
  <c r="Q21" i="102"/>
  <c r="R20" i="102"/>
  <c r="Q20" i="102"/>
  <c r="R19" i="102"/>
  <c r="Q19" i="102"/>
  <c r="R18" i="102"/>
  <c r="Q18" i="102"/>
  <c r="R17" i="102"/>
  <c r="Q17" i="102"/>
  <c r="R16" i="102"/>
  <c r="Q16" i="102"/>
  <c r="R15" i="102"/>
  <c r="Q15" i="102"/>
  <c r="R14" i="102"/>
  <c r="Q14" i="102"/>
  <c r="R13" i="102"/>
  <c r="Q13" i="102"/>
  <c r="R12" i="102"/>
  <c r="Q12" i="102"/>
  <c r="R11" i="102"/>
  <c r="Q11" i="102"/>
  <c r="R10" i="102"/>
  <c r="Q10" i="102"/>
  <c r="R9" i="102"/>
  <c r="D4" i="102"/>
  <c r="Q9" i="102"/>
  <c r="A2" i="102" a="1"/>
  <c r="A2" i="102" s="1"/>
  <c r="A1" i="102" s="1"/>
  <c r="D33" i="126" s="1" a="1"/>
  <c r="D33" i="126" s="1"/>
  <c r="Q208" i="101"/>
  <c r="Q207" i="101"/>
  <c r="Q206" i="101"/>
  <c r="Q205" i="101"/>
  <c r="Q204" i="101"/>
  <c r="Q203" i="101"/>
  <c r="Q202" i="101"/>
  <c r="Q201" i="101"/>
  <c r="Q200" i="101"/>
  <c r="Q199" i="101"/>
  <c r="Q198" i="101"/>
  <c r="Q197" i="101"/>
  <c r="Q196" i="101"/>
  <c r="Q195" i="101"/>
  <c r="Q194" i="101"/>
  <c r="Q193" i="101"/>
  <c r="Q192" i="101"/>
  <c r="Q191" i="101"/>
  <c r="Q190" i="101"/>
  <c r="Q189" i="101"/>
  <c r="Q188" i="101"/>
  <c r="Q187" i="101"/>
  <c r="Q186" i="101"/>
  <c r="Q185" i="101"/>
  <c r="Q184" i="101"/>
  <c r="Q183" i="101"/>
  <c r="Q182" i="101"/>
  <c r="Q181" i="101"/>
  <c r="Q180" i="101"/>
  <c r="Q179" i="101"/>
  <c r="Q178" i="101"/>
  <c r="Q177" i="101"/>
  <c r="Q176" i="101"/>
  <c r="Q175" i="101"/>
  <c r="Q174" i="101"/>
  <c r="Q173" i="101"/>
  <c r="Q172" i="101"/>
  <c r="Q171" i="101"/>
  <c r="Q170" i="101"/>
  <c r="Q169" i="101"/>
  <c r="Q168" i="101"/>
  <c r="Q167" i="101"/>
  <c r="Q166" i="101"/>
  <c r="Q165" i="101"/>
  <c r="Q164" i="101"/>
  <c r="Q163" i="101"/>
  <c r="Q162" i="101"/>
  <c r="Q161" i="101"/>
  <c r="Q160" i="101"/>
  <c r="Q159" i="101"/>
  <c r="Q158" i="101"/>
  <c r="Q157" i="101"/>
  <c r="Q156" i="101"/>
  <c r="Q155" i="101"/>
  <c r="Q154" i="101"/>
  <c r="Q153" i="101"/>
  <c r="Q152" i="101"/>
  <c r="Q151" i="101"/>
  <c r="Q150" i="101"/>
  <c r="Q149" i="101"/>
  <c r="Q148" i="101"/>
  <c r="Q147" i="101"/>
  <c r="Q146" i="101"/>
  <c r="Q145" i="101"/>
  <c r="Q144" i="101"/>
  <c r="Q143" i="101"/>
  <c r="Q142" i="101"/>
  <c r="Q141" i="101"/>
  <c r="Q140" i="101"/>
  <c r="Q139" i="101"/>
  <c r="Q138" i="101"/>
  <c r="Q137" i="101"/>
  <c r="Q136" i="101"/>
  <c r="Q135" i="101"/>
  <c r="Q134" i="101"/>
  <c r="Q133" i="101"/>
  <c r="Q132" i="101"/>
  <c r="Q131" i="101"/>
  <c r="Q130" i="101"/>
  <c r="Q129" i="101"/>
  <c r="Q128" i="101"/>
  <c r="Q127" i="101"/>
  <c r="Q126" i="101"/>
  <c r="Q125" i="101"/>
  <c r="Q124" i="101"/>
  <c r="Q123" i="101"/>
  <c r="Q122" i="101"/>
  <c r="Q121" i="101"/>
  <c r="Q120" i="101"/>
  <c r="Q119" i="101"/>
  <c r="Q118" i="101"/>
  <c r="Q117" i="101"/>
  <c r="Q116" i="101"/>
  <c r="Q115" i="101"/>
  <c r="Q114" i="101"/>
  <c r="Q113" i="101"/>
  <c r="Q112" i="101"/>
  <c r="Q111" i="101"/>
  <c r="Q110" i="101"/>
  <c r="Q109" i="101"/>
  <c r="Q108" i="101"/>
  <c r="Q107" i="101"/>
  <c r="Q106" i="101"/>
  <c r="Q105" i="101"/>
  <c r="Q104" i="101"/>
  <c r="Q103" i="101"/>
  <c r="Q102" i="101"/>
  <c r="Q101" i="101"/>
  <c r="Q100" i="101"/>
  <c r="Q99" i="101"/>
  <c r="Q98" i="101"/>
  <c r="Q97" i="101"/>
  <c r="Q96" i="101"/>
  <c r="Q95" i="101"/>
  <c r="Q94" i="101"/>
  <c r="Q93" i="101"/>
  <c r="Q92" i="101"/>
  <c r="Q91" i="101"/>
  <c r="Q90" i="101"/>
  <c r="Q89" i="101"/>
  <c r="Q88" i="101"/>
  <c r="Q87" i="101"/>
  <c r="Q86" i="101"/>
  <c r="Q85" i="101"/>
  <c r="Q84" i="101"/>
  <c r="Q83" i="101"/>
  <c r="Q82" i="101"/>
  <c r="Q81" i="101"/>
  <c r="Q80" i="101"/>
  <c r="Q79" i="101"/>
  <c r="Q78" i="101"/>
  <c r="Q77" i="101"/>
  <c r="Q76" i="101"/>
  <c r="Q75" i="101"/>
  <c r="Q74" i="101"/>
  <c r="Q73" i="101"/>
  <c r="Q72" i="101"/>
  <c r="Q71" i="101"/>
  <c r="Q70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R21" i="101"/>
  <c r="S21" i="101"/>
  <c r="Q20" i="101"/>
  <c r="R20" i="101"/>
  <c r="S20" i="101"/>
  <c r="Q19" i="101"/>
  <c r="R19" i="101"/>
  <c r="S19" i="101"/>
  <c r="Q18" i="101"/>
  <c r="Q17" i="101"/>
  <c r="Q16" i="101"/>
  <c r="Q15" i="101"/>
  <c r="Q14" i="101"/>
  <c r="Q13" i="101"/>
  <c r="Q12" i="101"/>
  <c r="Q11" i="101"/>
  <c r="Q10" i="101"/>
  <c r="R10" i="101"/>
  <c r="S10" i="101"/>
  <c r="Q9" i="101"/>
  <c r="A2" i="101" a="1"/>
  <c r="A2" i="101" s="1"/>
  <c r="A1" i="101" s="1"/>
  <c r="D32" i="126" s="1" a="1"/>
  <c r="D32" i="126" s="1"/>
  <c r="Q208" i="100"/>
  <c r="Q207" i="100"/>
  <c r="Q206" i="100"/>
  <c r="Q205" i="100"/>
  <c r="Q204" i="100"/>
  <c r="Q203" i="100"/>
  <c r="Q202" i="100"/>
  <c r="Q201" i="100"/>
  <c r="Q200" i="100"/>
  <c r="Q199" i="100"/>
  <c r="Q198" i="100"/>
  <c r="Q197" i="100"/>
  <c r="Q196" i="100"/>
  <c r="Q195" i="100"/>
  <c r="Q194" i="100"/>
  <c r="Q193" i="100"/>
  <c r="Q192" i="100"/>
  <c r="Q191" i="100"/>
  <c r="Q190" i="100"/>
  <c r="Q189" i="100"/>
  <c r="Q188" i="100"/>
  <c r="Q187" i="100"/>
  <c r="Q186" i="100"/>
  <c r="Q185" i="100"/>
  <c r="Q184" i="100"/>
  <c r="Q183" i="100"/>
  <c r="Q182" i="100"/>
  <c r="Q181" i="100"/>
  <c r="Q180" i="100"/>
  <c r="Q179" i="100"/>
  <c r="Q178" i="100"/>
  <c r="Q177" i="100"/>
  <c r="Q176" i="100"/>
  <c r="Q175" i="100"/>
  <c r="Q174" i="100"/>
  <c r="Q173" i="100"/>
  <c r="Q172" i="100"/>
  <c r="Q171" i="100"/>
  <c r="Q170" i="100"/>
  <c r="Q169" i="100"/>
  <c r="Q168" i="100"/>
  <c r="Q167" i="100"/>
  <c r="Q166" i="100"/>
  <c r="Q165" i="100"/>
  <c r="Q164" i="100"/>
  <c r="Q163" i="100"/>
  <c r="Q162" i="100"/>
  <c r="Q161" i="100"/>
  <c r="Q160" i="100"/>
  <c r="Q159" i="100"/>
  <c r="Q158" i="100"/>
  <c r="Q157" i="100"/>
  <c r="Q156" i="100"/>
  <c r="Q155" i="100"/>
  <c r="Q154" i="100"/>
  <c r="Q153" i="100"/>
  <c r="Q152" i="100"/>
  <c r="Q151" i="100"/>
  <c r="Q150" i="100"/>
  <c r="Q149" i="100"/>
  <c r="Q148" i="100"/>
  <c r="Q147" i="100"/>
  <c r="Q146" i="100"/>
  <c r="Q145" i="100"/>
  <c r="Q144" i="100"/>
  <c r="Q143" i="100"/>
  <c r="Q142" i="100"/>
  <c r="Q141" i="100"/>
  <c r="Q140" i="100"/>
  <c r="Q139" i="100"/>
  <c r="Q138" i="100"/>
  <c r="Q137" i="100"/>
  <c r="Q136" i="100"/>
  <c r="Q135" i="100"/>
  <c r="Q134" i="100"/>
  <c r="Q133" i="100"/>
  <c r="Q132" i="100"/>
  <c r="Q131" i="100"/>
  <c r="Q130" i="100"/>
  <c r="Q129" i="100"/>
  <c r="Q128" i="100"/>
  <c r="Q127" i="100"/>
  <c r="Q126" i="100"/>
  <c r="Q125" i="100"/>
  <c r="Q124" i="100"/>
  <c r="Q123" i="100"/>
  <c r="Q122" i="100"/>
  <c r="Q121" i="100"/>
  <c r="Q120" i="100"/>
  <c r="Q119" i="100"/>
  <c r="Q118" i="100"/>
  <c r="Q117" i="100"/>
  <c r="Q116" i="100"/>
  <c r="Q115" i="100"/>
  <c r="Q114" i="100"/>
  <c r="Q113" i="100"/>
  <c r="Q112" i="100"/>
  <c r="Q111" i="100"/>
  <c r="Q110" i="100"/>
  <c r="Q109" i="100"/>
  <c r="Q108" i="100"/>
  <c r="Q107" i="100"/>
  <c r="Q106" i="100"/>
  <c r="Q105" i="100"/>
  <c r="Q104" i="100"/>
  <c r="Q103" i="100"/>
  <c r="Q102" i="100"/>
  <c r="Q101" i="100"/>
  <c r="Q100" i="100"/>
  <c r="Q99" i="100"/>
  <c r="Q98" i="100"/>
  <c r="Q97" i="100"/>
  <c r="Q96" i="100"/>
  <c r="Q95" i="100"/>
  <c r="Q94" i="100"/>
  <c r="Q93" i="100"/>
  <c r="Q92" i="100"/>
  <c r="Q91" i="100"/>
  <c r="Q90" i="100"/>
  <c r="Q89" i="100"/>
  <c r="Q88" i="100"/>
  <c r="Q87" i="100"/>
  <c r="Q86" i="100"/>
  <c r="Q85" i="100"/>
  <c r="Q84" i="100"/>
  <c r="Q83" i="100"/>
  <c r="Q82" i="100"/>
  <c r="Q81" i="100"/>
  <c r="Q80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R18" i="100"/>
  <c r="S18" i="100"/>
  <c r="D4" i="100"/>
  <c r="E31" i="126" a="1"/>
  <c r="E31" i="126" s="1"/>
  <c r="Q17" i="100"/>
  <c r="Q16" i="100"/>
  <c r="Q15" i="100"/>
  <c r="Q14" i="100"/>
  <c r="Q13" i="100"/>
  <c r="Q12" i="100"/>
  <c r="Q11" i="100"/>
  <c r="Q10" i="100"/>
  <c r="Q9" i="100"/>
  <c r="A2" i="100" a="1"/>
  <c r="A2" i="100" s="1"/>
  <c r="A1" i="100" s="1"/>
  <c r="D31" i="126" s="1" a="1"/>
  <c r="D31" i="126" s="1"/>
  <c r="Q208" i="99"/>
  <c r="Q207" i="99"/>
  <c r="Q206" i="99"/>
  <c r="Q205" i="99"/>
  <c r="Q204" i="99"/>
  <c r="Q203" i="99"/>
  <c r="Q202" i="99"/>
  <c r="Q201" i="99"/>
  <c r="Q200" i="99"/>
  <c r="Q199" i="99"/>
  <c r="Q198" i="99"/>
  <c r="Q197" i="99"/>
  <c r="Q196" i="99"/>
  <c r="Q195" i="99"/>
  <c r="Q194" i="99"/>
  <c r="Q193" i="99"/>
  <c r="Q192" i="99"/>
  <c r="Q191" i="99"/>
  <c r="Q190" i="99"/>
  <c r="Q189" i="99"/>
  <c r="Q188" i="99"/>
  <c r="Q187" i="99"/>
  <c r="Q186" i="99"/>
  <c r="Q185" i="99"/>
  <c r="Q184" i="99"/>
  <c r="Q183" i="99"/>
  <c r="Q182" i="99"/>
  <c r="Q181" i="99"/>
  <c r="Q180" i="99"/>
  <c r="Q179" i="99"/>
  <c r="Q178" i="99"/>
  <c r="Q177" i="99"/>
  <c r="Q176" i="99"/>
  <c r="Q175" i="99"/>
  <c r="Q174" i="99"/>
  <c r="Q173" i="99"/>
  <c r="Q172" i="99"/>
  <c r="Q171" i="99"/>
  <c r="Q170" i="99"/>
  <c r="Q169" i="99"/>
  <c r="Q168" i="99"/>
  <c r="Q167" i="99"/>
  <c r="Q166" i="99"/>
  <c r="Q165" i="99"/>
  <c r="Q164" i="99"/>
  <c r="Q163" i="99"/>
  <c r="Q162" i="99"/>
  <c r="Q161" i="99"/>
  <c r="Q160" i="99"/>
  <c r="Q159" i="99"/>
  <c r="Q158" i="99"/>
  <c r="Q157" i="99"/>
  <c r="Q156" i="99"/>
  <c r="Q155" i="99"/>
  <c r="Q154" i="99"/>
  <c r="Q153" i="99"/>
  <c r="Q152" i="99"/>
  <c r="Q151" i="99"/>
  <c r="Q150" i="99"/>
  <c r="Q149" i="99"/>
  <c r="Q148" i="99"/>
  <c r="Q147" i="99"/>
  <c r="Q146" i="99"/>
  <c r="Q145" i="99"/>
  <c r="Q144" i="99"/>
  <c r="Q143" i="99"/>
  <c r="Q142" i="99"/>
  <c r="Q141" i="99"/>
  <c r="Q140" i="99"/>
  <c r="Q139" i="99"/>
  <c r="Q138" i="99"/>
  <c r="Q137" i="99"/>
  <c r="Q136" i="99"/>
  <c r="Q135" i="99"/>
  <c r="Q134" i="99"/>
  <c r="Q133" i="99"/>
  <c r="Q132" i="99"/>
  <c r="Q131" i="99"/>
  <c r="Q130" i="99"/>
  <c r="Q129" i="99"/>
  <c r="Q128" i="99"/>
  <c r="Q127" i="99"/>
  <c r="Q126" i="99"/>
  <c r="Q125" i="99"/>
  <c r="Q124" i="99"/>
  <c r="Q123" i="99"/>
  <c r="Q122" i="99"/>
  <c r="Q121" i="99"/>
  <c r="Q120" i="99"/>
  <c r="Q119" i="99"/>
  <c r="Q118" i="99"/>
  <c r="Q117" i="99"/>
  <c r="Q116" i="99"/>
  <c r="Q115" i="99"/>
  <c r="Q114" i="99"/>
  <c r="Q113" i="99"/>
  <c r="Q112" i="99"/>
  <c r="Q111" i="99"/>
  <c r="Q110" i="99"/>
  <c r="Q109" i="99"/>
  <c r="Q108" i="99"/>
  <c r="Q107" i="99"/>
  <c r="Q106" i="99"/>
  <c r="Q105" i="99"/>
  <c r="Q104" i="99"/>
  <c r="Q103" i="99"/>
  <c r="Q102" i="99"/>
  <c r="Q101" i="99"/>
  <c r="Q100" i="99"/>
  <c r="Q99" i="99"/>
  <c r="Q98" i="99"/>
  <c r="Q97" i="99"/>
  <c r="Q96" i="99"/>
  <c r="Q95" i="99"/>
  <c r="Q94" i="99"/>
  <c r="Q93" i="99"/>
  <c r="Q92" i="99"/>
  <c r="Q91" i="99"/>
  <c r="Q90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R38" i="99"/>
  <c r="Q37" i="99"/>
  <c r="Q36" i="99"/>
  <c r="R36" i="99"/>
  <c r="S36" i="99"/>
  <c r="Q35" i="99"/>
  <c r="R35" i="99"/>
  <c r="S35" i="99"/>
  <c r="D4" i="99"/>
  <c r="E30" i="126" a="1"/>
  <c r="E30" i="126" s="1"/>
  <c r="Q34" i="99"/>
  <c r="R34" i="99"/>
  <c r="S34" i="99"/>
  <c r="Q33" i="99"/>
  <c r="Q32" i="99"/>
  <c r="R32" i="99"/>
  <c r="S32" i="99"/>
  <c r="Q31" i="99"/>
  <c r="R31" i="99"/>
  <c r="S31" i="99"/>
  <c r="Q30" i="99"/>
  <c r="R30" i="99"/>
  <c r="S30" i="99"/>
  <c r="Q29" i="99"/>
  <c r="Q28" i="99"/>
  <c r="R28" i="99"/>
  <c r="S28" i="99"/>
  <c r="Q27" i="99"/>
  <c r="R27" i="99"/>
  <c r="S27" i="99"/>
  <c r="Q26" i="99"/>
  <c r="R26" i="99"/>
  <c r="S26" i="99"/>
  <c r="Q25" i="99"/>
  <c r="R25" i="99"/>
  <c r="S25" i="99"/>
  <c r="Q24" i="99"/>
  <c r="Q23" i="99"/>
  <c r="Q22" i="99"/>
  <c r="R22" i="99"/>
  <c r="S22" i="99"/>
  <c r="Q21" i="99"/>
  <c r="R21" i="99"/>
  <c r="S21" i="99"/>
  <c r="Q20" i="99"/>
  <c r="R20" i="99"/>
  <c r="S20" i="99"/>
  <c r="Q19" i="99"/>
  <c r="R19" i="99"/>
  <c r="S19" i="99"/>
  <c r="Q18" i="99"/>
  <c r="Q17" i="99"/>
  <c r="Q16" i="99"/>
  <c r="R16" i="99"/>
  <c r="S16" i="99"/>
  <c r="Q15" i="99"/>
  <c r="R15" i="99"/>
  <c r="S15" i="99"/>
  <c r="Q14" i="99"/>
  <c r="R14" i="99"/>
  <c r="S14" i="99"/>
  <c r="Q13" i="99"/>
  <c r="R13" i="99"/>
  <c r="S13" i="99"/>
  <c r="Q12" i="99"/>
  <c r="Q11" i="99"/>
  <c r="R11" i="99"/>
  <c r="S11" i="99"/>
  <c r="Q10" i="99"/>
  <c r="R10" i="99"/>
  <c r="S10" i="99"/>
  <c r="Q9" i="99"/>
  <c r="R9" i="99"/>
  <c r="S9" i="99"/>
  <c r="A2" i="99" a="1"/>
  <c r="A2" i="99" s="1"/>
  <c r="A1" i="99" s="1"/>
  <c r="D30" i="126" s="1" a="1"/>
  <c r="D30" i="126" s="1"/>
  <c r="Q208" i="98"/>
  <c r="Q207" i="98"/>
  <c r="Q206" i="98"/>
  <c r="Q205" i="98"/>
  <c r="Q204" i="98"/>
  <c r="Q203" i="98"/>
  <c r="Q202" i="98"/>
  <c r="Q201" i="98"/>
  <c r="Q200" i="98"/>
  <c r="Q199" i="98"/>
  <c r="Q198" i="98"/>
  <c r="Q197" i="98"/>
  <c r="Q196" i="98"/>
  <c r="Q195" i="98"/>
  <c r="Q194" i="98"/>
  <c r="Q193" i="98"/>
  <c r="Q192" i="98"/>
  <c r="Q191" i="98"/>
  <c r="Q190" i="98"/>
  <c r="Q189" i="98"/>
  <c r="Q188" i="98"/>
  <c r="Q187" i="98"/>
  <c r="Q186" i="98"/>
  <c r="Q185" i="98"/>
  <c r="Q184" i="98"/>
  <c r="Q183" i="98"/>
  <c r="Q182" i="98"/>
  <c r="Q181" i="98"/>
  <c r="Q180" i="98"/>
  <c r="Q179" i="98"/>
  <c r="Q178" i="98"/>
  <c r="Q177" i="98"/>
  <c r="Q176" i="98"/>
  <c r="Q175" i="98"/>
  <c r="Q174" i="98"/>
  <c r="Q173" i="98"/>
  <c r="Q172" i="98"/>
  <c r="Q171" i="98"/>
  <c r="Q170" i="98"/>
  <c r="Q169" i="98"/>
  <c r="Q168" i="98"/>
  <c r="Q167" i="98"/>
  <c r="Q166" i="98"/>
  <c r="Q165" i="98"/>
  <c r="Q164" i="98"/>
  <c r="Q163" i="98"/>
  <c r="Q162" i="98"/>
  <c r="Q161" i="98"/>
  <c r="Q160" i="98"/>
  <c r="Q159" i="98"/>
  <c r="Q158" i="98"/>
  <c r="Q157" i="98"/>
  <c r="Q156" i="98"/>
  <c r="Q155" i="98"/>
  <c r="Q154" i="98"/>
  <c r="Q153" i="98"/>
  <c r="Q152" i="98"/>
  <c r="Q151" i="98"/>
  <c r="Q150" i="98"/>
  <c r="Q149" i="98"/>
  <c r="Q148" i="98"/>
  <c r="Q147" i="98"/>
  <c r="Q146" i="98"/>
  <c r="Q145" i="98"/>
  <c r="Q144" i="98"/>
  <c r="Q143" i="98"/>
  <c r="Q142" i="98"/>
  <c r="Q141" i="98"/>
  <c r="Q140" i="98"/>
  <c r="Q139" i="98"/>
  <c r="Q138" i="98"/>
  <c r="Q137" i="98"/>
  <c r="Q136" i="98"/>
  <c r="Q135" i="98"/>
  <c r="Q134" i="98"/>
  <c r="Q133" i="98"/>
  <c r="Q132" i="98"/>
  <c r="Q131" i="98"/>
  <c r="Q130" i="98"/>
  <c r="Q129" i="98"/>
  <c r="Q128" i="98"/>
  <c r="Q127" i="98"/>
  <c r="Q126" i="98"/>
  <c r="Q125" i="98"/>
  <c r="Q124" i="98"/>
  <c r="Q123" i="98"/>
  <c r="Q122" i="98"/>
  <c r="Q121" i="98"/>
  <c r="Q120" i="98"/>
  <c r="Q119" i="98"/>
  <c r="Q118" i="98"/>
  <c r="Q117" i="98"/>
  <c r="Q116" i="98"/>
  <c r="Q115" i="98"/>
  <c r="Q114" i="98"/>
  <c r="Q113" i="98"/>
  <c r="Q112" i="98"/>
  <c r="Q111" i="98"/>
  <c r="Q110" i="98"/>
  <c r="Q109" i="98"/>
  <c r="Q108" i="98"/>
  <c r="Q107" i="98"/>
  <c r="Q106" i="98"/>
  <c r="Q105" i="98"/>
  <c r="Q104" i="98"/>
  <c r="Q103" i="98"/>
  <c r="Q102" i="98"/>
  <c r="Q101" i="98"/>
  <c r="Q100" i="98"/>
  <c r="Q99" i="98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R32" i="98" s="1"/>
  <c r="S32" i="98" s="1"/>
  <c r="Q31" i="98"/>
  <c r="R31" i="98" s="1"/>
  <c r="S31" i="98" s="1"/>
  <c r="Q30" i="98"/>
  <c r="R30" i="98"/>
  <c r="Q29" i="98"/>
  <c r="R29" i="98"/>
  <c r="Q28" i="98"/>
  <c r="R28" i="98"/>
  <c r="S28" i="98"/>
  <c r="Q27" i="98"/>
  <c r="R27" i="98"/>
  <c r="S27" i="98"/>
  <c r="Q26" i="98"/>
  <c r="Q25" i="98"/>
  <c r="Q24" i="98"/>
  <c r="R24" i="98"/>
  <c r="S24" i="98"/>
  <c r="Q23" i="98"/>
  <c r="Q22" i="98"/>
  <c r="Q21" i="98"/>
  <c r="Q18" i="98"/>
  <c r="Q17" i="98"/>
  <c r="Q16" i="98"/>
  <c r="Q15" i="98"/>
  <c r="Q14" i="98"/>
  <c r="Q13" i="98"/>
  <c r="Q12" i="98"/>
  <c r="Q11" i="98"/>
  <c r="Q10" i="98"/>
  <c r="Q9" i="98"/>
  <c r="A2" i="98" a="1"/>
  <c r="A2" i="98" s="1"/>
  <c r="A1" i="98" s="1"/>
  <c r="D29" i="126" s="1" a="1"/>
  <c r="D29" i="126" s="1"/>
  <c r="Q208" i="97"/>
  <c r="Q207" i="97"/>
  <c r="Q206" i="97"/>
  <c r="Q205" i="97"/>
  <c r="Q204" i="97"/>
  <c r="Q203" i="97"/>
  <c r="Q202" i="97"/>
  <c r="Q201" i="97"/>
  <c r="Q200" i="97"/>
  <c r="Q199" i="97"/>
  <c r="Q198" i="97"/>
  <c r="Q197" i="97"/>
  <c r="Q196" i="97"/>
  <c r="Q195" i="97"/>
  <c r="Q194" i="97"/>
  <c r="Q193" i="97"/>
  <c r="Q192" i="97"/>
  <c r="Q191" i="97"/>
  <c r="Q190" i="97"/>
  <c r="Q189" i="97"/>
  <c r="Q188" i="97"/>
  <c r="Q187" i="97"/>
  <c r="Q186" i="97"/>
  <c r="Q185" i="97"/>
  <c r="Q184" i="97"/>
  <c r="Q183" i="97"/>
  <c r="Q182" i="97"/>
  <c r="Q181" i="97"/>
  <c r="Q180" i="97"/>
  <c r="Q179" i="97"/>
  <c r="Q178" i="97"/>
  <c r="Q177" i="97"/>
  <c r="Q176" i="97"/>
  <c r="Q175" i="97"/>
  <c r="Q174" i="97"/>
  <c r="Q173" i="97"/>
  <c r="Q172" i="97"/>
  <c r="Q171" i="97"/>
  <c r="Q170" i="97"/>
  <c r="Q169" i="97"/>
  <c r="Q168" i="97"/>
  <c r="Q167" i="97"/>
  <c r="Q166" i="97"/>
  <c r="Q165" i="97"/>
  <c r="Q164" i="97"/>
  <c r="Q163" i="97"/>
  <c r="Q162" i="97"/>
  <c r="Q161" i="97"/>
  <c r="Q160" i="97"/>
  <c r="Q159" i="97"/>
  <c r="Q158" i="97"/>
  <c r="Q157" i="97"/>
  <c r="Q156" i="97"/>
  <c r="Q155" i="97"/>
  <c r="Q154" i="97"/>
  <c r="Q153" i="97"/>
  <c r="Q152" i="97"/>
  <c r="Q151" i="97"/>
  <c r="Q150" i="97"/>
  <c r="Q149" i="97"/>
  <c r="Q148" i="97"/>
  <c r="Q147" i="97"/>
  <c r="Q146" i="97"/>
  <c r="Q145" i="97"/>
  <c r="Q144" i="97"/>
  <c r="Q143" i="97"/>
  <c r="Q142" i="97"/>
  <c r="Q141" i="97"/>
  <c r="Q140" i="97"/>
  <c r="Q139" i="97"/>
  <c r="Q138" i="97"/>
  <c r="Q137" i="97"/>
  <c r="Q136" i="97"/>
  <c r="Q135" i="97"/>
  <c r="Q134" i="97"/>
  <c r="Q133" i="97"/>
  <c r="Q132" i="97"/>
  <c r="Q131" i="97"/>
  <c r="Q130" i="97"/>
  <c r="Q129" i="97"/>
  <c r="Q128" i="97"/>
  <c r="Q127" i="97"/>
  <c r="Q126" i="97"/>
  <c r="Q125" i="97"/>
  <c r="Q124" i="97"/>
  <c r="Q123" i="97"/>
  <c r="Q122" i="97"/>
  <c r="Q121" i="97"/>
  <c r="Q120" i="97"/>
  <c r="Q119" i="97"/>
  <c r="Q118" i="97"/>
  <c r="Q117" i="97"/>
  <c r="Q116" i="97"/>
  <c r="Q115" i="97"/>
  <c r="Q114" i="97"/>
  <c r="Q113" i="97"/>
  <c r="Q112" i="97"/>
  <c r="Q111" i="97"/>
  <c r="Q110" i="97"/>
  <c r="Q109" i="97"/>
  <c r="Q108" i="97"/>
  <c r="Q107" i="97"/>
  <c r="Q106" i="97"/>
  <c r="Q105" i="97"/>
  <c r="Q104" i="97"/>
  <c r="Q103" i="97"/>
  <c r="Q102" i="97"/>
  <c r="Q101" i="97"/>
  <c r="Q100" i="97"/>
  <c r="Q99" i="97"/>
  <c r="Q98" i="97"/>
  <c r="Q97" i="97"/>
  <c r="Q96" i="97"/>
  <c r="Q95" i="97"/>
  <c r="Q94" i="97"/>
  <c r="Q93" i="97"/>
  <c r="Q92" i="97"/>
  <c r="Q91" i="97"/>
  <c r="Q90" i="97"/>
  <c r="Q89" i="97"/>
  <c r="Q88" i="97"/>
  <c r="Q87" i="97"/>
  <c r="Q86" i="97"/>
  <c r="Q85" i="97"/>
  <c r="Q84" i="97"/>
  <c r="Q83" i="97"/>
  <c r="Q82" i="97"/>
  <c r="Q81" i="97"/>
  <c r="Q80" i="97"/>
  <c r="Q79" i="97"/>
  <c r="Q78" i="97"/>
  <c r="Q77" i="97"/>
  <c r="Q76" i="97"/>
  <c r="Q75" i="97"/>
  <c r="Q74" i="97"/>
  <c r="Q73" i="97"/>
  <c r="Q72" i="97"/>
  <c r="Q71" i="97"/>
  <c r="Q70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A2" i="97" a="1"/>
  <c r="A2" i="97" s="1"/>
  <c r="A1" i="97" s="1"/>
  <c r="D28" i="126" s="1" a="1"/>
  <c r="D28" i="126" s="1"/>
  <c r="R208" i="96"/>
  <c r="Q208" i="96"/>
  <c r="R207" i="96"/>
  <c r="Q207" i="96"/>
  <c r="R206" i="96"/>
  <c r="Q206" i="96"/>
  <c r="R205" i="96"/>
  <c r="Q205" i="96"/>
  <c r="R204" i="96"/>
  <c r="Q204" i="96"/>
  <c r="R203" i="96"/>
  <c r="Q203" i="96"/>
  <c r="R202" i="96"/>
  <c r="Q202" i="96"/>
  <c r="R201" i="96"/>
  <c r="Q201" i="96"/>
  <c r="R200" i="96"/>
  <c r="Q200" i="96"/>
  <c r="R199" i="96"/>
  <c r="Q199" i="96"/>
  <c r="R198" i="96"/>
  <c r="Q198" i="96"/>
  <c r="R197" i="96"/>
  <c r="Q197" i="96"/>
  <c r="R196" i="96"/>
  <c r="Q196" i="96"/>
  <c r="R195" i="96"/>
  <c r="Q195" i="96"/>
  <c r="R194" i="96"/>
  <c r="Q194" i="96"/>
  <c r="R193" i="96"/>
  <c r="Q193" i="96"/>
  <c r="R192" i="96"/>
  <c r="Q192" i="96"/>
  <c r="R191" i="96"/>
  <c r="Q191" i="96"/>
  <c r="R190" i="96"/>
  <c r="Q190" i="96"/>
  <c r="R189" i="96"/>
  <c r="Q189" i="96"/>
  <c r="R188" i="96"/>
  <c r="Q188" i="96"/>
  <c r="R187" i="96"/>
  <c r="Q187" i="96"/>
  <c r="R186" i="96"/>
  <c r="Q186" i="96"/>
  <c r="R185" i="96"/>
  <c r="Q185" i="96"/>
  <c r="R184" i="96"/>
  <c r="Q184" i="96"/>
  <c r="R183" i="96"/>
  <c r="Q183" i="96"/>
  <c r="R182" i="96"/>
  <c r="Q182" i="96"/>
  <c r="R181" i="96"/>
  <c r="Q181" i="96"/>
  <c r="R180" i="96"/>
  <c r="Q180" i="96"/>
  <c r="R179" i="96"/>
  <c r="Q179" i="96"/>
  <c r="R178" i="96"/>
  <c r="Q178" i="96"/>
  <c r="R177" i="96"/>
  <c r="Q177" i="96"/>
  <c r="R176" i="96"/>
  <c r="Q176" i="96"/>
  <c r="R175" i="96"/>
  <c r="Q175" i="96"/>
  <c r="R174" i="96"/>
  <c r="Q174" i="96"/>
  <c r="R173" i="96"/>
  <c r="Q173" i="96"/>
  <c r="R172" i="96"/>
  <c r="Q172" i="96"/>
  <c r="R171" i="96"/>
  <c r="Q171" i="96"/>
  <c r="R170" i="96"/>
  <c r="Q170" i="96"/>
  <c r="R169" i="96"/>
  <c r="Q169" i="96"/>
  <c r="R168" i="96"/>
  <c r="Q168" i="96"/>
  <c r="R167" i="96"/>
  <c r="Q167" i="96"/>
  <c r="R166" i="96"/>
  <c r="Q166" i="96"/>
  <c r="R165" i="96"/>
  <c r="Q165" i="96"/>
  <c r="R164" i="96"/>
  <c r="Q164" i="96"/>
  <c r="R163" i="96"/>
  <c r="Q163" i="96"/>
  <c r="R162" i="96"/>
  <c r="Q162" i="96"/>
  <c r="R161" i="96"/>
  <c r="Q161" i="96"/>
  <c r="R160" i="96"/>
  <c r="Q160" i="96"/>
  <c r="R159" i="96"/>
  <c r="Q159" i="96"/>
  <c r="R158" i="96"/>
  <c r="Q158" i="96"/>
  <c r="R157" i="96"/>
  <c r="Q157" i="96"/>
  <c r="R156" i="96"/>
  <c r="Q156" i="96"/>
  <c r="R155" i="96"/>
  <c r="Q155" i="96"/>
  <c r="R154" i="96"/>
  <c r="Q154" i="96"/>
  <c r="R153" i="96"/>
  <c r="Q153" i="96"/>
  <c r="R152" i="96"/>
  <c r="Q152" i="96"/>
  <c r="R151" i="96"/>
  <c r="Q151" i="96"/>
  <c r="R150" i="96"/>
  <c r="Q150" i="96"/>
  <c r="R149" i="96"/>
  <c r="Q149" i="96"/>
  <c r="R148" i="96"/>
  <c r="Q148" i="96"/>
  <c r="R147" i="96"/>
  <c r="Q147" i="96"/>
  <c r="R146" i="96"/>
  <c r="Q146" i="96"/>
  <c r="R145" i="96"/>
  <c r="Q145" i="96"/>
  <c r="R144" i="96"/>
  <c r="Q144" i="96"/>
  <c r="R143" i="96"/>
  <c r="Q143" i="96"/>
  <c r="R142" i="96"/>
  <c r="Q142" i="96"/>
  <c r="R141" i="96"/>
  <c r="Q141" i="96"/>
  <c r="R140" i="96"/>
  <c r="Q140" i="96"/>
  <c r="R139" i="96"/>
  <c r="Q139" i="96"/>
  <c r="R138" i="96"/>
  <c r="Q138" i="96"/>
  <c r="R137" i="96"/>
  <c r="Q137" i="96"/>
  <c r="R136" i="96"/>
  <c r="Q136" i="96"/>
  <c r="R135" i="96"/>
  <c r="Q135" i="96"/>
  <c r="R134" i="96"/>
  <c r="Q134" i="96"/>
  <c r="R133" i="96"/>
  <c r="Q133" i="96"/>
  <c r="R132" i="96"/>
  <c r="Q132" i="96"/>
  <c r="R131" i="96"/>
  <c r="Q131" i="96"/>
  <c r="R130" i="96"/>
  <c r="Q130" i="96"/>
  <c r="R129" i="96"/>
  <c r="Q129" i="96"/>
  <c r="R128" i="96"/>
  <c r="Q128" i="96"/>
  <c r="R127" i="96"/>
  <c r="Q127" i="96"/>
  <c r="R126" i="96"/>
  <c r="Q126" i="96"/>
  <c r="R125" i="96"/>
  <c r="Q125" i="96"/>
  <c r="R124" i="96"/>
  <c r="Q124" i="96"/>
  <c r="R123" i="96"/>
  <c r="Q123" i="96"/>
  <c r="R122" i="96"/>
  <c r="Q122" i="96"/>
  <c r="R121" i="96"/>
  <c r="Q121" i="96"/>
  <c r="R120" i="96"/>
  <c r="Q120" i="96"/>
  <c r="R119" i="96"/>
  <c r="Q119" i="96"/>
  <c r="R118" i="96"/>
  <c r="Q118" i="96"/>
  <c r="R117" i="96"/>
  <c r="Q117" i="96"/>
  <c r="R116" i="96"/>
  <c r="Q116" i="96"/>
  <c r="R115" i="96"/>
  <c r="Q115" i="96"/>
  <c r="R114" i="96"/>
  <c r="Q114" i="96"/>
  <c r="R113" i="96"/>
  <c r="Q113" i="96"/>
  <c r="R112" i="96"/>
  <c r="Q112" i="96"/>
  <c r="R111" i="96"/>
  <c r="Q111" i="96"/>
  <c r="R110" i="96"/>
  <c r="Q110" i="96"/>
  <c r="R109" i="96"/>
  <c r="Q109" i="96"/>
  <c r="R108" i="96"/>
  <c r="Q108" i="96"/>
  <c r="R107" i="96"/>
  <c r="Q107" i="96"/>
  <c r="R106" i="96"/>
  <c r="Q106" i="96"/>
  <c r="R105" i="96"/>
  <c r="Q105" i="96"/>
  <c r="R104" i="96"/>
  <c r="Q104" i="96"/>
  <c r="R103" i="96"/>
  <c r="Q103" i="96"/>
  <c r="R102" i="96"/>
  <c r="Q102" i="96"/>
  <c r="R101" i="96"/>
  <c r="Q101" i="96"/>
  <c r="R100" i="96"/>
  <c r="Q100" i="96"/>
  <c r="R99" i="96"/>
  <c r="Q99" i="96"/>
  <c r="R98" i="96"/>
  <c r="Q98" i="96"/>
  <c r="R97" i="96"/>
  <c r="Q97" i="96"/>
  <c r="R96" i="96"/>
  <c r="Q96" i="96"/>
  <c r="R95" i="96"/>
  <c r="Q95" i="96"/>
  <c r="R94" i="96"/>
  <c r="Q94" i="96"/>
  <c r="R93" i="96"/>
  <c r="Q93" i="96"/>
  <c r="R92" i="96"/>
  <c r="Q92" i="96"/>
  <c r="R91" i="96"/>
  <c r="Q91" i="96"/>
  <c r="R90" i="96"/>
  <c r="Q90" i="96"/>
  <c r="R89" i="96"/>
  <c r="Q89" i="96"/>
  <c r="R88" i="96"/>
  <c r="Q88" i="96"/>
  <c r="R87" i="96"/>
  <c r="Q87" i="96"/>
  <c r="R86" i="96"/>
  <c r="Q86" i="96"/>
  <c r="R85" i="96"/>
  <c r="Q85" i="96"/>
  <c r="R84" i="96"/>
  <c r="Q84" i="96"/>
  <c r="R83" i="96"/>
  <c r="Q83" i="96"/>
  <c r="R82" i="96"/>
  <c r="Q82" i="96"/>
  <c r="R81" i="96"/>
  <c r="Q81" i="96"/>
  <c r="R80" i="96"/>
  <c r="Q80" i="96"/>
  <c r="R79" i="96"/>
  <c r="Q79" i="96"/>
  <c r="R78" i="96"/>
  <c r="Q78" i="96"/>
  <c r="R77" i="96"/>
  <c r="Q77" i="96"/>
  <c r="R76" i="96"/>
  <c r="Q76" i="96"/>
  <c r="R75" i="96"/>
  <c r="Q75" i="96"/>
  <c r="R74" i="96"/>
  <c r="Q74" i="96"/>
  <c r="R73" i="96"/>
  <c r="Q73" i="96"/>
  <c r="R72" i="96"/>
  <c r="Q72" i="96"/>
  <c r="R71" i="96"/>
  <c r="Q71" i="96"/>
  <c r="R70" i="96"/>
  <c r="Q70" i="96"/>
  <c r="R69" i="96"/>
  <c r="Q69" i="96"/>
  <c r="R68" i="96"/>
  <c r="Q68" i="96"/>
  <c r="R67" i="96"/>
  <c r="Q67" i="96"/>
  <c r="R66" i="96"/>
  <c r="Q66" i="96"/>
  <c r="R65" i="96"/>
  <c r="Q65" i="96"/>
  <c r="R64" i="96"/>
  <c r="Q64" i="96"/>
  <c r="R63" i="96"/>
  <c r="Q63" i="96"/>
  <c r="R62" i="96"/>
  <c r="Q62" i="96"/>
  <c r="R61" i="96"/>
  <c r="Q61" i="96"/>
  <c r="R60" i="96"/>
  <c r="Q60" i="96"/>
  <c r="R59" i="96"/>
  <c r="Q59" i="96"/>
  <c r="R58" i="96"/>
  <c r="Q58" i="96"/>
  <c r="R57" i="96"/>
  <c r="Q57" i="96"/>
  <c r="R56" i="96"/>
  <c r="Q56" i="96"/>
  <c r="R55" i="96"/>
  <c r="Q55" i="96"/>
  <c r="R54" i="96"/>
  <c r="Q54" i="96"/>
  <c r="R53" i="96"/>
  <c r="Q53" i="96"/>
  <c r="R52" i="96"/>
  <c r="Q52" i="96"/>
  <c r="R51" i="96"/>
  <c r="Q51" i="96"/>
  <c r="R50" i="96"/>
  <c r="Q50" i="96"/>
  <c r="R49" i="96"/>
  <c r="Q49" i="96"/>
  <c r="R48" i="96"/>
  <c r="Q48" i="96"/>
  <c r="R47" i="96"/>
  <c r="Q47" i="96"/>
  <c r="R46" i="96"/>
  <c r="Q46" i="96"/>
  <c r="R45" i="96"/>
  <c r="Q45" i="96"/>
  <c r="R44" i="96"/>
  <c r="Q44" i="96"/>
  <c r="R43" i="96"/>
  <c r="Q43" i="96"/>
  <c r="R42" i="96"/>
  <c r="Q42" i="96"/>
  <c r="R41" i="96"/>
  <c r="Q41" i="96"/>
  <c r="R40" i="96"/>
  <c r="Q40" i="96"/>
  <c r="R39" i="96"/>
  <c r="Q39" i="96"/>
  <c r="R38" i="96"/>
  <c r="Q38" i="96"/>
  <c r="R37" i="96"/>
  <c r="Q37" i="96"/>
  <c r="R36" i="96"/>
  <c r="Q36" i="96"/>
  <c r="R35" i="96"/>
  <c r="Q35" i="96"/>
  <c r="R34" i="96"/>
  <c r="Q34" i="96"/>
  <c r="R33" i="96"/>
  <c r="Q33" i="96"/>
  <c r="R32" i="96"/>
  <c r="Q32" i="96"/>
  <c r="R31" i="96"/>
  <c r="Q31" i="96"/>
  <c r="R30" i="96"/>
  <c r="Q30" i="96"/>
  <c r="R29" i="96"/>
  <c r="Q29" i="96"/>
  <c r="R28" i="96"/>
  <c r="Q28" i="96"/>
  <c r="R27" i="96"/>
  <c r="Q27" i="96"/>
  <c r="R26" i="96"/>
  <c r="Q26" i="96"/>
  <c r="R25" i="96"/>
  <c r="Q25" i="96"/>
  <c r="R24" i="96"/>
  <c r="Q24" i="96"/>
  <c r="R23" i="96"/>
  <c r="Q23" i="96"/>
  <c r="R22" i="96"/>
  <c r="Q22" i="96"/>
  <c r="R21" i="96"/>
  <c r="Q21" i="96"/>
  <c r="R20" i="96"/>
  <c r="Q20" i="96"/>
  <c r="R19" i="96"/>
  <c r="Q19" i="96"/>
  <c r="R18" i="96"/>
  <c r="Q18" i="96"/>
  <c r="R17" i="96"/>
  <c r="Q17" i="96"/>
  <c r="R16" i="96"/>
  <c r="Q16" i="96"/>
  <c r="R15" i="96"/>
  <c r="Q15" i="96"/>
  <c r="R14" i="96"/>
  <c r="Q14" i="96"/>
  <c r="R13" i="96"/>
  <c r="Q13" i="96"/>
  <c r="R12" i="96"/>
  <c r="Q12" i="96"/>
  <c r="R11" i="96"/>
  <c r="Q11" i="96"/>
  <c r="R10" i="96"/>
  <c r="Q10" i="96"/>
  <c r="R9" i="96"/>
  <c r="D4" i="96"/>
  <c r="Q9" i="96"/>
  <c r="A2" i="96" a="1"/>
  <c r="A2" i="96" s="1"/>
  <c r="A1" i="96" s="1"/>
  <c r="D26" i="126" s="1" a="1"/>
  <c r="D26" i="126" s="1"/>
  <c r="R208" i="95"/>
  <c r="Q208" i="95"/>
  <c r="R207" i="95"/>
  <c r="Q207" i="95"/>
  <c r="R206" i="95"/>
  <c r="Q206" i="95"/>
  <c r="R205" i="95"/>
  <c r="Q205" i="95"/>
  <c r="R204" i="95"/>
  <c r="Q204" i="95"/>
  <c r="R203" i="95"/>
  <c r="Q203" i="95"/>
  <c r="R202" i="95"/>
  <c r="Q202" i="95"/>
  <c r="R201" i="95"/>
  <c r="Q201" i="95"/>
  <c r="R200" i="95"/>
  <c r="Q200" i="95"/>
  <c r="R199" i="95"/>
  <c r="Q199" i="95"/>
  <c r="R198" i="95"/>
  <c r="Q198" i="95"/>
  <c r="R197" i="95"/>
  <c r="Q197" i="95"/>
  <c r="R196" i="95"/>
  <c r="Q196" i="95"/>
  <c r="R195" i="95"/>
  <c r="Q195" i="95"/>
  <c r="R194" i="95"/>
  <c r="Q194" i="95"/>
  <c r="R193" i="95"/>
  <c r="Q193" i="95"/>
  <c r="R192" i="95"/>
  <c r="Q192" i="95"/>
  <c r="R191" i="95"/>
  <c r="Q191" i="95"/>
  <c r="R190" i="95"/>
  <c r="Q190" i="95"/>
  <c r="R189" i="95"/>
  <c r="Q189" i="95"/>
  <c r="R188" i="95"/>
  <c r="Q188" i="95"/>
  <c r="R187" i="95"/>
  <c r="Q187" i="95"/>
  <c r="R186" i="95"/>
  <c r="Q186" i="95"/>
  <c r="R185" i="95"/>
  <c r="Q185" i="95"/>
  <c r="R184" i="95"/>
  <c r="Q184" i="95"/>
  <c r="R183" i="95"/>
  <c r="Q183" i="95"/>
  <c r="R182" i="95"/>
  <c r="Q182" i="95"/>
  <c r="R181" i="95"/>
  <c r="Q181" i="95"/>
  <c r="R180" i="95"/>
  <c r="Q180" i="95"/>
  <c r="R179" i="95"/>
  <c r="Q179" i="95"/>
  <c r="R178" i="95"/>
  <c r="Q178" i="95"/>
  <c r="R177" i="95"/>
  <c r="Q177" i="95"/>
  <c r="R176" i="95"/>
  <c r="Q176" i="95"/>
  <c r="R175" i="95"/>
  <c r="Q175" i="95"/>
  <c r="R174" i="95"/>
  <c r="Q174" i="95"/>
  <c r="R173" i="95"/>
  <c r="Q173" i="95"/>
  <c r="R172" i="95"/>
  <c r="Q172" i="95"/>
  <c r="R171" i="95"/>
  <c r="Q171" i="95"/>
  <c r="R170" i="95"/>
  <c r="Q170" i="95"/>
  <c r="R169" i="95"/>
  <c r="Q169" i="95"/>
  <c r="R168" i="95"/>
  <c r="Q168" i="95"/>
  <c r="R167" i="95"/>
  <c r="Q167" i="95"/>
  <c r="R166" i="95"/>
  <c r="Q166" i="95"/>
  <c r="R165" i="95"/>
  <c r="Q165" i="95"/>
  <c r="R164" i="95"/>
  <c r="Q164" i="95"/>
  <c r="R163" i="95"/>
  <c r="Q163" i="95"/>
  <c r="R162" i="95"/>
  <c r="Q162" i="95"/>
  <c r="R161" i="95"/>
  <c r="Q161" i="95"/>
  <c r="R160" i="95"/>
  <c r="Q160" i="95"/>
  <c r="R159" i="95"/>
  <c r="Q159" i="95"/>
  <c r="R158" i="95"/>
  <c r="Q158" i="95"/>
  <c r="R157" i="95"/>
  <c r="Q157" i="95"/>
  <c r="R156" i="95"/>
  <c r="Q156" i="95"/>
  <c r="R155" i="95"/>
  <c r="Q155" i="95"/>
  <c r="R154" i="95"/>
  <c r="Q154" i="95"/>
  <c r="R153" i="95"/>
  <c r="Q153" i="95"/>
  <c r="R152" i="95"/>
  <c r="Q152" i="95"/>
  <c r="R151" i="95"/>
  <c r="Q151" i="95"/>
  <c r="R150" i="95"/>
  <c r="Q150" i="95"/>
  <c r="R149" i="95"/>
  <c r="Q149" i="95"/>
  <c r="R148" i="95"/>
  <c r="Q148" i="95"/>
  <c r="R147" i="95"/>
  <c r="Q147" i="95"/>
  <c r="R146" i="95"/>
  <c r="Q146" i="95"/>
  <c r="R145" i="95"/>
  <c r="Q145" i="95"/>
  <c r="R144" i="95"/>
  <c r="Q144" i="95"/>
  <c r="R143" i="95"/>
  <c r="Q143" i="95"/>
  <c r="R142" i="95"/>
  <c r="Q142" i="95"/>
  <c r="R141" i="95"/>
  <c r="Q141" i="95"/>
  <c r="R140" i="95"/>
  <c r="Q140" i="95"/>
  <c r="R139" i="95"/>
  <c r="Q139" i="95"/>
  <c r="R138" i="95"/>
  <c r="Q138" i="95"/>
  <c r="R137" i="95"/>
  <c r="Q137" i="95"/>
  <c r="R136" i="95"/>
  <c r="Q136" i="95"/>
  <c r="R135" i="95"/>
  <c r="Q135" i="95"/>
  <c r="R134" i="95"/>
  <c r="Q134" i="95"/>
  <c r="R133" i="95"/>
  <c r="Q133" i="95"/>
  <c r="R132" i="95"/>
  <c r="Q132" i="95"/>
  <c r="R131" i="95"/>
  <c r="Q131" i="95"/>
  <c r="R130" i="95"/>
  <c r="Q130" i="95"/>
  <c r="R129" i="95"/>
  <c r="Q129" i="95"/>
  <c r="R128" i="95"/>
  <c r="Q128" i="95"/>
  <c r="R127" i="95"/>
  <c r="Q127" i="95"/>
  <c r="R126" i="95"/>
  <c r="Q126" i="95"/>
  <c r="R125" i="95"/>
  <c r="Q125" i="95"/>
  <c r="R124" i="95"/>
  <c r="Q124" i="95"/>
  <c r="R123" i="95"/>
  <c r="Q123" i="95"/>
  <c r="R122" i="95"/>
  <c r="Q122" i="95"/>
  <c r="R121" i="95"/>
  <c r="Q121" i="95"/>
  <c r="R120" i="95"/>
  <c r="Q120" i="95"/>
  <c r="R119" i="95"/>
  <c r="Q119" i="95"/>
  <c r="R118" i="95"/>
  <c r="Q118" i="95"/>
  <c r="R117" i="95"/>
  <c r="Q117" i="95"/>
  <c r="R116" i="95"/>
  <c r="Q116" i="95"/>
  <c r="R115" i="95"/>
  <c r="Q115" i="95"/>
  <c r="R114" i="95"/>
  <c r="Q114" i="95"/>
  <c r="R113" i="95"/>
  <c r="Q113" i="95"/>
  <c r="R112" i="95"/>
  <c r="Q112" i="95"/>
  <c r="R111" i="95"/>
  <c r="Q111" i="95"/>
  <c r="R110" i="95"/>
  <c r="Q110" i="95"/>
  <c r="R109" i="95"/>
  <c r="Q109" i="95"/>
  <c r="R108" i="95"/>
  <c r="Q108" i="95"/>
  <c r="R107" i="95"/>
  <c r="Q107" i="95"/>
  <c r="R106" i="95"/>
  <c r="Q106" i="95"/>
  <c r="R105" i="95"/>
  <c r="Q105" i="95"/>
  <c r="R104" i="95"/>
  <c r="Q104" i="95"/>
  <c r="R103" i="95"/>
  <c r="Q103" i="95"/>
  <c r="R102" i="95"/>
  <c r="Q102" i="95"/>
  <c r="R101" i="95"/>
  <c r="Q101" i="95"/>
  <c r="R100" i="95"/>
  <c r="Q100" i="95"/>
  <c r="R99" i="95"/>
  <c r="Q99" i="95"/>
  <c r="R98" i="95"/>
  <c r="Q98" i="95"/>
  <c r="R97" i="95"/>
  <c r="Q97" i="95"/>
  <c r="R96" i="95"/>
  <c r="Q96" i="95"/>
  <c r="R95" i="95"/>
  <c r="Q95" i="95"/>
  <c r="R94" i="95"/>
  <c r="Q94" i="95"/>
  <c r="R93" i="95"/>
  <c r="Q93" i="95"/>
  <c r="R92" i="95"/>
  <c r="Q92" i="95"/>
  <c r="R91" i="95"/>
  <c r="Q91" i="95"/>
  <c r="R90" i="95"/>
  <c r="Q90" i="95"/>
  <c r="R89" i="95"/>
  <c r="Q89" i="95"/>
  <c r="R88" i="95"/>
  <c r="Q88" i="95"/>
  <c r="R87" i="95"/>
  <c r="Q87" i="95"/>
  <c r="R86" i="95"/>
  <c r="Q86" i="95"/>
  <c r="R85" i="95"/>
  <c r="Q85" i="95"/>
  <c r="R84" i="95"/>
  <c r="Q84" i="95"/>
  <c r="R83" i="95"/>
  <c r="Q83" i="95"/>
  <c r="R82" i="95"/>
  <c r="Q82" i="95"/>
  <c r="R81" i="95"/>
  <c r="Q81" i="95"/>
  <c r="R80" i="95"/>
  <c r="Q80" i="95"/>
  <c r="R79" i="95"/>
  <c r="Q79" i="95"/>
  <c r="R78" i="95"/>
  <c r="Q78" i="95"/>
  <c r="R77" i="95"/>
  <c r="Q77" i="95"/>
  <c r="R76" i="95"/>
  <c r="Q76" i="95"/>
  <c r="R75" i="95"/>
  <c r="Q75" i="95"/>
  <c r="R74" i="95"/>
  <c r="Q74" i="95"/>
  <c r="R73" i="95"/>
  <c r="Q73" i="95"/>
  <c r="R72" i="95"/>
  <c r="Q72" i="95"/>
  <c r="R71" i="95"/>
  <c r="Q71" i="95"/>
  <c r="R70" i="95"/>
  <c r="Q70" i="95"/>
  <c r="R69" i="95"/>
  <c r="Q69" i="95"/>
  <c r="R68" i="95"/>
  <c r="Q68" i="95"/>
  <c r="R67" i="95"/>
  <c r="Q67" i="95"/>
  <c r="R66" i="95"/>
  <c r="Q66" i="95"/>
  <c r="R65" i="95"/>
  <c r="Q65" i="95"/>
  <c r="R64" i="95"/>
  <c r="Q64" i="95"/>
  <c r="R63" i="95"/>
  <c r="Q63" i="95"/>
  <c r="R62" i="95"/>
  <c r="Q62" i="95"/>
  <c r="R61" i="95"/>
  <c r="Q61" i="95"/>
  <c r="R60" i="95"/>
  <c r="Q60" i="95"/>
  <c r="R59" i="95"/>
  <c r="Q59" i="95"/>
  <c r="R58" i="95"/>
  <c r="Q58" i="95"/>
  <c r="R57" i="95"/>
  <c r="Q57" i="95"/>
  <c r="R56" i="95"/>
  <c r="Q56" i="95"/>
  <c r="R55" i="95"/>
  <c r="Q55" i="95"/>
  <c r="R54" i="95"/>
  <c r="Q54" i="95"/>
  <c r="R53" i="95"/>
  <c r="Q53" i="95"/>
  <c r="R52" i="95"/>
  <c r="Q52" i="95"/>
  <c r="R51" i="95"/>
  <c r="Q51" i="95"/>
  <c r="R50" i="95"/>
  <c r="Q50" i="95"/>
  <c r="R49" i="95"/>
  <c r="Q49" i="95"/>
  <c r="R48" i="95"/>
  <c r="Q48" i="95"/>
  <c r="R47" i="95"/>
  <c r="Q47" i="95"/>
  <c r="R46" i="95"/>
  <c r="Q46" i="95"/>
  <c r="R45" i="95"/>
  <c r="Q45" i="95"/>
  <c r="R44" i="95"/>
  <c r="Q44" i="95"/>
  <c r="R43" i="95"/>
  <c r="Q43" i="95"/>
  <c r="R42" i="95"/>
  <c r="Q42" i="95"/>
  <c r="R41" i="95"/>
  <c r="Q41" i="95"/>
  <c r="R40" i="95"/>
  <c r="Q40" i="95"/>
  <c r="R39" i="95"/>
  <c r="Q39" i="95"/>
  <c r="R38" i="95"/>
  <c r="Q38" i="95"/>
  <c r="R37" i="95"/>
  <c r="Q37" i="95"/>
  <c r="R36" i="95"/>
  <c r="Q36" i="95"/>
  <c r="R35" i="95"/>
  <c r="Q35" i="95"/>
  <c r="R34" i="95"/>
  <c r="Q34" i="95"/>
  <c r="R33" i="95"/>
  <c r="Q33" i="95"/>
  <c r="R32" i="95"/>
  <c r="Q32" i="95"/>
  <c r="R31" i="95"/>
  <c r="Q31" i="95"/>
  <c r="R30" i="95"/>
  <c r="Q30" i="95"/>
  <c r="R29" i="95"/>
  <c r="Q29" i="95"/>
  <c r="R28" i="95"/>
  <c r="Q28" i="95"/>
  <c r="R27" i="95"/>
  <c r="Q27" i="95"/>
  <c r="R26" i="95"/>
  <c r="Q26" i="95"/>
  <c r="R25" i="95"/>
  <c r="Q25" i="95"/>
  <c r="R24" i="95"/>
  <c r="Q24" i="95"/>
  <c r="R23" i="95"/>
  <c r="Q23" i="95"/>
  <c r="R22" i="95"/>
  <c r="Q22" i="95"/>
  <c r="R21" i="95"/>
  <c r="Q21" i="95"/>
  <c r="R20" i="95"/>
  <c r="Q20" i="95"/>
  <c r="R19" i="95"/>
  <c r="Q19" i="95"/>
  <c r="R18" i="95"/>
  <c r="Q18" i="95"/>
  <c r="R17" i="95"/>
  <c r="Q17" i="95"/>
  <c r="R16" i="95"/>
  <c r="Q16" i="95"/>
  <c r="R15" i="95"/>
  <c r="Q15" i="95"/>
  <c r="R14" i="95"/>
  <c r="Q14" i="95"/>
  <c r="R13" i="95"/>
  <c r="Q13" i="95"/>
  <c r="R12" i="95"/>
  <c r="Q12" i="95"/>
  <c r="R11" i="95"/>
  <c r="Q11" i="95"/>
  <c r="R10" i="95"/>
  <c r="Q10" i="95"/>
  <c r="R9" i="95"/>
  <c r="D4" i="95"/>
  <c r="Q9" i="95"/>
  <c r="A2" i="95" a="1"/>
  <c r="A2" i="95" s="1"/>
  <c r="A1" i="95" s="1"/>
  <c r="D25" i="126" s="1" a="1"/>
  <c r="D25" i="126" s="1"/>
  <c r="R208" i="94"/>
  <c r="Q208" i="94"/>
  <c r="R207" i="94"/>
  <c r="Q207" i="94"/>
  <c r="R206" i="94"/>
  <c r="Q206" i="94"/>
  <c r="R205" i="94"/>
  <c r="Q205" i="94"/>
  <c r="R204" i="94"/>
  <c r="Q204" i="94"/>
  <c r="R203" i="94"/>
  <c r="Q203" i="94"/>
  <c r="R202" i="94"/>
  <c r="Q202" i="94"/>
  <c r="R201" i="94"/>
  <c r="Q201" i="94"/>
  <c r="R200" i="94"/>
  <c r="Q200" i="94"/>
  <c r="R199" i="94"/>
  <c r="Q199" i="94"/>
  <c r="R198" i="94"/>
  <c r="Q198" i="94"/>
  <c r="R197" i="94"/>
  <c r="Q197" i="94"/>
  <c r="R196" i="94"/>
  <c r="Q196" i="94"/>
  <c r="R195" i="94"/>
  <c r="Q195" i="94"/>
  <c r="R194" i="94"/>
  <c r="Q194" i="94"/>
  <c r="R193" i="94"/>
  <c r="Q193" i="94"/>
  <c r="R192" i="94"/>
  <c r="Q192" i="94"/>
  <c r="R191" i="94"/>
  <c r="Q191" i="94"/>
  <c r="R190" i="94"/>
  <c r="Q190" i="94"/>
  <c r="R189" i="94"/>
  <c r="Q189" i="94"/>
  <c r="R188" i="94"/>
  <c r="Q188" i="94"/>
  <c r="R187" i="94"/>
  <c r="Q187" i="94"/>
  <c r="R186" i="94"/>
  <c r="Q186" i="94"/>
  <c r="R185" i="94"/>
  <c r="Q185" i="94"/>
  <c r="R184" i="94"/>
  <c r="Q184" i="94"/>
  <c r="R183" i="94"/>
  <c r="Q183" i="94"/>
  <c r="R182" i="94"/>
  <c r="Q182" i="94"/>
  <c r="R181" i="94"/>
  <c r="Q181" i="94"/>
  <c r="R180" i="94"/>
  <c r="Q180" i="94"/>
  <c r="R179" i="94"/>
  <c r="Q179" i="94"/>
  <c r="R178" i="94"/>
  <c r="Q178" i="94"/>
  <c r="R177" i="94"/>
  <c r="Q177" i="94"/>
  <c r="R176" i="94"/>
  <c r="Q176" i="94"/>
  <c r="R175" i="94"/>
  <c r="Q175" i="94"/>
  <c r="R174" i="94"/>
  <c r="Q174" i="94"/>
  <c r="R173" i="94"/>
  <c r="Q173" i="94"/>
  <c r="R172" i="94"/>
  <c r="Q172" i="94"/>
  <c r="R171" i="94"/>
  <c r="Q171" i="94"/>
  <c r="R170" i="94"/>
  <c r="Q170" i="94"/>
  <c r="R169" i="94"/>
  <c r="Q169" i="94"/>
  <c r="R168" i="94"/>
  <c r="Q168" i="94"/>
  <c r="R167" i="94"/>
  <c r="Q167" i="94"/>
  <c r="R166" i="94"/>
  <c r="Q166" i="94"/>
  <c r="R165" i="94"/>
  <c r="Q165" i="94"/>
  <c r="R164" i="94"/>
  <c r="Q164" i="94"/>
  <c r="R163" i="94"/>
  <c r="Q163" i="94"/>
  <c r="R162" i="94"/>
  <c r="Q162" i="94"/>
  <c r="R161" i="94"/>
  <c r="Q161" i="94"/>
  <c r="R160" i="94"/>
  <c r="Q160" i="94"/>
  <c r="R159" i="94"/>
  <c r="Q159" i="94"/>
  <c r="R158" i="94"/>
  <c r="Q158" i="94"/>
  <c r="R157" i="94"/>
  <c r="Q157" i="94"/>
  <c r="R156" i="94"/>
  <c r="Q156" i="94"/>
  <c r="R155" i="94"/>
  <c r="Q155" i="94"/>
  <c r="R154" i="94"/>
  <c r="Q154" i="94"/>
  <c r="R153" i="94"/>
  <c r="Q153" i="94"/>
  <c r="R152" i="94"/>
  <c r="Q152" i="94"/>
  <c r="R151" i="94"/>
  <c r="Q151" i="94"/>
  <c r="R150" i="94"/>
  <c r="Q150" i="94"/>
  <c r="R149" i="94"/>
  <c r="Q149" i="94"/>
  <c r="R148" i="94"/>
  <c r="Q148" i="94"/>
  <c r="R147" i="94"/>
  <c r="Q147" i="94"/>
  <c r="R146" i="94"/>
  <c r="Q146" i="94"/>
  <c r="R145" i="94"/>
  <c r="Q145" i="94"/>
  <c r="R144" i="94"/>
  <c r="Q144" i="94"/>
  <c r="R143" i="94"/>
  <c r="Q143" i="94"/>
  <c r="R142" i="94"/>
  <c r="Q142" i="94"/>
  <c r="R141" i="94"/>
  <c r="Q141" i="94"/>
  <c r="R140" i="94"/>
  <c r="Q140" i="94"/>
  <c r="R139" i="94"/>
  <c r="Q139" i="94"/>
  <c r="R138" i="94"/>
  <c r="Q138" i="94"/>
  <c r="R137" i="94"/>
  <c r="Q137" i="94"/>
  <c r="R136" i="94"/>
  <c r="Q136" i="94"/>
  <c r="R135" i="94"/>
  <c r="Q135" i="94"/>
  <c r="R134" i="94"/>
  <c r="Q134" i="94"/>
  <c r="R133" i="94"/>
  <c r="Q133" i="94"/>
  <c r="R132" i="94"/>
  <c r="Q132" i="94"/>
  <c r="R131" i="94"/>
  <c r="Q131" i="94"/>
  <c r="R130" i="94"/>
  <c r="Q130" i="94"/>
  <c r="R129" i="94"/>
  <c r="Q129" i="94"/>
  <c r="R128" i="94"/>
  <c r="Q128" i="94"/>
  <c r="R127" i="94"/>
  <c r="Q127" i="94"/>
  <c r="R126" i="94"/>
  <c r="Q126" i="94"/>
  <c r="R125" i="94"/>
  <c r="Q125" i="94"/>
  <c r="R124" i="94"/>
  <c r="Q124" i="94"/>
  <c r="R123" i="94"/>
  <c r="Q123" i="94"/>
  <c r="R122" i="94"/>
  <c r="Q122" i="94"/>
  <c r="R121" i="94"/>
  <c r="Q121" i="94"/>
  <c r="R120" i="94"/>
  <c r="Q120" i="94"/>
  <c r="R119" i="94"/>
  <c r="Q119" i="94"/>
  <c r="R118" i="94"/>
  <c r="Q118" i="94"/>
  <c r="R117" i="94"/>
  <c r="Q117" i="94"/>
  <c r="R116" i="94"/>
  <c r="Q116" i="94"/>
  <c r="R115" i="94"/>
  <c r="Q115" i="94"/>
  <c r="R114" i="94"/>
  <c r="Q114" i="94"/>
  <c r="R113" i="94"/>
  <c r="Q113" i="94"/>
  <c r="R112" i="94"/>
  <c r="Q112" i="94"/>
  <c r="R111" i="94"/>
  <c r="Q111" i="94"/>
  <c r="R110" i="94"/>
  <c r="Q110" i="94"/>
  <c r="R109" i="94"/>
  <c r="Q109" i="94"/>
  <c r="R108" i="94"/>
  <c r="Q108" i="94"/>
  <c r="R107" i="94"/>
  <c r="Q107" i="94"/>
  <c r="R106" i="94"/>
  <c r="Q106" i="94"/>
  <c r="R105" i="94"/>
  <c r="Q105" i="94"/>
  <c r="R104" i="94"/>
  <c r="Q104" i="94"/>
  <c r="R103" i="94"/>
  <c r="Q103" i="94"/>
  <c r="R102" i="94"/>
  <c r="Q102" i="94"/>
  <c r="R101" i="94"/>
  <c r="Q101" i="94"/>
  <c r="R100" i="94"/>
  <c r="Q100" i="94"/>
  <c r="R99" i="94"/>
  <c r="Q99" i="94"/>
  <c r="R98" i="94"/>
  <c r="Q98" i="94"/>
  <c r="R97" i="94"/>
  <c r="Q97" i="94"/>
  <c r="R96" i="94"/>
  <c r="Q96" i="94"/>
  <c r="R95" i="94"/>
  <c r="Q95" i="94"/>
  <c r="R94" i="94"/>
  <c r="Q94" i="94"/>
  <c r="R93" i="94"/>
  <c r="Q93" i="94"/>
  <c r="R92" i="94"/>
  <c r="Q92" i="94"/>
  <c r="R91" i="94"/>
  <c r="Q91" i="94"/>
  <c r="R90" i="94"/>
  <c r="Q90" i="94"/>
  <c r="R89" i="94"/>
  <c r="Q89" i="94"/>
  <c r="R88" i="94"/>
  <c r="Q88" i="94"/>
  <c r="R87" i="94"/>
  <c r="Q87" i="94"/>
  <c r="R86" i="94"/>
  <c r="Q86" i="94"/>
  <c r="R85" i="94"/>
  <c r="Q85" i="94"/>
  <c r="R84" i="94"/>
  <c r="Q84" i="94"/>
  <c r="R83" i="94"/>
  <c r="Q83" i="94"/>
  <c r="R82" i="94"/>
  <c r="Q82" i="94"/>
  <c r="R81" i="94"/>
  <c r="Q81" i="94"/>
  <c r="R80" i="94"/>
  <c r="Q80" i="94"/>
  <c r="R79" i="94"/>
  <c r="Q79" i="94"/>
  <c r="R78" i="94"/>
  <c r="Q78" i="94"/>
  <c r="R77" i="94"/>
  <c r="Q77" i="94"/>
  <c r="R76" i="94"/>
  <c r="Q76" i="94"/>
  <c r="R75" i="94"/>
  <c r="Q75" i="94"/>
  <c r="R74" i="94"/>
  <c r="Q74" i="94"/>
  <c r="R73" i="94"/>
  <c r="Q73" i="94"/>
  <c r="R72" i="94"/>
  <c r="Q72" i="94"/>
  <c r="R71" i="94"/>
  <c r="Q71" i="94"/>
  <c r="R70" i="94"/>
  <c r="Q70" i="94"/>
  <c r="R69" i="94"/>
  <c r="Q69" i="94"/>
  <c r="R68" i="94"/>
  <c r="Q68" i="94"/>
  <c r="R67" i="94"/>
  <c r="Q67" i="94"/>
  <c r="R66" i="94"/>
  <c r="Q66" i="94"/>
  <c r="R65" i="94"/>
  <c r="Q65" i="94"/>
  <c r="R64" i="94"/>
  <c r="Q64" i="94"/>
  <c r="R63" i="94"/>
  <c r="Q63" i="94"/>
  <c r="R62" i="94"/>
  <c r="Q62" i="94"/>
  <c r="R61" i="94"/>
  <c r="Q61" i="94"/>
  <c r="R60" i="94"/>
  <c r="Q60" i="94"/>
  <c r="R59" i="94"/>
  <c r="Q59" i="94"/>
  <c r="R58" i="94"/>
  <c r="Q58" i="94"/>
  <c r="R57" i="94"/>
  <c r="Q57" i="94"/>
  <c r="R56" i="94"/>
  <c r="Q56" i="94"/>
  <c r="R55" i="94"/>
  <c r="Q55" i="94"/>
  <c r="R54" i="94"/>
  <c r="Q54" i="94"/>
  <c r="R53" i="94"/>
  <c r="Q53" i="94"/>
  <c r="R52" i="94"/>
  <c r="Q52" i="94"/>
  <c r="R51" i="94"/>
  <c r="Q51" i="94"/>
  <c r="R50" i="94"/>
  <c r="Q50" i="94"/>
  <c r="R49" i="94"/>
  <c r="Q49" i="94"/>
  <c r="R48" i="94"/>
  <c r="Q48" i="94"/>
  <c r="R47" i="94"/>
  <c r="Q47" i="94"/>
  <c r="R46" i="94"/>
  <c r="Q46" i="94"/>
  <c r="R45" i="94"/>
  <c r="Q45" i="94"/>
  <c r="R44" i="94"/>
  <c r="Q44" i="94"/>
  <c r="R43" i="94"/>
  <c r="Q43" i="94"/>
  <c r="R42" i="94"/>
  <c r="Q42" i="94"/>
  <c r="R41" i="94"/>
  <c r="Q41" i="94"/>
  <c r="R40" i="94"/>
  <c r="Q40" i="94"/>
  <c r="R39" i="94"/>
  <c r="Q39" i="94"/>
  <c r="R38" i="94"/>
  <c r="Q38" i="94"/>
  <c r="R37" i="94"/>
  <c r="Q37" i="94"/>
  <c r="R36" i="94"/>
  <c r="Q36" i="94"/>
  <c r="R35" i="94"/>
  <c r="Q35" i="94"/>
  <c r="R34" i="94"/>
  <c r="Q34" i="94"/>
  <c r="R33" i="94"/>
  <c r="Q33" i="94"/>
  <c r="R32" i="94"/>
  <c r="Q32" i="94"/>
  <c r="R31" i="94"/>
  <c r="Q31" i="94"/>
  <c r="R30" i="94"/>
  <c r="Q30" i="94"/>
  <c r="R29" i="94"/>
  <c r="Q29" i="94"/>
  <c r="R28" i="94"/>
  <c r="Q28" i="94"/>
  <c r="R27" i="94"/>
  <c r="Q27" i="94"/>
  <c r="R26" i="94"/>
  <c r="Q26" i="94"/>
  <c r="R25" i="94"/>
  <c r="Q25" i="94"/>
  <c r="R24" i="94"/>
  <c r="Q24" i="94"/>
  <c r="R23" i="94"/>
  <c r="Q23" i="94"/>
  <c r="R22" i="94"/>
  <c r="Q22" i="94"/>
  <c r="R21" i="94"/>
  <c r="Q21" i="94"/>
  <c r="R20" i="94"/>
  <c r="Q20" i="94"/>
  <c r="R19" i="94"/>
  <c r="Q19" i="94"/>
  <c r="R18" i="94"/>
  <c r="Q18" i="94"/>
  <c r="R17" i="94"/>
  <c r="Q17" i="94"/>
  <c r="R16" i="94"/>
  <c r="Q16" i="94"/>
  <c r="R15" i="94"/>
  <c r="Q15" i="94"/>
  <c r="R14" i="94"/>
  <c r="Q14" i="94"/>
  <c r="R13" i="94"/>
  <c r="Q13" i="94"/>
  <c r="R12" i="94"/>
  <c r="Q12" i="94"/>
  <c r="R11" i="94"/>
  <c r="Q11" i="94"/>
  <c r="R10" i="94"/>
  <c r="Q10" i="94"/>
  <c r="R9" i="94"/>
  <c r="D4" i="94"/>
  <c r="Q9" i="94"/>
  <c r="A2" i="94" a="1"/>
  <c r="A2" i="94" s="1"/>
  <c r="A1" i="94" s="1"/>
  <c r="D24" i="126" s="1" a="1"/>
  <c r="D24" i="126" s="1"/>
  <c r="R208" i="93"/>
  <c r="Q208" i="93"/>
  <c r="R207" i="93"/>
  <c r="Q207" i="93"/>
  <c r="R206" i="93"/>
  <c r="Q206" i="93"/>
  <c r="R205" i="93"/>
  <c r="Q205" i="93"/>
  <c r="R204" i="93"/>
  <c r="Q204" i="93"/>
  <c r="R203" i="93"/>
  <c r="Q203" i="93"/>
  <c r="R202" i="93"/>
  <c r="Q202" i="93"/>
  <c r="R201" i="93"/>
  <c r="Q201" i="93"/>
  <c r="R200" i="93"/>
  <c r="Q200" i="93"/>
  <c r="R199" i="93"/>
  <c r="Q199" i="93"/>
  <c r="R198" i="93"/>
  <c r="Q198" i="93"/>
  <c r="R197" i="93"/>
  <c r="Q197" i="93"/>
  <c r="R196" i="93"/>
  <c r="Q196" i="93"/>
  <c r="R195" i="93"/>
  <c r="Q195" i="93"/>
  <c r="R194" i="93"/>
  <c r="Q194" i="93"/>
  <c r="R193" i="93"/>
  <c r="Q193" i="93"/>
  <c r="R192" i="93"/>
  <c r="Q192" i="93"/>
  <c r="R191" i="93"/>
  <c r="Q191" i="93"/>
  <c r="R190" i="93"/>
  <c r="Q190" i="93"/>
  <c r="R189" i="93"/>
  <c r="Q189" i="93"/>
  <c r="R188" i="93"/>
  <c r="Q188" i="93"/>
  <c r="R187" i="93"/>
  <c r="Q187" i="93"/>
  <c r="R186" i="93"/>
  <c r="Q186" i="93"/>
  <c r="R185" i="93"/>
  <c r="Q185" i="93"/>
  <c r="R184" i="93"/>
  <c r="Q184" i="93"/>
  <c r="R183" i="93"/>
  <c r="Q183" i="93"/>
  <c r="R182" i="93"/>
  <c r="Q182" i="93"/>
  <c r="R181" i="93"/>
  <c r="Q181" i="93"/>
  <c r="R180" i="93"/>
  <c r="Q180" i="93"/>
  <c r="R179" i="93"/>
  <c r="Q179" i="93"/>
  <c r="R178" i="93"/>
  <c r="Q178" i="93"/>
  <c r="R177" i="93"/>
  <c r="Q177" i="93"/>
  <c r="R176" i="93"/>
  <c r="Q176" i="93"/>
  <c r="R175" i="93"/>
  <c r="Q175" i="93"/>
  <c r="R174" i="93"/>
  <c r="Q174" i="93"/>
  <c r="R173" i="93"/>
  <c r="Q173" i="93"/>
  <c r="R172" i="93"/>
  <c r="Q172" i="93"/>
  <c r="R171" i="93"/>
  <c r="Q171" i="93"/>
  <c r="R170" i="93"/>
  <c r="Q170" i="93"/>
  <c r="R169" i="93"/>
  <c r="Q169" i="93"/>
  <c r="R168" i="93"/>
  <c r="Q168" i="93"/>
  <c r="R167" i="93"/>
  <c r="Q167" i="93"/>
  <c r="R166" i="93"/>
  <c r="Q166" i="93"/>
  <c r="R165" i="93"/>
  <c r="Q165" i="93"/>
  <c r="R164" i="93"/>
  <c r="Q164" i="93"/>
  <c r="R163" i="93"/>
  <c r="Q163" i="93"/>
  <c r="R162" i="93"/>
  <c r="Q162" i="93"/>
  <c r="R161" i="93"/>
  <c r="Q161" i="93"/>
  <c r="R160" i="93"/>
  <c r="Q160" i="93"/>
  <c r="R159" i="93"/>
  <c r="Q159" i="93"/>
  <c r="R158" i="93"/>
  <c r="Q158" i="93"/>
  <c r="R157" i="93"/>
  <c r="Q157" i="93"/>
  <c r="R156" i="93"/>
  <c r="Q156" i="93"/>
  <c r="R155" i="93"/>
  <c r="Q155" i="93"/>
  <c r="R154" i="93"/>
  <c r="Q154" i="93"/>
  <c r="R153" i="93"/>
  <c r="Q153" i="93"/>
  <c r="R152" i="93"/>
  <c r="Q152" i="93"/>
  <c r="R151" i="93"/>
  <c r="Q151" i="93"/>
  <c r="R150" i="93"/>
  <c r="Q150" i="93"/>
  <c r="R149" i="93"/>
  <c r="Q149" i="93"/>
  <c r="R148" i="93"/>
  <c r="Q148" i="93"/>
  <c r="R147" i="93"/>
  <c r="Q147" i="93"/>
  <c r="R146" i="93"/>
  <c r="Q146" i="93"/>
  <c r="R145" i="93"/>
  <c r="Q145" i="93"/>
  <c r="R144" i="93"/>
  <c r="Q144" i="93"/>
  <c r="R143" i="93"/>
  <c r="Q143" i="93"/>
  <c r="R142" i="93"/>
  <c r="Q142" i="93"/>
  <c r="R141" i="93"/>
  <c r="Q141" i="93"/>
  <c r="R140" i="93"/>
  <c r="Q140" i="93"/>
  <c r="R139" i="93"/>
  <c r="Q139" i="93"/>
  <c r="R138" i="93"/>
  <c r="Q138" i="93"/>
  <c r="R137" i="93"/>
  <c r="Q137" i="93"/>
  <c r="R136" i="93"/>
  <c r="Q136" i="93"/>
  <c r="R135" i="93"/>
  <c r="Q135" i="93"/>
  <c r="R134" i="93"/>
  <c r="Q134" i="93"/>
  <c r="R133" i="93"/>
  <c r="Q133" i="93"/>
  <c r="R132" i="93"/>
  <c r="Q132" i="93"/>
  <c r="R131" i="93"/>
  <c r="Q131" i="93"/>
  <c r="R130" i="93"/>
  <c r="Q130" i="93"/>
  <c r="R129" i="93"/>
  <c r="Q129" i="93"/>
  <c r="R128" i="93"/>
  <c r="Q128" i="93"/>
  <c r="R127" i="93"/>
  <c r="Q127" i="93"/>
  <c r="R126" i="93"/>
  <c r="Q126" i="93"/>
  <c r="R125" i="93"/>
  <c r="Q125" i="93"/>
  <c r="R124" i="93"/>
  <c r="Q124" i="93"/>
  <c r="R123" i="93"/>
  <c r="Q123" i="93"/>
  <c r="R122" i="93"/>
  <c r="Q122" i="93"/>
  <c r="R121" i="93"/>
  <c r="Q121" i="93"/>
  <c r="R120" i="93"/>
  <c r="Q120" i="93"/>
  <c r="R119" i="93"/>
  <c r="Q119" i="93"/>
  <c r="R118" i="93"/>
  <c r="Q118" i="93"/>
  <c r="R117" i="93"/>
  <c r="Q117" i="93"/>
  <c r="R116" i="93"/>
  <c r="Q116" i="93"/>
  <c r="R115" i="93"/>
  <c r="Q115" i="93"/>
  <c r="R114" i="93"/>
  <c r="Q114" i="93"/>
  <c r="R113" i="93"/>
  <c r="Q113" i="93"/>
  <c r="R112" i="93"/>
  <c r="Q112" i="93"/>
  <c r="R111" i="93"/>
  <c r="Q111" i="93"/>
  <c r="R110" i="93"/>
  <c r="Q110" i="93"/>
  <c r="R109" i="93"/>
  <c r="Q109" i="93"/>
  <c r="R108" i="93"/>
  <c r="Q108" i="93"/>
  <c r="R107" i="93"/>
  <c r="Q107" i="93"/>
  <c r="R106" i="93"/>
  <c r="Q106" i="93"/>
  <c r="R105" i="93"/>
  <c r="Q105" i="93"/>
  <c r="R104" i="93"/>
  <c r="Q104" i="93"/>
  <c r="R103" i="93"/>
  <c r="Q103" i="93"/>
  <c r="R102" i="93"/>
  <c r="Q102" i="93"/>
  <c r="R101" i="93"/>
  <c r="Q101" i="93"/>
  <c r="R100" i="93"/>
  <c r="Q100" i="93"/>
  <c r="R99" i="93"/>
  <c r="Q99" i="93"/>
  <c r="R98" i="93"/>
  <c r="Q98" i="93"/>
  <c r="R97" i="93"/>
  <c r="Q97" i="93"/>
  <c r="R96" i="93"/>
  <c r="Q96" i="93"/>
  <c r="R95" i="93"/>
  <c r="Q95" i="93"/>
  <c r="R94" i="93"/>
  <c r="Q94" i="93"/>
  <c r="R93" i="93"/>
  <c r="Q93" i="93"/>
  <c r="R92" i="93"/>
  <c r="Q92" i="93"/>
  <c r="R91" i="93"/>
  <c r="Q91" i="93"/>
  <c r="R90" i="93"/>
  <c r="Q90" i="93"/>
  <c r="R89" i="93"/>
  <c r="Q89" i="93"/>
  <c r="R88" i="93"/>
  <c r="Q88" i="93"/>
  <c r="R87" i="93"/>
  <c r="Q87" i="93"/>
  <c r="R86" i="93"/>
  <c r="Q86" i="93"/>
  <c r="R85" i="93"/>
  <c r="Q85" i="93"/>
  <c r="R84" i="93"/>
  <c r="Q84" i="93"/>
  <c r="R83" i="93"/>
  <c r="Q83" i="93"/>
  <c r="R82" i="93"/>
  <c r="Q82" i="93"/>
  <c r="R81" i="93"/>
  <c r="Q81" i="93"/>
  <c r="R80" i="93"/>
  <c r="Q80" i="93"/>
  <c r="R79" i="93"/>
  <c r="Q79" i="93"/>
  <c r="R78" i="93"/>
  <c r="Q78" i="93"/>
  <c r="R77" i="93"/>
  <c r="Q77" i="93"/>
  <c r="R76" i="93"/>
  <c r="Q76" i="93"/>
  <c r="R75" i="93"/>
  <c r="Q75" i="93"/>
  <c r="R74" i="93"/>
  <c r="Q74" i="93"/>
  <c r="R73" i="93"/>
  <c r="Q73" i="93"/>
  <c r="R72" i="93"/>
  <c r="Q72" i="93"/>
  <c r="R71" i="93"/>
  <c r="Q71" i="93"/>
  <c r="R70" i="93"/>
  <c r="Q70" i="93"/>
  <c r="R69" i="93"/>
  <c r="Q69" i="93"/>
  <c r="R68" i="93"/>
  <c r="Q68" i="93"/>
  <c r="R67" i="93"/>
  <c r="Q67" i="93"/>
  <c r="R66" i="93"/>
  <c r="Q66" i="93"/>
  <c r="R65" i="93"/>
  <c r="Q65" i="93"/>
  <c r="R64" i="93"/>
  <c r="Q64" i="93"/>
  <c r="R63" i="93"/>
  <c r="Q63" i="93"/>
  <c r="R62" i="93"/>
  <c r="Q62" i="93"/>
  <c r="R61" i="93"/>
  <c r="Q61" i="93"/>
  <c r="R60" i="93"/>
  <c r="Q60" i="93"/>
  <c r="R59" i="93"/>
  <c r="Q59" i="93"/>
  <c r="R58" i="93"/>
  <c r="Q58" i="93"/>
  <c r="R57" i="93"/>
  <c r="Q57" i="93"/>
  <c r="R56" i="93"/>
  <c r="Q56" i="93"/>
  <c r="R55" i="93"/>
  <c r="Q55" i="93"/>
  <c r="R54" i="93"/>
  <c r="Q54" i="93"/>
  <c r="R53" i="93"/>
  <c r="Q53" i="93"/>
  <c r="R52" i="93"/>
  <c r="Q52" i="93"/>
  <c r="R51" i="93"/>
  <c r="Q51" i="93"/>
  <c r="R50" i="93"/>
  <c r="Q50" i="93"/>
  <c r="R49" i="93"/>
  <c r="Q49" i="93"/>
  <c r="R48" i="93"/>
  <c r="Q48" i="93"/>
  <c r="R47" i="93"/>
  <c r="Q47" i="93"/>
  <c r="R46" i="93"/>
  <c r="Q46" i="93"/>
  <c r="R45" i="93"/>
  <c r="Q45" i="93"/>
  <c r="R44" i="93"/>
  <c r="Q44" i="93"/>
  <c r="R43" i="93"/>
  <c r="Q43" i="93"/>
  <c r="R42" i="93"/>
  <c r="Q42" i="93"/>
  <c r="R41" i="93"/>
  <c r="Q41" i="93"/>
  <c r="R40" i="93"/>
  <c r="Q40" i="93"/>
  <c r="R39" i="93"/>
  <c r="Q39" i="93"/>
  <c r="R38" i="93"/>
  <c r="Q38" i="93"/>
  <c r="R37" i="93"/>
  <c r="Q37" i="93"/>
  <c r="R36" i="93"/>
  <c r="Q36" i="93"/>
  <c r="R35" i="93"/>
  <c r="Q35" i="93"/>
  <c r="R34" i="93"/>
  <c r="Q34" i="93"/>
  <c r="R33" i="93"/>
  <c r="Q33" i="93"/>
  <c r="R32" i="93"/>
  <c r="Q32" i="93"/>
  <c r="R31" i="93"/>
  <c r="Q31" i="93"/>
  <c r="R30" i="93"/>
  <c r="Q30" i="93"/>
  <c r="R29" i="93"/>
  <c r="Q29" i="93"/>
  <c r="R28" i="93"/>
  <c r="Q28" i="93"/>
  <c r="Q27" i="93"/>
  <c r="R27" i="93" s="1"/>
  <c r="Q26" i="93"/>
  <c r="R26" i="93" s="1"/>
  <c r="Q25" i="93"/>
  <c r="R25" i="93" s="1"/>
  <c r="Q24" i="93"/>
  <c r="R24" i="93" s="1"/>
  <c r="Q23" i="93"/>
  <c r="R23" i="93" s="1"/>
  <c r="D4" i="93" s="1"/>
  <c r="E23" i="126" s="1" a="1"/>
  <c r="E23" i="126" s="1"/>
  <c r="R22" i="93"/>
  <c r="Q22" i="93"/>
  <c r="R21" i="93"/>
  <c r="Q21" i="93"/>
  <c r="R20" i="93"/>
  <c r="Q20" i="93"/>
  <c r="R19" i="93"/>
  <c r="Q19" i="93"/>
  <c r="R18" i="93"/>
  <c r="Q18" i="93"/>
  <c r="R17" i="93"/>
  <c r="Q17" i="93"/>
  <c r="R16" i="93"/>
  <c r="Q16" i="93"/>
  <c r="R15" i="93"/>
  <c r="Q15" i="93"/>
  <c r="Q14" i="93"/>
  <c r="R14" i="93"/>
  <c r="Q13" i="93"/>
  <c r="R13" i="93"/>
  <c r="R12" i="93"/>
  <c r="Q12" i="93"/>
  <c r="R11" i="93"/>
  <c r="Q11" i="93"/>
  <c r="R10" i="93"/>
  <c r="Q10" i="93"/>
  <c r="R9" i="93"/>
  <c r="Q9" i="93"/>
  <c r="A2" i="93" a="1"/>
  <c r="A2" i="93" s="1"/>
  <c r="A1" i="93" s="1"/>
  <c r="D23" i="126" s="1" a="1"/>
  <c r="D23" i="126" s="1"/>
  <c r="R208" i="92"/>
  <c r="Q208" i="92"/>
  <c r="R207" i="92"/>
  <c r="Q207" i="92"/>
  <c r="R206" i="92"/>
  <c r="Q206" i="92"/>
  <c r="R205" i="92"/>
  <c r="Q205" i="92"/>
  <c r="R204" i="92"/>
  <c r="Q204" i="92"/>
  <c r="R203" i="92"/>
  <c r="Q203" i="92"/>
  <c r="R202" i="92"/>
  <c r="Q202" i="92"/>
  <c r="R201" i="92"/>
  <c r="Q201" i="92"/>
  <c r="R200" i="92"/>
  <c r="Q200" i="92"/>
  <c r="R199" i="92"/>
  <c r="Q199" i="92"/>
  <c r="R198" i="92"/>
  <c r="Q198" i="92"/>
  <c r="R197" i="92"/>
  <c r="Q197" i="92"/>
  <c r="R196" i="92"/>
  <c r="Q196" i="92"/>
  <c r="R195" i="92"/>
  <c r="Q195" i="92"/>
  <c r="R194" i="92"/>
  <c r="Q194" i="92"/>
  <c r="R193" i="92"/>
  <c r="Q193" i="92"/>
  <c r="R192" i="92"/>
  <c r="Q192" i="92"/>
  <c r="R191" i="92"/>
  <c r="Q191" i="92"/>
  <c r="R190" i="92"/>
  <c r="Q190" i="92"/>
  <c r="R189" i="92"/>
  <c r="Q189" i="92"/>
  <c r="R188" i="92"/>
  <c r="Q188" i="92"/>
  <c r="R187" i="92"/>
  <c r="Q187" i="92"/>
  <c r="R186" i="92"/>
  <c r="Q186" i="92"/>
  <c r="R185" i="92"/>
  <c r="Q185" i="92"/>
  <c r="R184" i="92"/>
  <c r="Q184" i="92"/>
  <c r="R183" i="92"/>
  <c r="Q183" i="92"/>
  <c r="R182" i="92"/>
  <c r="Q182" i="92"/>
  <c r="R181" i="92"/>
  <c r="Q181" i="92"/>
  <c r="R180" i="92"/>
  <c r="Q180" i="92"/>
  <c r="R179" i="92"/>
  <c r="Q179" i="92"/>
  <c r="R178" i="92"/>
  <c r="Q178" i="92"/>
  <c r="R177" i="92"/>
  <c r="Q177" i="92"/>
  <c r="R176" i="92"/>
  <c r="Q176" i="92"/>
  <c r="R175" i="92"/>
  <c r="Q175" i="92"/>
  <c r="R174" i="92"/>
  <c r="Q174" i="92"/>
  <c r="R173" i="92"/>
  <c r="Q173" i="92"/>
  <c r="R172" i="92"/>
  <c r="Q172" i="92"/>
  <c r="R171" i="92"/>
  <c r="Q171" i="92"/>
  <c r="R170" i="92"/>
  <c r="Q170" i="92"/>
  <c r="R169" i="92"/>
  <c r="Q169" i="92"/>
  <c r="R168" i="92"/>
  <c r="Q168" i="92"/>
  <c r="R167" i="92"/>
  <c r="Q167" i="92"/>
  <c r="R166" i="92"/>
  <c r="Q166" i="92"/>
  <c r="R165" i="92"/>
  <c r="Q165" i="92"/>
  <c r="R164" i="92"/>
  <c r="Q164" i="92"/>
  <c r="R163" i="92"/>
  <c r="Q163" i="92"/>
  <c r="R162" i="92"/>
  <c r="Q162" i="92"/>
  <c r="R161" i="92"/>
  <c r="Q161" i="92"/>
  <c r="R160" i="92"/>
  <c r="Q160" i="92"/>
  <c r="R159" i="92"/>
  <c r="Q159" i="92"/>
  <c r="R158" i="92"/>
  <c r="Q158" i="92"/>
  <c r="R157" i="92"/>
  <c r="Q157" i="92"/>
  <c r="R156" i="92"/>
  <c r="Q156" i="92"/>
  <c r="R155" i="92"/>
  <c r="Q155" i="92"/>
  <c r="R154" i="92"/>
  <c r="Q154" i="92"/>
  <c r="R153" i="92"/>
  <c r="Q153" i="92"/>
  <c r="R152" i="92"/>
  <c r="Q152" i="92"/>
  <c r="R151" i="92"/>
  <c r="Q151" i="92"/>
  <c r="R150" i="92"/>
  <c r="Q150" i="92"/>
  <c r="R149" i="92"/>
  <c r="Q149" i="92"/>
  <c r="R148" i="92"/>
  <c r="Q148" i="92"/>
  <c r="R147" i="92"/>
  <c r="Q147" i="92"/>
  <c r="R146" i="92"/>
  <c r="Q146" i="92"/>
  <c r="R145" i="92"/>
  <c r="Q145" i="92"/>
  <c r="R144" i="92"/>
  <c r="Q144" i="92"/>
  <c r="R143" i="92"/>
  <c r="Q143" i="92"/>
  <c r="R142" i="92"/>
  <c r="Q142" i="92"/>
  <c r="R141" i="92"/>
  <c r="Q141" i="92"/>
  <c r="R140" i="92"/>
  <c r="Q140" i="92"/>
  <c r="R139" i="92"/>
  <c r="Q139" i="92"/>
  <c r="R138" i="92"/>
  <c r="Q138" i="92"/>
  <c r="R137" i="92"/>
  <c r="Q137" i="92"/>
  <c r="R136" i="92"/>
  <c r="Q136" i="92"/>
  <c r="R135" i="92"/>
  <c r="Q135" i="92"/>
  <c r="R134" i="92"/>
  <c r="Q134" i="92"/>
  <c r="R133" i="92"/>
  <c r="Q133" i="92"/>
  <c r="R132" i="92"/>
  <c r="Q132" i="92"/>
  <c r="R131" i="92"/>
  <c r="Q131" i="92"/>
  <c r="R130" i="92"/>
  <c r="Q130" i="92"/>
  <c r="R129" i="92"/>
  <c r="Q129" i="92"/>
  <c r="R128" i="92"/>
  <c r="Q128" i="92"/>
  <c r="R127" i="92"/>
  <c r="Q127" i="92"/>
  <c r="R126" i="92"/>
  <c r="Q126" i="92"/>
  <c r="R125" i="92"/>
  <c r="Q125" i="92"/>
  <c r="R124" i="92"/>
  <c r="Q124" i="92"/>
  <c r="R123" i="92"/>
  <c r="Q123" i="92"/>
  <c r="R122" i="92"/>
  <c r="Q122" i="92"/>
  <c r="R121" i="92"/>
  <c r="Q121" i="92"/>
  <c r="R120" i="92"/>
  <c r="Q120" i="92"/>
  <c r="R119" i="92"/>
  <c r="Q119" i="92"/>
  <c r="R118" i="92"/>
  <c r="Q118" i="92"/>
  <c r="R117" i="92"/>
  <c r="Q117" i="92"/>
  <c r="R116" i="92"/>
  <c r="Q116" i="92"/>
  <c r="R115" i="92"/>
  <c r="Q115" i="92"/>
  <c r="R114" i="92"/>
  <c r="Q114" i="92"/>
  <c r="R113" i="92"/>
  <c r="Q113" i="92"/>
  <c r="R112" i="92"/>
  <c r="Q112" i="92"/>
  <c r="R111" i="92"/>
  <c r="Q111" i="92"/>
  <c r="R110" i="92"/>
  <c r="Q110" i="92"/>
  <c r="R109" i="92"/>
  <c r="Q109" i="92"/>
  <c r="R108" i="92"/>
  <c r="Q108" i="92"/>
  <c r="R107" i="92"/>
  <c r="Q107" i="92"/>
  <c r="R106" i="92"/>
  <c r="Q106" i="92"/>
  <c r="R105" i="92"/>
  <c r="Q105" i="92"/>
  <c r="R104" i="92"/>
  <c r="Q104" i="92"/>
  <c r="R103" i="92"/>
  <c r="Q103" i="92"/>
  <c r="R102" i="92"/>
  <c r="Q102" i="92"/>
  <c r="R101" i="92"/>
  <c r="Q101" i="92"/>
  <c r="R100" i="92"/>
  <c r="Q100" i="92"/>
  <c r="R99" i="92"/>
  <c r="Q99" i="92"/>
  <c r="R98" i="92"/>
  <c r="Q98" i="92"/>
  <c r="R97" i="92"/>
  <c r="Q97" i="92"/>
  <c r="R96" i="92"/>
  <c r="Q96" i="92"/>
  <c r="R95" i="92"/>
  <c r="Q95" i="92"/>
  <c r="R94" i="92"/>
  <c r="Q94" i="92"/>
  <c r="R93" i="92"/>
  <c r="Q93" i="92"/>
  <c r="R92" i="92"/>
  <c r="Q92" i="92"/>
  <c r="R91" i="92"/>
  <c r="Q91" i="92"/>
  <c r="R90" i="92"/>
  <c r="Q90" i="92"/>
  <c r="R89" i="92"/>
  <c r="Q89" i="92"/>
  <c r="R88" i="92"/>
  <c r="Q88" i="92"/>
  <c r="R87" i="92"/>
  <c r="Q87" i="92"/>
  <c r="R86" i="92"/>
  <c r="Q86" i="92"/>
  <c r="R85" i="92"/>
  <c r="Q85" i="92"/>
  <c r="R84" i="92"/>
  <c r="Q84" i="92"/>
  <c r="R83" i="92"/>
  <c r="Q83" i="92"/>
  <c r="R82" i="92"/>
  <c r="Q82" i="92"/>
  <c r="R81" i="92"/>
  <c r="Q81" i="92"/>
  <c r="R80" i="92"/>
  <c r="Q80" i="92"/>
  <c r="R79" i="92"/>
  <c r="Q79" i="92"/>
  <c r="R78" i="92"/>
  <c r="Q78" i="92"/>
  <c r="R77" i="92"/>
  <c r="Q77" i="92"/>
  <c r="Q76" i="92"/>
  <c r="R76" i="92" s="1"/>
  <c r="Q75" i="92"/>
  <c r="R75" i="92" s="1"/>
  <c r="Q74" i="92"/>
  <c r="R74" i="92" s="1"/>
  <c r="D4" i="92" s="1"/>
  <c r="E22" i="126" s="1" a="1"/>
  <c r="E22" i="126" s="1"/>
  <c r="R73" i="92"/>
  <c r="Q73" i="92"/>
  <c r="R72" i="92"/>
  <c r="Q72" i="92"/>
  <c r="Q71" i="92"/>
  <c r="R71" i="92"/>
  <c r="R70" i="92"/>
  <c r="Q70" i="92"/>
  <c r="R69" i="92"/>
  <c r="Q69" i="92"/>
  <c r="Q68" i="92"/>
  <c r="R68" i="92"/>
  <c r="Q67" i="92"/>
  <c r="R67" i="92"/>
  <c r="Q66" i="92"/>
  <c r="R66" i="92"/>
  <c r="Q65" i="92"/>
  <c r="R65" i="92"/>
  <c r="R64" i="92"/>
  <c r="Q64" i="92"/>
  <c r="Q63" i="92"/>
  <c r="R63" i="92"/>
  <c r="R62" i="92"/>
  <c r="Q62" i="92"/>
  <c r="Q61" i="92"/>
  <c r="R61" i="92"/>
  <c r="Q60" i="92"/>
  <c r="R60" i="92"/>
  <c r="Q59" i="92"/>
  <c r="R59" i="92"/>
  <c r="Q58" i="92"/>
  <c r="R58" i="92"/>
  <c r="Q57" i="92"/>
  <c r="R57" i="92"/>
  <c r="Q56" i="92"/>
  <c r="R56" i="92"/>
  <c r="Q55" i="92"/>
  <c r="R55" i="92"/>
  <c r="Q54" i="92"/>
  <c r="R54" i="92"/>
  <c r="Q53" i="92"/>
  <c r="R53" i="92"/>
  <c r="Q52" i="92"/>
  <c r="R52" i="92"/>
  <c r="Q51" i="92"/>
  <c r="R51" i="92"/>
  <c r="Q50" i="92"/>
  <c r="R50" i="92"/>
  <c r="Q49" i="92"/>
  <c r="R49" i="92"/>
  <c r="R48" i="92"/>
  <c r="Q48" i="92"/>
  <c r="R47" i="92"/>
  <c r="Q47" i="92"/>
  <c r="Q46" i="92"/>
  <c r="R46" i="92"/>
  <c r="Q45" i="92"/>
  <c r="R45" i="92"/>
  <c r="Q44" i="92"/>
  <c r="R44" i="92"/>
  <c r="Q43" i="92"/>
  <c r="R43" i="92"/>
  <c r="Q42" i="92"/>
  <c r="R42" i="92"/>
  <c r="Q41" i="92"/>
  <c r="R41" i="92"/>
  <c r="Q40" i="92"/>
  <c r="R40" i="92"/>
  <c r="Q39" i="92"/>
  <c r="R39" i="92"/>
  <c r="Q38" i="92"/>
  <c r="R38" i="92"/>
  <c r="R37" i="92"/>
  <c r="Q37" i="92"/>
  <c r="Q36" i="92"/>
  <c r="R36" i="92"/>
  <c r="Q35" i="92"/>
  <c r="R35" i="92"/>
  <c r="Q34" i="92"/>
  <c r="R34" i="92"/>
  <c r="Q33" i="92"/>
  <c r="R33" i="92"/>
  <c r="Q32" i="92"/>
  <c r="R32" i="92"/>
  <c r="Q31" i="92"/>
  <c r="R31" i="92"/>
  <c r="Q30" i="92"/>
  <c r="R30" i="92"/>
  <c r="Q29" i="92"/>
  <c r="R29" i="92"/>
  <c r="R28" i="92"/>
  <c r="Q28" i="92"/>
  <c r="Q27" i="92"/>
  <c r="R27" i="92"/>
  <c r="Q26" i="92"/>
  <c r="R26" i="92"/>
  <c r="Q25" i="92"/>
  <c r="R25" i="92"/>
  <c r="Q24" i="92"/>
  <c r="R24" i="92"/>
  <c r="R23" i="92"/>
  <c r="Q23" i="92"/>
  <c r="Q22" i="92"/>
  <c r="R22" i="92"/>
  <c r="Q21" i="92"/>
  <c r="R21" i="92"/>
  <c r="Q20" i="92"/>
  <c r="R20" i="92"/>
  <c r="Q19" i="92"/>
  <c r="R19" i="92"/>
  <c r="Q18" i="92"/>
  <c r="R18" i="92"/>
  <c r="Q17" i="92"/>
  <c r="R17" i="92"/>
  <c r="Q16" i="92"/>
  <c r="R16" i="92"/>
  <c r="Q15" i="92"/>
  <c r="R15" i="92"/>
  <c r="Q13" i="92"/>
  <c r="R13" i="92"/>
  <c r="Q12" i="92"/>
  <c r="R12" i="92"/>
  <c r="Q11" i="92"/>
  <c r="R11" i="92"/>
  <c r="Q10" i="92"/>
  <c r="R10" i="92"/>
  <c r="R9" i="92"/>
  <c r="Q9" i="92"/>
  <c r="A2" i="92" a="1"/>
  <c r="A2" i="92" s="1"/>
  <c r="A1" i="92" s="1"/>
  <c r="D22" i="126" s="1" a="1"/>
  <c r="D22" i="126" s="1"/>
  <c r="R208" i="91"/>
  <c r="Q208" i="91"/>
  <c r="R207" i="91"/>
  <c r="Q207" i="91"/>
  <c r="R206" i="91"/>
  <c r="Q206" i="91"/>
  <c r="R205" i="91"/>
  <c r="Q205" i="91"/>
  <c r="R204" i="91"/>
  <c r="Q204" i="91"/>
  <c r="R203" i="91"/>
  <c r="Q203" i="91"/>
  <c r="R202" i="91"/>
  <c r="Q202" i="91"/>
  <c r="R201" i="91"/>
  <c r="Q201" i="91"/>
  <c r="R200" i="91"/>
  <c r="Q200" i="91"/>
  <c r="R199" i="91"/>
  <c r="Q199" i="91"/>
  <c r="R198" i="91"/>
  <c r="Q198" i="91"/>
  <c r="R197" i="91"/>
  <c r="Q197" i="91"/>
  <c r="R196" i="91"/>
  <c r="Q196" i="91"/>
  <c r="R195" i="91"/>
  <c r="Q195" i="91"/>
  <c r="R194" i="91"/>
  <c r="Q194" i="91"/>
  <c r="R193" i="91"/>
  <c r="Q193" i="91"/>
  <c r="R192" i="91"/>
  <c r="Q192" i="91"/>
  <c r="R191" i="91"/>
  <c r="Q191" i="91"/>
  <c r="R190" i="91"/>
  <c r="Q190" i="91"/>
  <c r="R189" i="91"/>
  <c r="Q189" i="91"/>
  <c r="R188" i="91"/>
  <c r="Q188" i="91"/>
  <c r="R187" i="91"/>
  <c r="Q187" i="91"/>
  <c r="R186" i="91"/>
  <c r="Q186" i="91"/>
  <c r="R185" i="91"/>
  <c r="Q185" i="91"/>
  <c r="R184" i="91"/>
  <c r="Q184" i="91"/>
  <c r="R183" i="91"/>
  <c r="Q183" i="91"/>
  <c r="R182" i="91"/>
  <c r="Q182" i="91"/>
  <c r="R181" i="91"/>
  <c r="Q181" i="91"/>
  <c r="R180" i="91"/>
  <c r="Q180" i="91"/>
  <c r="R179" i="91"/>
  <c r="Q179" i="91"/>
  <c r="R178" i="91"/>
  <c r="Q178" i="91"/>
  <c r="R177" i="91"/>
  <c r="Q177" i="91"/>
  <c r="R176" i="91"/>
  <c r="Q176" i="91"/>
  <c r="R175" i="91"/>
  <c r="Q175" i="91"/>
  <c r="R174" i="91"/>
  <c r="Q174" i="91"/>
  <c r="R173" i="91"/>
  <c r="Q173" i="91"/>
  <c r="R172" i="91"/>
  <c r="Q172" i="91"/>
  <c r="R171" i="91"/>
  <c r="Q171" i="91"/>
  <c r="R170" i="91"/>
  <c r="Q170" i="91"/>
  <c r="R169" i="91"/>
  <c r="Q169" i="91"/>
  <c r="R168" i="91"/>
  <c r="Q168" i="91"/>
  <c r="R167" i="91"/>
  <c r="Q167" i="91"/>
  <c r="R166" i="91"/>
  <c r="Q166" i="91"/>
  <c r="R165" i="91"/>
  <c r="Q165" i="91"/>
  <c r="R164" i="91"/>
  <c r="Q164" i="91"/>
  <c r="R163" i="91"/>
  <c r="Q163" i="91"/>
  <c r="R162" i="91"/>
  <c r="Q162" i="91"/>
  <c r="R161" i="91"/>
  <c r="Q161" i="91"/>
  <c r="R160" i="91"/>
  <c r="Q160" i="91"/>
  <c r="R159" i="91"/>
  <c r="Q159" i="91"/>
  <c r="R158" i="91"/>
  <c r="Q158" i="91"/>
  <c r="R157" i="91"/>
  <c r="Q157" i="91"/>
  <c r="R156" i="91"/>
  <c r="Q156" i="91"/>
  <c r="R155" i="91"/>
  <c r="Q155" i="91"/>
  <c r="R154" i="91"/>
  <c r="Q154" i="91"/>
  <c r="R153" i="91"/>
  <c r="Q153" i="91"/>
  <c r="R152" i="91"/>
  <c r="Q152" i="91"/>
  <c r="R151" i="91"/>
  <c r="Q151" i="91"/>
  <c r="R150" i="91"/>
  <c r="Q150" i="91"/>
  <c r="R149" i="91"/>
  <c r="Q149" i="91"/>
  <c r="R148" i="91"/>
  <c r="Q148" i="91"/>
  <c r="R147" i="91"/>
  <c r="Q147" i="91"/>
  <c r="R146" i="91"/>
  <c r="Q146" i="91"/>
  <c r="R145" i="91"/>
  <c r="Q145" i="91"/>
  <c r="R144" i="91"/>
  <c r="Q144" i="91"/>
  <c r="R143" i="91"/>
  <c r="Q143" i="91"/>
  <c r="R142" i="91"/>
  <c r="Q142" i="91"/>
  <c r="R141" i="91"/>
  <c r="Q141" i="91"/>
  <c r="R140" i="91"/>
  <c r="Q140" i="91"/>
  <c r="R139" i="91"/>
  <c r="Q139" i="91"/>
  <c r="R138" i="91"/>
  <c r="Q138" i="91"/>
  <c r="R137" i="91"/>
  <c r="Q137" i="91"/>
  <c r="R136" i="91"/>
  <c r="Q136" i="91"/>
  <c r="R135" i="91"/>
  <c r="Q135" i="91"/>
  <c r="R134" i="91"/>
  <c r="Q134" i="91"/>
  <c r="R133" i="91"/>
  <c r="Q133" i="91"/>
  <c r="R132" i="91"/>
  <c r="Q132" i="91"/>
  <c r="R131" i="91"/>
  <c r="Q131" i="91"/>
  <c r="R130" i="91"/>
  <c r="Q130" i="91"/>
  <c r="R129" i="91"/>
  <c r="Q129" i="91"/>
  <c r="R128" i="91"/>
  <c r="Q128" i="91"/>
  <c r="R127" i="91"/>
  <c r="Q127" i="91"/>
  <c r="R126" i="91"/>
  <c r="Q126" i="91"/>
  <c r="R125" i="91"/>
  <c r="Q125" i="91"/>
  <c r="R124" i="91"/>
  <c r="Q124" i="91"/>
  <c r="R123" i="91"/>
  <c r="Q123" i="91"/>
  <c r="R122" i="91"/>
  <c r="Q122" i="91"/>
  <c r="R121" i="91"/>
  <c r="Q121" i="91"/>
  <c r="R120" i="91"/>
  <c r="Q120" i="91"/>
  <c r="R119" i="91"/>
  <c r="Q119" i="91"/>
  <c r="R118" i="91"/>
  <c r="Q118" i="91"/>
  <c r="R117" i="91"/>
  <c r="Q117" i="91"/>
  <c r="R116" i="91"/>
  <c r="Q116" i="91"/>
  <c r="R115" i="91"/>
  <c r="Q115" i="91"/>
  <c r="R114" i="91"/>
  <c r="Q114" i="91"/>
  <c r="R113" i="91"/>
  <c r="Q113" i="91"/>
  <c r="R112" i="91"/>
  <c r="Q112" i="91"/>
  <c r="R111" i="91"/>
  <c r="Q111" i="91"/>
  <c r="R110" i="91"/>
  <c r="Q110" i="91"/>
  <c r="R109" i="91"/>
  <c r="Q109" i="91"/>
  <c r="R108" i="91"/>
  <c r="Q108" i="91"/>
  <c r="R107" i="91"/>
  <c r="Q107" i="91"/>
  <c r="R106" i="91"/>
  <c r="Q106" i="91"/>
  <c r="R105" i="91"/>
  <c r="Q105" i="91"/>
  <c r="R104" i="91"/>
  <c r="Q104" i="91"/>
  <c r="R103" i="91"/>
  <c r="Q103" i="91"/>
  <c r="R102" i="91"/>
  <c r="Q102" i="91"/>
  <c r="R101" i="91"/>
  <c r="Q101" i="91"/>
  <c r="R100" i="91"/>
  <c r="Q100" i="91"/>
  <c r="R99" i="91"/>
  <c r="Q99" i="91"/>
  <c r="R98" i="91"/>
  <c r="Q98" i="91"/>
  <c r="R97" i="91"/>
  <c r="Q97" i="91"/>
  <c r="R96" i="91"/>
  <c r="Q96" i="91"/>
  <c r="R95" i="91"/>
  <c r="Q95" i="91"/>
  <c r="R94" i="91"/>
  <c r="Q94" i="91"/>
  <c r="R93" i="91"/>
  <c r="Q93" i="91"/>
  <c r="R92" i="91"/>
  <c r="Q92" i="91"/>
  <c r="R91" i="91"/>
  <c r="Q91" i="91"/>
  <c r="R90" i="91"/>
  <c r="Q90" i="91"/>
  <c r="R89" i="91"/>
  <c r="Q89" i="91"/>
  <c r="R88" i="91"/>
  <c r="Q88" i="91"/>
  <c r="R87" i="91"/>
  <c r="Q87" i="91"/>
  <c r="R86" i="91"/>
  <c r="Q86" i="91"/>
  <c r="R85" i="91"/>
  <c r="Q85" i="91"/>
  <c r="R84" i="91"/>
  <c r="Q84" i="91"/>
  <c r="R83" i="91"/>
  <c r="Q83" i="91"/>
  <c r="R82" i="91"/>
  <c r="Q82" i="91"/>
  <c r="R81" i="91"/>
  <c r="Q81" i="91"/>
  <c r="R80" i="91"/>
  <c r="Q80" i="91"/>
  <c r="R79" i="91"/>
  <c r="Q79" i="91"/>
  <c r="R78" i="91"/>
  <c r="Q78" i="91"/>
  <c r="R77" i="91"/>
  <c r="Q77" i="91"/>
  <c r="R76" i="91"/>
  <c r="Q76" i="91"/>
  <c r="R75" i="91"/>
  <c r="Q75" i="91"/>
  <c r="R74" i="91"/>
  <c r="Q74" i="91"/>
  <c r="R73" i="91"/>
  <c r="Q73" i="91"/>
  <c r="R72" i="91"/>
  <c r="Q72" i="91"/>
  <c r="R71" i="91"/>
  <c r="Q71" i="91"/>
  <c r="R70" i="91"/>
  <c r="Q70" i="91"/>
  <c r="R69" i="91"/>
  <c r="Q69" i="91"/>
  <c r="R68" i="91"/>
  <c r="Q68" i="91"/>
  <c r="R67" i="91"/>
  <c r="Q67" i="91"/>
  <c r="R66" i="91"/>
  <c r="Q66" i="91"/>
  <c r="R65" i="91"/>
  <c r="Q65" i="91"/>
  <c r="R64" i="91"/>
  <c r="Q64" i="91"/>
  <c r="R63" i="91"/>
  <c r="Q63" i="91"/>
  <c r="R62" i="91"/>
  <c r="Q62" i="91"/>
  <c r="R61" i="91"/>
  <c r="Q61" i="91"/>
  <c r="R60" i="91"/>
  <c r="Q60" i="91"/>
  <c r="R59" i="91"/>
  <c r="Q59" i="91"/>
  <c r="R58" i="91"/>
  <c r="Q58" i="91"/>
  <c r="R57" i="91"/>
  <c r="Q57" i="91"/>
  <c r="R56" i="91"/>
  <c r="Q56" i="91"/>
  <c r="R55" i="91"/>
  <c r="Q55" i="91"/>
  <c r="R54" i="91"/>
  <c r="Q54" i="91"/>
  <c r="R53" i="91"/>
  <c r="Q53" i="91"/>
  <c r="R52" i="91"/>
  <c r="Q52" i="91"/>
  <c r="R51" i="91"/>
  <c r="Q51" i="91"/>
  <c r="R50" i="91"/>
  <c r="Q50" i="91"/>
  <c r="R49" i="91"/>
  <c r="Q49" i="91"/>
  <c r="R48" i="91"/>
  <c r="Q48" i="91"/>
  <c r="R47" i="91"/>
  <c r="Q47" i="91"/>
  <c r="R46" i="91"/>
  <c r="Q46" i="91"/>
  <c r="R45" i="91"/>
  <c r="Q45" i="91"/>
  <c r="R44" i="91"/>
  <c r="Q44" i="91"/>
  <c r="R43" i="91"/>
  <c r="Q43" i="91"/>
  <c r="R42" i="91"/>
  <c r="Q42" i="91"/>
  <c r="R41" i="91"/>
  <c r="Q41" i="91"/>
  <c r="R40" i="91"/>
  <c r="Q40" i="91"/>
  <c r="R39" i="91"/>
  <c r="Q39" i="91"/>
  <c r="R38" i="91"/>
  <c r="Q38" i="91"/>
  <c r="R37" i="91"/>
  <c r="Q37" i="91"/>
  <c r="R36" i="91"/>
  <c r="Q36" i="91"/>
  <c r="R35" i="91"/>
  <c r="Q35" i="91"/>
  <c r="R34" i="91"/>
  <c r="Q34" i="91"/>
  <c r="R33" i="91"/>
  <c r="Q33" i="91"/>
  <c r="R32" i="91"/>
  <c r="Q32" i="91"/>
  <c r="R31" i="91"/>
  <c r="Q31" i="91"/>
  <c r="R30" i="91"/>
  <c r="Q30" i="91"/>
  <c r="R29" i="91"/>
  <c r="Q29" i="91"/>
  <c r="R28" i="91"/>
  <c r="Q28" i="91"/>
  <c r="R27" i="91"/>
  <c r="Q27" i="91"/>
  <c r="R26" i="91"/>
  <c r="Q26" i="91"/>
  <c r="R25" i="91"/>
  <c r="Q25" i="91"/>
  <c r="R24" i="91"/>
  <c r="Q24" i="91"/>
  <c r="R23" i="91"/>
  <c r="Q23" i="91"/>
  <c r="R22" i="91"/>
  <c r="Q22" i="91"/>
  <c r="R21" i="91"/>
  <c r="Q21" i="91"/>
  <c r="R20" i="91"/>
  <c r="Q20" i="91"/>
  <c r="R19" i="91"/>
  <c r="Q19" i="91"/>
  <c r="R18" i="91"/>
  <c r="Q18" i="91"/>
  <c r="R17" i="91"/>
  <c r="Q17" i="91"/>
  <c r="R16" i="91"/>
  <c r="Q16" i="91"/>
  <c r="R15" i="91"/>
  <c r="Q15" i="91"/>
  <c r="R14" i="91"/>
  <c r="Q14" i="91"/>
  <c r="R13" i="91"/>
  <c r="Q13" i="91"/>
  <c r="R12" i="91"/>
  <c r="Q12" i="91"/>
  <c r="R11" i="91"/>
  <c r="Q11" i="91"/>
  <c r="R10" i="91"/>
  <c r="Q10" i="91"/>
  <c r="R9" i="91"/>
  <c r="D4" i="91"/>
  <c r="Q9" i="91"/>
  <c r="A2" i="91" a="1"/>
  <c r="A2" i="91" s="1"/>
  <c r="A1" i="91" s="1"/>
  <c r="D21" i="126" s="1" a="1"/>
  <c r="D21" i="126" s="1"/>
  <c r="R208" i="90"/>
  <c r="Q208" i="90"/>
  <c r="R207" i="90"/>
  <c r="Q207" i="90"/>
  <c r="R206" i="90"/>
  <c r="Q206" i="90"/>
  <c r="R205" i="90"/>
  <c r="Q205" i="90"/>
  <c r="R204" i="90"/>
  <c r="Q204" i="90"/>
  <c r="R203" i="90"/>
  <c r="Q203" i="90"/>
  <c r="R202" i="90"/>
  <c r="Q202" i="90"/>
  <c r="R201" i="90"/>
  <c r="Q201" i="90"/>
  <c r="R200" i="90"/>
  <c r="Q200" i="90"/>
  <c r="R199" i="90"/>
  <c r="Q199" i="90"/>
  <c r="R198" i="90"/>
  <c r="Q198" i="90"/>
  <c r="R197" i="90"/>
  <c r="Q197" i="90"/>
  <c r="R196" i="90"/>
  <c r="Q196" i="90"/>
  <c r="R195" i="90"/>
  <c r="Q195" i="90"/>
  <c r="R194" i="90"/>
  <c r="Q194" i="90"/>
  <c r="R193" i="90"/>
  <c r="Q193" i="90"/>
  <c r="R192" i="90"/>
  <c r="Q192" i="90"/>
  <c r="R191" i="90"/>
  <c r="Q191" i="90"/>
  <c r="R190" i="90"/>
  <c r="Q190" i="90"/>
  <c r="R189" i="90"/>
  <c r="Q189" i="90"/>
  <c r="R188" i="90"/>
  <c r="Q188" i="90"/>
  <c r="R187" i="90"/>
  <c r="Q187" i="90"/>
  <c r="R186" i="90"/>
  <c r="Q186" i="90"/>
  <c r="R185" i="90"/>
  <c r="Q185" i="90"/>
  <c r="R184" i="90"/>
  <c r="Q184" i="90"/>
  <c r="R183" i="90"/>
  <c r="Q183" i="90"/>
  <c r="R182" i="90"/>
  <c r="Q182" i="90"/>
  <c r="R181" i="90"/>
  <c r="Q181" i="90"/>
  <c r="R180" i="90"/>
  <c r="Q180" i="90"/>
  <c r="R179" i="90"/>
  <c r="Q179" i="90"/>
  <c r="R178" i="90"/>
  <c r="Q178" i="90"/>
  <c r="R177" i="90"/>
  <c r="Q177" i="90"/>
  <c r="R176" i="90"/>
  <c r="Q176" i="90"/>
  <c r="R175" i="90"/>
  <c r="Q175" i="90"/>
  <c r="R174" i="90"/>
  <c r="Q174" i="90"/>
  <c r="R173" i="90"/>
  <c r="Q173" i="90"/>
  <c r="R172" i="90"/>
  <c r="Q172" i="90"/>
  <c r="R171" i="90"/>
  <c r="Q171" i="90"/>
  <c r="R170" i="90"/>
  <c r="Q170" i="90"/>
  <c r="R169" i="90"/>
  <c r="Q169" i="90"/>
  <c r="R168" i="90"/>
  <c r="Q168" i="90"/>
  <c r="R167" i="90"/>
  <c r="Q167" i="90"/>
  <c r="R166" i="90"/>
  <c r="Q166" i="90"/>
  <c r="R165" i="90"/>
  <c r="Q165" i="90"/>
  <c r="R164" i="90"/>
  <c r="Q164" i="90"/>
  <c r="R163" i="90"/>
  <c r="Q163" i="90"/>
  <c r="R162" i="90"/>
  <c r="Q162" i="90"/>
  <c r="R161" i="90"/>
  <c r="Q161" i="90"/>
  <c r="R160" i="90"/>
  <c r="Q160" i="90"/>
  <c r="R159" i="90"/>
  <c r="Q159" i="90"/>
  <c r="R158" i="90"/>
  <c r="Q158" i="90"/>
  <c r="R157" i="90"/>
  <c r="Q157" i="90"/>
  <c r="R156" i="90"/>
  <c r="Q156" i="90"/>
  <c r="R155" i="90"/>
  <c r="Q155" i="90"/>
  <c r="R154" i="90"/>
  <c r="Q154" i="90"/>
  <c r="R153" i="90"/>
  <c r="Q153" i="90"/>
  <c r="R152" i="90"/>
  <c r="Q152" i="90"/>
  <c r="R151" i="90"/>
  <c r="Q151" i="90"/>
  <c r="R150" i="90"/>
  <c r="Q150" i="90"/>
  <c r="R149" i="90"/>
  <c r="Q149" i="90"/>
  <c r="R148" i="90"/>
  <c r="Q148" i="90"/>
  <c r="R147" i="90"/>
  <c r="Q147" i="90"/>
  <c r="R146" i="90"/>
  <c r="Q146" i="90"/>
  <c r="R145" i="90"/>
  <c r="Q145" i="90"/>
  <c r="R144" i="90"/>
  <c r="Q144" i="90"/>
  <c r="R143" i="90"/>
  <c r="Q143" i="90"/>
  <c r="R142" i="90"/>
  <c r="Q142" i="90"/>
  <c r="R141" i="90"/>
  <c r="Q141" i="90"/>
  <c r="R140" i="90"/>
  <c r="Q140" i="90"/>
  <c r="R139" i="90"/>
  <c r="Q139" i="90"/>
  <c r="R138" i="90"/>
  <c r="Q138" i="90"/>
  <c r="R137" i="90"/>
  <c r="Q137" i="90"/>
  <c r="R136" i="90"/>
  <c r="Q136" i="90"/>
  <c r="R135" i="90"/>
  <c r="Q135" i="90"/>
  <c r="R134" i="90"/>
  <c r="Q134" i="90"/>
  <c r="R133" i="90"/>
  <c r="Q133" i="90"/>
  <c r="R132" i="90"/>
  <c r="Q132" i="90"/>
  <c r="R131" i="90"/>
  <c r="Q131" i="90"/>
  <c r="R130" i="90"/>
  <c r="Q130" i="90"/>
  <c r="R129" i="90"/>
  <c r="Q129" i="90"/>
  <c r="R128" i="90"/>
  <c r="Q128" i="90"/>
  <c r="R127" i="90"/>
  <c r="Q127" i="90"/>
  <c r="R126" i="90"/>
  <c r="Q126" i="90"/>
  <c r="R125" i="90"/>
  <c r="Q125" i="90"/>
  <c r="R124" i="90"/>
  <c r="Q124" i="90"/>
  <c r="R123" i="90"/>
  <c r="Q123" i="90"/>
  <c r="R122" i="90"/>
  <c r="Q122" i="90"/>
  <c r="R121" i="90"/>
  <c r="Q121" i="90"/>
  <c r="R120" i="90"/>
  <c r="Q120" i="90"/>
  <c r="R119" i="90"/>
  <c r="Q119" i="90"/>
  <c r="R118" i="90"/>
  <c r="Q118" i="90"/>
  <c r="R117" i="90"/>
  <c r="Q117" i="90"/>
  <c r="R116" i="90"/>
  <c r="Q116" i="90"/>
  <c r="R115" i="90"/>
  <c r="Q115" i="90"/>
  <c r="R114" i="90"/>
  <c r="Q114" i="90"/>
  <c r="R113" i="90"/>
  <c r="Q113" i="90"/>
  <c r="R112" i="90"/>
  <c r="Q112" i="90"/>
  <c r="R111" i="90"/>
  <c r="Q111" i="90"/>
  <c r="R110" i="90"/>
  <c r="Q110" i="90"/>
  <c r="R109" i="90"/>
  <c r="Q109" i="90"/>
  <c r="R108" i="90"/>
  <c r="Q108" i="90"/>
  <c r="R107" i="90"/>
  <c r="Q107" i="90"/>
  <c r="R106" i="90"/>
  <c r="Q106" i="90"/>
  <c r="R105" i="90"/>
  <c r="Q105" i="90"/>
  <c r="R104" i="90"/>
  <c r="Q104" i="90"/>
  <c r="R103" i="90"/>
  <c r="Q103" i="90"/>
  <c r="R102" i="90"/>
  <c r="Q102" i="90"/>
  <c r="R101" i="90"/>
  <c r="Q101" i="90"/>
  <c r="R100" i="90"/>
  <c r="Q100" i="90"/>
  <c r="R99" i="90"/>
  <c r="Q99" i="90"/>
  <c r="R98" i="90"/>
  <c r="Q98" i="90"/>
  <c r="R97" i="90"/>
  <c r="Q97" i="90"/>
  <c r="R96" i="90"/>
  <c r="Q96" i="90"/>
  <c r="R95" i="90"/>
  <c r="Q95" i="90"/>
  <c r="R94" i="90"/>
  <c r="Q94" i="90"/>
  <c r="R93" i="90"/>
  <c r="Q93" i="90"/>
  <c r="R92" i="90"/>
  <c r="Q92" i="90"/>
  <c r="R91" i="90"/>
  <c r="Q91" i="90"/>
  <c r="R90" i="90"/>
  <c r="Q90" i="90"/>
  <c r="R89" i="90"/>
  <c r="Q89" i="90"/>
  <c r="R88" i="90"/>
  <c r="Q88" i="90"/>
  <c r="R87" i="90"/>
  <c r="Q87" i="90"/>
  <c r="R86" i="90"/>
  <c r="Q86" i="90"/>
  <c r="R85" i="90"/>
  <c r="Q85" i="90"/>
  <c r="R84" i="90"/>
  <c r="Q84" i="90"/>
  <c r="R83" i="90"/>
  <c r="Q83" i="90"/>
  <c r="R82" i="90"/>
  <c r="Q82" i="90"/>
  <c r="R81" i="90"/>
  <c r="Q81" i="90"/>
  <c r="R80" i="90"/>
  <c r="Q80" i="90"/>
  <c r="R79" i="90"/>
  <c r="Q79" i="90"/>
  <c r="R78" i="90"/>
  <c r="Q78" i="90"/>
  <c r="R77" i="90"/>
  <c r="Q77" i="90"/>
  <c r="R76" i="90"/>
  <c r="Q76" i="90"/>
  <c r="R75" i="90"/>
  <c r="Q75" i="90"/>
  <c r="R74" i="90"/>
  <c r="Q74" i="90"/>
  <c r="R73" i="90"/>
  <c r="Q73" i="90"/>
  <c r="R72" i="90"/>
  <c r="Q72" i="90"/>
  <c r="R71" i="90"/>
  <c r="Q71" i="90"/>
  <c r="R70" i="90"/>
  <c r="Q70" i="90"/>
  <c r="R69" i="90"/>
  <c r="Q69" i="90"/>
  <c r="R68" i="90"/>
  <c r="Q68" i="90"/>
  <c r="R67" i="90"/>
  <c r="Q67" i="90"/>
  <c r="R66" i="90"/>
  <c r="Q66" i="90"/>
  <c r="R65" i="90"/>
  <c r="Q65" i="90"/>
  <c r="R64" i="90"/>
  <c r="Q64" i="90"/>
  <c r="R63" i="90"/>
  <c r="Q63" i="90"/>
  <c r="R62" i="90"/>
  <c r="Q62" i="90"/>
  <c r="R61" i="90"/>
  <c r="Q61" i="90"/>
  <c r="R60" i="90"/>
  <c r="Q60" i="90"/>
  <c r="R59" i="90"/>
  <c r="Q59" i="90"/>
  <c r="R58" i="90"/>
  <c r="Q58" i="90"/>
  <c r="R57" i="90"/>
  <c r="Q57" i="90"/>
  <c r="R56" i="90"/>
  <c r="Q56" i="90"/>
  <c r="R55" i="90"/>
  <c r="Q55" i="90"/>
  <c r="R54" i="90"/>
  <c r="Q54" i="90"/>
  <c r="R53" i="90"/>
  <c r="Q53" i="90"/>
  <c r="R52" i="90"/>
  <c r="Q52" i="90"/>
  <c r="R51" i="90"/>
  <c r="Q51" i="90"/>
  <c r="R50" i="90"/>
  <c r="Q50" i="90"/>
  <c r="R49" i="90"/>
  <c r="Q49" i="90"/>
  <c r="R48" i="90"/>
  <c r="Q48" i="90"/>
  <c r="R47" i="90"/>
  <c r="Q47" i="90"/>
  <c r="R46" i="90"/>
  <c r="Q46" i="90"/>
  <c r="R45" i="90"/>
  <c r="Q45" i="90"/>
  <c r="R44" i="90"/>
  <c r="Q44" i="90"/>
  <c r="R43" i="90"/>
  <c r="Q43" i="90"/>
  <c r="R42" i="90"/>
  <c r="Q42" i="90"/>
  <c r="R41" i="90"/>
  <c r="Q41" i="90"/>
  <c r="R40" i="90"/>
  <c r="Q40" i="90"/>
  <c r="R39" i="90"/>
  <c r="Q39" i="90"/>
  <c r="R38" i="90"/>
  <c r="Q38" i="90"/>
  <c r="R37" i="90"/>
  <c r="Q37" i="90"/>
  <c r="R36" i="90"/>
  <c r="Q36" i="90"/>
  <c r="R35" i="90"/>
  <c r="Q35" i="90"/>
  <c r="R34" i="90"/>
  <c r="Q34" i="90"/>
  <c r="R33" i="90"/>
  <c r="Q33" i="90"/>
  <c r="R32" i="90"/>
  <c r="Q32" i="90"/>
  <c r="R31" i="90"/>
  <c r="Q31" i="90"/>
  <c r="R30" i="90"/>
  <c r="Q30" i="90"/>
  <c r="R29" i="90"/>
  <c r="Q29" i="90"/>
  <c r="R28" i="90"/>
  <c r="Q28" i="90"/>
  <c r="R27" i="90"/>
  <c r="Q27" i="90"/>
  <c r="R26" i="90"/>
  <c r="Q26" i="90"/>
  <c r="R25" i="90"/>
  <c r="Q25" i="90"/>
  <c r="R24" i="90"/>
  <c r="Q24" i="90"/>
  <c r="R23" i="90"/>
  <c r="Q23" i="90"/>
  <c r="R22" i="90"/>
  <c r="Q22" i="90"/>
  <c r="R21" i="90"/>
  <c r="Q21" i="90"/>
  <c r="R20" i="90"/>
  <c r="Q20" i="90"/>
  <c r="R19" i="90"/>
  <c r="Q19" i="90"/>
  <c r="R18" i="90"/>
  <c r="Q18" i="90"/>
  <c r="R17" i="90"/>
  <c r="Q17" i="90"/>
  <c r="R16" i="90"/>
  <c r="Q16" i="90"/>
  <c r="R15" i="90"/>
  <c r="Q15" i="90"/>
  <c r="R14" i="90"/>
  <c r="Q14" i="90"/>
  <c r="R13" i="90"/>
  <c r="Q13" i="90"/>
  <c r="R12" i="90"/>
  <c r="Q12" i="90"/>
  <c r="R11" i="90"/>
  <c r="Q11" i="90"/>
  <c r="R10" i="90"/>
  <c r="Q10" i="90"/>
  <c r="R9" i="90"/>
  <c r="D4" i="90"/>
  <c r="Q9" i="90"/>
  <c r="A2" i="90" a="1"/>
  <c r="A2" i="90" s="1"/>
  <c r="A1" i="90" s="1"/>
  <c r="D20" i="126" s="1" a="1"/>
  <c r="D20" i="126" s="1"/>
  <c r="R208" i="89"/>
  <c r="Q208" i="89"/>
  <c r="R207" i="89"/>
  <c r="Q207" i="89"/>
  <c r="R206" i="89"/>
  <c r="Q206" i="89"/>
  <c r="R205" i="89"/>
  <c r="Q205" i="89"/>
  <c r="R204" i="89"/>
  <c r="Q204" i="89"/>
  <c r="R203" i="89"/>
  <c r="Q203" i="89"/>
  <c r="R202" i="89"/>
  <c r="Q202" i="89"/>
  <c r="R201" i="89"/>
  <c r="Q201" i="89"/>
  <c r="R200" i="89"/>
  <c r="Q200" i="89"/>
  <c r="R199" i="89"/>
  <c r="Q199" i="89"/>
  <c r="R198" i="89"/>
  <c r="Q198" i="89"/>
  <c r="R197" i="89"/>
  <c r="Q197" i="89"/>
  <c r="R196" i="89"/>
  <c r="Q196" i="89"/>
  <c r="R195" i="89"/>
  <c r="Q195" i="89"/>
  <c r="R194" i="89"/>
  <c r="Q194" i="89"/>
  <c r="R193" i="89"/>
  <c r="Q193" i="89"/>
  <c r="R192" i="89"/>
  <c r="Q192" i="89"/>
  <c r="R191" i="89"/>
  <c r="Q191" i="89"/>
  <c r="R190" i="89"/>
  <c r="Q190" i="89"/>
  <c r="R189" i="89"/>
  <c r="Q189" i="89"/>
  <c r="R188" i="89"/>
  <c r="Q188" i="89"/>
  <c r="R187" i="89"/>
  <c r="Q187" i="89"/>
  <c r="R186" i="89"/>
  <c r="Q186" i="89"/>
  <c r="R185" i="89"/>
  <c r="Q185" i="89"/>
  <c r="R184" i="89"/>
  <c r="Q184" i="89"/>
  <c r="R183" i="89"/>
  <c r="Q183" i="89"/>
  <c r="R182" i="89"/>
  <c r="Q182" i="89"/>
  <c r="R181" i="89"/>
  <c r="Q181" i="89"/>
  <c r="R180" i="89"/>
  <c r="Q180" i="89"/>
  <c r="R179" i="89"/>
  <c r="Q179" i="89"/>
  <c r="R178" i="89"/>
  <c r="Q178" i="89"/>
  <c r="R177" i="89"/>
  <c r="Q177" i="89"/>
  <c r="R176" i="89"/>
  <c r="Q176" i="89"/>
  <c r="R175" i="89"/>
  <c r="Q175" i="89"/>
  <c r="R174" i="89"/>
  <c r="Q174" i="89"/>
  <c r="R173" i="89"/>
  <c r="Q173" i="89"/>
  <c r="R172" i="89"/>
  <c r="Q172" i="89"/>
  <c r="R171" i="89"/>
  <c r="Q171" i="89"/>
  <c r="R170" i="89"/>
  <c r="Q170" i="89"/>
  <c r="R169" i="89"/>
  <c r="Q169" i="89"/>
  <c r="R168" i="89"/>
  <c r="Q168" i="89"/>
  <c r="R167" i="89"/>
  <c r="Q167" i="89"/>
  <c r="R166" i="89"/>
  <c r="Q166" i="89"/>
  <c r="R165" i="89"/>
  <c r="Q165" i="89"/>
  <c r="R164" i="89"/>
  <c r="Q164" i="89"/>
  <c r="R163" i="89"/>
  <c r="Q163" i="89"/>
  <c r="R162" i="89"/>
  <c r="Q162" i="89"/>
  <c r="R161" i="89"/>
  <c r="Q161" i="89"/>
  <c r="R160" i="89"/>
  <c r="Q160" i="89"/>
  <c r="R159" i="89"/>
  <c r="Q159" i="89"/>
  <c r="R158" i="89"/>
  <c r="Q158" i="89"/>
  <c r="R157" i="89"/>
  <c r="Q157" i="89"/>
  <c r="R156" i="89"/>
  <c r="Q156" i="89"/>
  <c r="R155" i="89"/>
  <c r="Q155" i="89"/>
  <c r="R154" i="89"/>
  <c r="Q154" i="89"/>
  <c r="R153" i="89"/>
  <c r="Q153" i="89"/>
  <c r="R152" i="89"/>
  <c r="Q152" i="89"/>
  <c r="R151" i="89"/>
  <c r="Q151" i="89"/>
  <c r="R150" i="89"/>
  <c r="Q150" i="89"/>
  <c r="R149" i="89"/>
  <c r="Q149" i="89"/>
  <c r="R148" i="89"/>
  <c r="Q148" i="89"/>
  <c r="R147" i="89"/>
  <c r="Q147" i="89"/>
  <c r="R146" i="89"/>
  <c r="Q146" i="89"/>
  <c r="R145" i="89"/>
  <c r="Q145" i="89"/>
  <c r="R144" i="89"/>
  <c r="Q144" i="89"/>
  <c r="R143" i="89"/>
  <c r="Q143" i="89"/>
  <c r="R142" i="89"/>
  <c r="Q142" i="89"/>
  <c r="R141" i="89"/>
  <c r="Q141" i="89"/>
  <c r="R140" i="89"/>
  <c r="Q140" i="89"/>
  <c r="R139" i="89"/>
  <c r="Q139" i="89"/>
  <c r="R138" i="89"/>
  <c r="Q138" i="89"/>
  <c r="R137" i="89"/>
  <c r="Q137" i="89"/>
  <c r="R136" i="89"/>
  <c r="Q136" i="89"/>
  <c r="R135" i="89"/>
  <c r="Q135" i="89"/>
  <c r="R134" i="89"/>
  <c r="Q134" i="89"/>
  <c r="R133" i="89"/>
  <c r="Q133" i="89"/>
  <c r="R132" i="89"/>
  <c r="Q132" i="89"/>
  <c r="R131" i="89"/>
  <c r="Q131" i="89"/>
  <c r="R130" i="89"/>
  <c r="Q130" i="89"/>
  <c r="R129" i="89"/>
  <c r="Q129" i="89"/>
  <c r="R128" i="89"/>
  <c r="Q128" i="89"/>
  <c r="R127" i="89"/>
  <c r="Q127" i="89"/>
  <c r="R126" i="89"/>
  <c r="Q126" i="89"/>
  <c r="R125" i="89"/>
  <c r="Q125" i="89"/>
  <c r="R124" i="89"/>
  <c r="Q124" i="89"/>
  <c r="R123" i="89"/>
  <c r="Q123" i="89"/>
  <c r="R122" i="89"/>
  <c r="Q122" i="89"/>
  <c r="R121" i="89"/>
  <c r="Q121" i="89"/>
  <c r="R120" i="89"/>
  <c r="Q120" i="89"/>
  <c r="R119" i="89"/>
  <c r="Q119" i="89"/>
  <c r="R118" i="89"/>
  <c r="Q118" i="89"/>
  <c r="R117" i="89"/>
  <c r="Q117" i="89"/>
  <c r="R116" i="89"/>
  <c r="Q116" i="89"/>
  <c r="R115" i="89"/>
  <c r="Q115" i="89"/>
  <c r="R114" i="89"/>
  <c r="Q114" i="89"/>
  <c r="R113" i="89"/>
  <c r="Q113" i="89"/>
  <c r="R112" i="89"/>
  <c r="Q112" i="89"/>
  <c r="R111" i="89"/>
  <c r="Q111" i="89"/>
  <c r="R110" i="89"/>
  <c r="Q110" i="89"/>
  <c r="R109" i="89"/>
  <c r="Q109" i="89"/>
  <c r="R108" i="89"/>
  <c r="Q108" i="89"/>
  <c r="R107" i="89"/>
  <c r="Q107" i="89"/>
  <c r="R106" i="89"/>
  <c r="Q106" i="89"/>
  <c r="R105" i="89"/>
  <c r="Q105" i="89"/>
  <c r="R104" i="89"/>
  <c r="Q104" i="89"/>
  <c r="R103" i="89"/>
  <c r="Q103" i="89"/>
  <c r="R102" i="89"/>
  <c r="Q102" i="89"/>
  <c r="R101" i="89"/>
  <c r="Q101" i="89"/>
  <c r="R100" i="89"/>
  <c r="Q100" i="89"/>
  <c r="R99" i="89"/>
  <c r="Q99" i="89"/>
  <c r="R98" i="89"/>
  <c r="Q98" i="89"/>
  <c r="R97" i="89"/>
  <c r="Q97" i="89"/>
  <c r="R96" i="89"/>
  <c r="Q96" i="89"/>
  <c r="R95" i="89"/>
  <c r="Q95" i="89"/>
  <c r="R94" i="89"/>
  <c r="Q94" i="89"/>
  <c r="R93" i="89"/>
  <c r="Q93" i="89"/>
  <c r="R92" i="89"/>
  <c r="Q92" i="89"/>
  <c r="R91" i="89"/>
  <c r="Q91" i="89"/>
  <c r="R90" i="89"/>
  <c r="Q90" i="89"/>
  <c r="R89" i="89"/>
  <c r="Q89" i="89"/>
  <c r="R88" i="89"/>
  <c r="Q88" i="89"/>
  <c r="R87" i="89"/>
  <c r="Q87" i="89"/>
  <c r="R86" i="89"/>
  <c r="Q86" i="89"/>
  <c r="R85" i="89"/>
  <c r="Q85" i="89"/>
  <c r="R84" i="89"/>
  <c r="Q84" i="89"/>
  <c r="R83" i="89"/>
  <c r="Q83" i="89"/>
  <c r="R82" i="89"/>
  <c r="Q82" i="89"/>
  <c r="R81" i="89"/>
  <c r="Q81" i="89"/>
  <c r="R80" i="89"/>
  <c r="Q80" i="89"/>
  <c r="R79" i="89"/>
  <c r="Q79" i="89"/>
  <c r="R78" i="89"/>
  <c r="Q78" i="89"/>
  <c r="R77" i="89"/>
  <c r="Q77" i="89"/>
  <c r="R76" i="89"/>
  <c r="Q76" i="89"/>
  <c r="R75" i="89"/>
  <c r="Q75" i="89"/>
  <c r="R74" i="89"/>
  <c r="Q74" i="89"/>
  <c r="R73" i="89"/>
  <c r="Q73" i="89"/>
  <c r="R72" i="89"/>
  <c r="Q72" i="89"/>
  <c r="R71" i="89"/>
  <c r="Q71" i="89"/>
  <c r="R70" i="89"/>
  <c r="Q70" i="89"/>
  <c r="R69" i="89"/>
  <c r="Q69" i="89"/>
  <c r="R68" i="89"/>
  <c r="Q68" i="89"/>
  <c r="R67" i="89"/>
  <c r="Q67" i="89"/>
  <c r="R66" i="89"/>
  <c r="Q66" i="89"/>
  <c r="R65" i="89"/>
  <c r="Q65" i="89"/>
  <c r="R64" i="89"/>
  <c r="Q64" i="89"/>
  <c r="R63" i="89"/>
  <c r="Q63" i="89"/>
  <c r="R62" i="89"/>
  <c r="Q62" i="89"/>
  <c r="R61" i="89"/>
  <c r="Q61" i="89"/>
  <c r="R60" i="89"/>
  <c r="Q60" i="89"/>
  <c r="R59" i="89"/>
  <c r="Q59" i="89"/>
  <c r="R58" i="89"/>
  <c r="Q58" i="89"/>
  <c r="R57" i="89"/>
  <c r="Q57" i="89"/>
  <c r="R56" i="89"/>
  <c r="Q56" i="89"/>
  <c r="R55" i="89"/>
  <c r="Q55" i="89"/>
  <c r="R54" i="89"/>
  <c r="Q54" i="89"/>
  <c r="R53" i="89"/>
  <c r="Q53" i="89"/>
  <c r="R52" i="89"/>
  <c r="Q52" i="89"/>
  <c r="R51" i="89"/>
  <c r="Q51" i="89"/>
  <c r="R50" i="89"/>
  <c r="Q50" i="89"/>
  <c r="R49" i="89"/>
  <c r="Q49" i="89"/>
  <c r="R48" i="89"/>
  <c r="Q48" i="89"/>
  <c r="R47" i="89"/>
  <c r="Q47" i="89"/>
  <c r="R46" i="89"/>
  <c r="Q46" i="89"/>
  <c r="R45" i="89"/>
  <c r="Q45" i="89"/>
  <c r="R44" i="89"/>
  <c r="Q44" i="89"/>
  <c r="R43" i="89"/>
  <c r="Q43" i="89"/>
  <c r="R42" i="89"/>
  <c r="Q42" i="89"/>
  <c r="R41" i="89"/>
  <c r="Q41" i="89"/>
  <c r="R40" i="89"/>
  <c r="Q40" i="89"/>
  <c r="R39" i="89"/>
  <c r="Q39" i="89"/>
  <c r="R38" i="89"/>
  <c r="Q38" i="89"/>
  <c r="R37" i="89"/>
  <c r="Q37" i="89"/>
  <c r="R36" i="89"/>
  <c r="Q36" i="89"/>
  <c r="R35" i="89"/>
  <c r="Q35" i="89"/>
  <c r="R34" i="89"/>
  <c r="Q34" i="89"/>
  <c r="R33" i="89"/>
  <c r="Q33" i="89"/>
  <c r="R32" i="89"/>
  <c r="Q32" i="89"/>
  <c r="R31" i="89"/>
  <c r="Q31" i="89"/>
  <c r="R30" i="89"/>
  <c r="Q30" i="89"/>
  <c r="R29" i="89"/>
  <c r="Q29" i="89"/>
  <c r="R28" i="89"/>
  <c r="Q28" i="89"/>
  <c r="R27" i="89"/>
  <c r="Q27" i="89"/>
  <c r="R26" i="89"/>
  <c r="Q26" i="89"/>
  <c r="R25" i="89"/>
  <c r="Q25" i="89"/>
  <c r="R24" i="89"/>
  <c r="Q24" i="89"/>
  <c r="R23" i="89"/>
  <c r="Q23" i="89"/>
  <c r="R22" i="89"/>
  <c r="Q22" i="89"/>
  <c r="R21" i="89"/>
  <c r="Q21" i="89"/>
  <c r="R20" i="89"/>
  <c r="Q20" i="89"/>
  <c r="R19" i="89"/>
  <c r="Q19" i="89"/>
  <c r="R18" i="89"/>
  <c r="Q18" i="89"/>
  <c r="R17" i="89"/>
  <c r="Q17" i="89"/>
  <c r="R16" i="89"/>
  <c r="Q16" i="89"/>
  <c r="R15" i="89"/>
  <c r="Q15" i="89"/>
  <c r="R14" i="89"/>
  <c r="Q14" i="89"/>
  <c r="R13" i="89"/>
  <c r="Q13" i="89"/>
  <c r="R12" i="89"/>
  <c r="Q12" i="89"/>
  <c r="R11" i="89"/>
  <c r="Q11" i="89"/>
  <c r="R10" i="89"/>
  <c r="Q10" i="89"/>
  <c r="R9" i="89"/>
  <c r="D4" i="89"/>
  <c r="Q9" i="89"/>
  <c r="A2" i="89" a="1"/>
  <c r="A2" i="89" s="1"/>
  <c r="A1" i="89" s="1"/>
  <c r="D19" i="126" s="1" a="1"/>
  <c r="D19" i="126" s="1"/>
  <c r="R208" i="88"/>
  <c r="Q208" i="88"/>
  <c r="R207" i="88"/>
  <c r="Q207" i="88"/>
  <c r="R206" i="88"/>
  <c r="Q206" i="88"/>
  <c r="R205" i="88"/>
  <c r="Q205" i="88"/>
  <c r="R204" i="88"/>
  <c r="Q204" i="88"/>
  <c r="R203" i="88"/>
  <c r="Q203" i="88"/>
  <c r="R202" i="88"/>
  <c r="Q202" i="88"/>
  <c r="R201" i="88"/>
  <c r="Q201" i="88"/>
  <c r="R200" i="88"/>
  <c r="Q200" i="88"/>
  <c r="R199" i="88"/>
  <c r="Q199" i="88"/>
  <c r="R198" i="88"/>
  <c r="Q198" i="88"/>
  <c r="R197" i="88"/>
  <c r="Q197" i="88"/>
  <c r="R196" i="88"/>
  <c r="Q196" i="88"/>
  <c r="R195" i="88"/>
  <c r="Q195" i="88"/>
  <c r="R194" i="88"/>
  <c r="Q194" i="88"/>
  <c r="R193" i="88"/>
  <c r="Q193" i="88"/>
  <c r="R192" i="88"/>
  <c r="Q192" i="88"/>
  <c r="R191" i="88"/>
  <c r="Q191" i="88"/>
  <c r="R190" i="88"/>
  <c r="Q190" i="88"/>
  <c r="R189" i="88"/>
  <c r="Q189" i="88"/>
  <c r="R188" i="88"/>
  <c r="Q188" i="88"/>
  <c r="R187" i="88"/>
  <c r="Q187" i="88"/>
  <c r="R186" i="88"/>
  <c r="Q186" i="88"/>
  <c r="R185" i="88"/>
  <c r="Q185" i="88"/>
  <c r="R184" i="88"/>
  <c r="Q184" i="88"/>
  <c r="R183" i="88"/>
  <c r="Q183" i="88"/>
  <c r="R182" i="88"/>
  <c r="Q182" i="88"/>
  <c r="R181" i="88"/>
  <c r="Q181" i="88"/>
  <c r="R180" i="88"/>
  <c r="Q180" i="88"/>
  <c r="R179" i="88"/>
  <c r="Q179" i="88"/>
  <c r="R178" i="88"/>
  <c r="Q178" i="88"/>
  <c r="R177" i="88"/>
  <c r="Q177" i="88"/>
  <c r="R176" i="88"/>
  <c r="Q176" i="88"/>
  <c r="R175" i="88"/>
  <c r="Q175" i="88"/>
  <c r="R174" i="88"/>
  <c r="Q174" i="88"/>
  <c r="R173" i="88"/>
  <c r="Q173" i="88"/>
  <c r="R172" i="88"/>
  <c r="Q172" i="88"/>
  <c r="R171" i="88"/>
  <c r="Q171" i="88"/>
  <c r="R170" i="88"/>
  <c r="Q170" i="88"/>
  <c r="R169" i="88"/>
  <c r="Q169" i="88"/>
  <c r="R168" i="88"/>
  <c r="Q168" i="88"/>
  <c r="R167" i="88"/>
  <c r="Q167" i="88"/>
  <c r="R166" i="88"/>
  <c r="Q166" i="88"/>
  <c r="R165" i="88"/>
  <c r="Q165" i="88"/>
  <c r="R164" i="88"/>
  <c r="Q164" i="88"/>
  <c r="R163" i="88"/>
  <c r="Q163" i="88"/>
  <c r="R162" i="88"/>
  <c r="Q162" i="88"/>
  <c r="R161" i="88"/>
  <c r="Q161" i="88"/>
  <c r="R160" i="88"/>
  <c r="Q160" i="88"/>
  <c r="R159" i="88"/>
  <c r="Q159" i="88"/>
  <c r="R158" i="88"/>
  <c r="Q158" i="88"/>
  <c r="R157" i="88"/>
  <c r="Q157" i="88"/>
  <c r="R156" i="88"/>
  <c r="Q156" i="88"/>
  <c r="R155" i="88"/>
  <c r="Q155" i="88"/>
  <c r="R154" i="88"/>
  <c r="Q154" i="88"/>
  <c r="R153" i="88"/>
  <c r="Q153" i="88"/>
  <c r="R152" i="88"/>
  <c r="Q152" i="88"/>
  <c r="R151" i="88"/>
  <c r="Q151" i="88"/>
  <c r="R150" i="88"/>
  <c r="Q150" i="88"/>
  <c r="R149" i="88"/>
  <c r="Q149" i="88"/>
  <c r="R148" i="88"/>
  <c r="Q148" i="88"/>
  <c r="R147" i="88"/>
  <c r="Q147" i="88"/>
  <c r="R146" i="88"/>
  <c r="Q146" i="88"/>
  <c r="R145" i="88"/>
  <c r="Q145" i="88"/>
  <c r="R144" i="88"/>
  <c r="Q144" i="88"/>
  <c r="R143" i="88"/>
  <c r="Q143" i="88"/>
  <c r="R142" i="88"/>
  <c r="Q142" i="88"/>
  <c r="R141" i="88"/>
  <c r="Q141" i="88"/>
  <c r="R140" i="88"/>
  <c r="Q140" i="88"/>
  <c r="R139" i="88"/>
  <c r="Q139" i="88"/>
  <c r="R138" i="88"/>
  <c r="Q138" i="88"/>
  <c r="R137" i="88"/>
  <c r="Q137" i="88"/>
  <c r="R136" i="88"/>
  <c r="Q136" i="88"/>
  <c r="R135" i="88"/>
  <c r="Q135" i="88"/>
  <c r="R134" i="88"/>
  <c r="Q134" i="88"/>
  <c r="R133" i="88"/>
  <c r="Q133" i="88"/>
  <c r="R132" i="88"/>
  <c r="Q132" i="88"/>
  <c r="R131" i="88"/>
  <c r="Q131" i="88"/>
  <c r="R130" i="88"/>
  <c r="Q130" i="88"/>
  <c r="R129" i="88"/>
  <c r="Q129" i="88"/>
  <c r="R128" i="88"/>
  <c r="Q128" i="88"/>
  <c r="R127" i="88"/>
  <c r="Q127" i="88"/>
  <c r="R126" i="88"/>
  <c r="Q126" i="88"/>
  <c r="R125" i="88"/>
  <c r="Q125" i="88"/>
  <c r="R124" i="88"/>
  <c r="Q124" i="88"/>
  <c r="R123" i="88"/>
  <c r="Q123" i="88"/>
  <c r="R122" i="88"/>
  <c r="Q122" i="88"/>
  <c r="R121" i="88"/>
  <c r="Q121" i="88"/>
  <c r="R120" i="88"/>
  <c r="Q120" i="88"/>
  <c r="R119" i="88"/>
  <c r="Q119" i="88"/>
  <c r="R118" i="88"/>
  <c r="Q118" i="88"/>
  <c r="R117" i="88"/>
  <c r="Q117" i="88"/>
  <c r="R116" i="88"/>
  <c r="Q116" i="88"/>
  <c r="R115" i="88"/>
  <c r="Q115" i="88"/>
  <c r="R114" i="88"/>
  <c r="Q114" i="88"/>
  <c r="R113" i="88"/>
  <c r="Q113" i="88"/>
  <c r="R112" i="88"/>
  <c r="Q112" i="88"/>
  <c r="R111" i="88"/>
  <c r="Q111" i="88"/>
  <c r="R110" i="88"/>
  <c r="Q110" i="88"/>
  <c r="R109" i="88"/>
  <c r="Q109" i="88"/>
  <c r="R108" i="88"/>
  <c r="Q108" i="88"/>
  <c r="R107" i="88"/>
  <c r="Q107" i="88"/>
  <c r="R106" i="88"/>
  <c r="Q106" i="88"/>
  <c r="R105" i="88"/>
  <c r="Q105" i="88"/>
  <c r="R104" i="88"/>
  <c r="Q104" i="88"/>
  <c r="R103" i="88"/>
  <c r="Q103" i="88"/>
  <c r="R102" i="88"/>
  <c r="Q102" i="88"/>
  <c r="R101" i="88"/>
  <c r="Q101" i="88"/>
  <c r="R100" i="88"/>
  <c r="Q100" i="88"/>
  <c r="R99" i="88"/>
  <c r="Q99" i="88"/>
  <c r="R98" i="88"/>
  <c r="Q98" i="88"/>
  <c r="R97" i="88"/>
  <c r="Q97" i="88"/>
  <c r="R96" i="88"/>
  <c r="Q96" i="88"/>
  <c r="R95" i="88"/>
  <c r="Q95" i="88"/>
  <c r="R94" i="88"/>
  <c r="Q94" i="88"/>
  <c r="R93" i="88"/>
  <c r="Q93" i="88"/>
  <c r="R92" i="88"/>
  <c r="Q92" i="88"/>
  <c r="R91" i="88"/>
  <c r="Q91" i="88"/>
  <c r="R90" i="88"/>
  <c r="Q90" i="88"/>
  <c r="R89" i="88"/>
  <c r="Q89" i="88"/>
  <c r="R88" i="88"/>
  <c r="Q88" i="88"/>
  <c r="R87" i="88"/>
  <c r="Q87" i="88"/>
  <c r="R86" i="88"/>
  <c r="Q86" i="88"/>
  <c r="R85" i="88"/>
  <c r="Q85" i="88"/>
  <c r="R84" i="88"/>
  <c r="Q84" i="88"/>
  <c r="R83" i="88"/>
  <c r="Q83" i="88"/>
  <c r="R82" i="88"/>
  <c r="Q82" i="88"/>
  <c r="R81" i="88"/>
  <c r="Q81" i="88"/>
  <c r="R80" i="88"/>
  <c r="Q80" i="88"/>
  <c r="R79" i="88"/>
  <c r="Q79" i="88"/>
  <c r="R78" i="88"/>
  <c r="Q78" i="88"/>
  <c r="R77" i="88"/>
  <c r="Q77" i="88"/>
  <c r="R76" i="88"/>
  <c r="Q76" i="88"/>
  <c r="R75" i="88"/>
  <c r="Q75" i="88"/>
  <c r="R74" i="88"/>
  <c r="Q74" i="88"/>
  <c r="R73" i="88"/>
  <c r="Q73" i="88"/>
  <c r="R72" i="88"/>
  <c r="Q72" i="88"/>
  <c r="R71" i="88"/>
  <c r="Q71" i="88"/>
  <c r="R70" i="88"/>
  <c r="Q70" i="88"/>
  <c r="R69" i="88"/>
  <c r="Q69" i="88"/>
  <c r="R68" i="88"/>
  <c r="Q68" i="88"/>
  <c r="R67" i="88"/>
  <c r="Q67" i="88"/>
  <c r="R66" i="88"/>
  <c r="Q66" i="88"/>
  <c r="R65" i="88"/>
  <c r="Q65" i="88"/>
  <c r="R64" i="88"/>
  <c r="Q64" i="88"/>
  <c r="R63" i="88"/>
  <c r="Q63" i="88"/>
  <c r="R62" i="88"/>
  <c r="Q62" i="88"/>
  <c r="R61" i="88"/>
  <c r="Q61" i="88"/>
  <c r="R60" i="88"/>
  <c r="Q60" i="88"/>
  <c r="R59" i="88"/>
  <c r="Q59" i="88"/>
  <c r="R58" i="88"/>
  <c r="Q58" i="88"/>
  <c r="R57" i="88"/>
  <c r="Q57" i="88"/>
  <c r="R56" i="88"/>
  <c r="Q56" i="88"/>
  <c r="R55" i="88"/>
  <c r="Q55" i="88"/>
  <c r="R54" i="88"/>
  <c r="Q54" i="88"/>
  <c r="R53" i="88"/>
  <c r="Q53" i="88"/>
  <c r="R52" i="88"/>
  <c r="Q52" i="88"/>
  <c r="R51" i="88"/>
  <c r="Q51" i="88"/>
  <c r="R50" i="88"/>
  <c r="Q50" i="88"/>
  <c r="R49" i="88"/>
  <c r="Q49" i="88"/>
  <c r="R48" i="88"/>
  <c r="Q48" i="88"/>
  <c r="R47" i="88"/>
  <c r="Q47" i="88"/>
  <c r="R46" i="88"/>
  <c r="Q46" i="88"/>
  <c r="R45" i="88"/>
  <c r="Q45" i="88"/>
  <c r="R44" i="88"/>
  <c r="Q44" i="88"/>
  <c r="R43" i="88"/>
  <c r="Q43" i="88"/>
  <c r="R42" i="88"/>
  <c r="Q42" i="88"/>
  <c r="R41" i="88"/>
  <c r="Q41" i="88"/>
  <c r="R40" i="88"/>
  <c r="Q40" i="88"/>
  <c r="R39" i="88"/>
  <c r="Q39" i="88"/>
  <c r="R38" i="88"/>
  <c r="Q38" i="88"/>
  <c r="R37" i="88"/>
  <c r="Q37" i="88"/>
  <c r="R36" i="88"/>
  <c r="Q36" i="88"/>
  <c r="R35" i="88"/>
  <c r="Q35" i="88"/>
  <c r="R34" i="88"/>
  <c r="Q34" i="88"/>
  <c r="R33" i="88"/>
  <c r="Q33" i="88"/>
  <c r="R32" i="88"/>
  <c r="Q32" i="88"/>
  <c r="R31" i="88"/>
  <c r="Q31" i="88"/>
  <c r="R30" i="88"/>
  <c r="Q30" i="88"/>
  <c r="R29" i="88"/>
  <c r="Q29" i="88"/>
  <c r="R28" i="88"/>
  <c r="Q28" i="88"/>
  <c r="R27" i="88"/>
  <c r="Q27" i="88"/>
  <c r="R26" i="88"/>
  <c r="Q26" i="88"/>
  <c r="R25" i="88"/>
  <c r="Q25" i="88"/>
  <c r="R24" i="88"/>
  <c r="Q24" i="88"/>
  <c r="R23" i="88"/>
  <c r="Q23" i="88"/>
  <c r="R22" i="88"/>
  <c r="Q22" i="88"/>
  <c r="R21" i="88"/>
  <c r="Q21" i="88"/>
  <c r="R20" i="88"/>
  <c r="Q20" i="88"/>
  <c r="R19" i="88"/>
  <c r="Q19" i="88"/>
  <c r="R18" i="88"/>
  <c r="Q18" i="88"/>
  <c r="R17" i="88"/>
  <c r="Q17" i="88"/>
  <c r="R16" i="88"/>
  <c r="Q16" i="88"/>
  <c r="R15" i="88"/>
  <c r="Q15" i="88"/>
  <c r="R14" i="88"/>
  <c r="Q14" i="88"/>
  <c r="R13" i="88"/>
  <c r="Q13" i="88"/>
  <c r="R12" i="88"/>
  <c r="Q12" i="88"/>
  <c r="R11" i="88"/>
  <c r="Q11" i="88"/>
  <c r="R10" i="88"/>
  <c r="Q10" i="88"/>
  <c r="R9" i="88"/>
  <c r="D4" i="88"/>
  <c r="Q9" i="88"/>
  <c r="A2" i="88" a="1"/>
  <c r="A2" i="88" s="1"/>
  <c r="A1" i="88" s="1"/>
  <c r="D18" i="126" s="1" a="1"/>
  <c r="D18" i="126" s="1"/>
  <c r="R208" i="87"/>
  <c r="Q208" i="87"/>
  <c r="R207" i="87"/>
  <c r="Q207" i="87"/>
  <c r="R206" i="87"/>
  <c r="Q206" i="87"/>
  <c r="R205" i="87"/>
  <c r="Q205" i="87"/>
  <c r="R204" i="87"/>
  <c r="Q204" i="87"/>
  <c r="R203" i="87"/>
  <c r="Q203" i="87"/>
  <c r="R202" i="87"/>
  <c r="Q202" i="87"/>
  <c r="R201" i="87"/>
  <c r="Q201" i="87"/>
  <c r="R200" i="87"/>
  <c r="Q200" i="87"/>
  <c r="R199" i="87"/>
  <c r="Q199" i="87"/>
  <c r="R198" i="87"/>
  <c r="Q198" i="87"/>
  <c r="R197" i="87"/>
  <c r="Q197" i="87"/>
  <c r="R196" i="87"/>
  <c r="Q196" i="87"/>
  <c r="R195" i="87"/>
  <c r="Q195" i="87"/>
  <c r="R194" i="87"/>
  <c r="Q194" i="87"/>
  <c r="R193" i="87"/>
  <c r="Q193" i="87"/>
  <c r="R192" i="87"/>
  <c r="Q192" i="87"/>
  <c r="R191" i="87"/>
  <c r="Q191" i="87"/>
  <c r="R190" i="87"/>
  <c r="Q190" i="87"/>
  <c r="R189" i="87"/>
  <c r="Q189" i="87"/>
  <c r="R188" i="87"/>
  <c r="Q188" i="87"/>
  <c r="R187" i="87"/>
  <c r="Q187" i="87"/>
  <c r="R186" i="87"/>
  <c r="Q186" i="87"/>
  <c r="R185" i="87"/>
  <c r="Q185" i="87"/>
  <c r="R184" i="87"/>
  <c r="Q184" i="87"/>
  <c r="R183" i="87"/>
  <c r="Q183" i="87"/>
  <c r="R182" i="87"/>
  <c r="Q182" i="87"/>
  <c r="R181" i="87"/>
  <c r="Q181" i="87"/>
  <c r="R180" i="87"/>
  <c r="Q180" i="87"/>
  <c r="R179" i="87"/>
  <c r="Q179" i="87"/>
  <c r="R178" i="87"/>
  <c r="Q178" i="87"/>
  <c r="R177" i="87"/>
  <c r="Q177" i="87"/>
  <c r="R176" i="87"/>
  <c r="Q176" i="87"/>
  <c r="R175" i="87"/>
  <c r="Q175" i="87"/>
  <c r="R174" i="87"/>
  <c r="Q174" i="87"/>
  <c r="R173" i="87"/>
  <c r="Q173" i="87"/>
  <c r="R172" i="87"/>
  <c r="Q172" i="87"/>
  <c r="R171" i="87"/>
  <c r="Q171" i="87"/>
  <c r="R170" i="87"/>
  <c r="Q170" i="87"/>
  <c r="R169" i="87"/>
  <c r="Q169" i="87"/>
  <c r="R168" i="87"/>
  <c r="Q168" i="87"/>
  <c r="R167" i="87"/>
  <c r="Q167" i="87"/>
  <c r="R166" i="87"/>
  <c r="Q166" i="87"/>
  <c r="R165" i="87"/>
  <c r="Q165" i="87"/>
  <c r="R164" i="87"/>
  <c r="Q164" i="87"/>
  <c r="R163" i="87"/>
  <c r="Q163" i="87"/>
  <c r="R162" i="87"/>
  <c r="Q162" i="87"/>
  <c r="R161" i="87"/>
  <c r="Q161" i="87"/>
  <c r="R160" i="87"/>
  <c r="Q160" i="87"/>
  <c r="R159" i="87"/>
  <c r="Q159" i="87"/>
  <c r="R158" i="87"/>
  <c r="Q158" i="87"/>
  <c r="R157" i="87"/>
  <c r="Q157" i="87"/>
  <c r="R156" i="87"/>
  <c r="Q156" i="87"/>
  <c r="R155" i="87"/>
  <c r="Q155" i="87"/>
  <c r="R154" i="87"/>
  <c r="Q154" i="87"/>
  <c r="R153" i="87"/>
  <c r="Q153" i="87"/>
  <c r="R152" i="87"/>
  <c r="Q152" i="87"/>
  <c r="R151" i="87"/>
  <c r="Q151" i="87"/>
  <c r="R150" i="87"/>
  <c r="Q150" i="87"/>
  <c r="R149" i="87"/>
  <c r="Q149" i="87"/>
  <c r="R148" i="87"/>
  <c r="Q148" i="87"/>
  <c r="R147" i="87"/>
  <c r="Q147" i="87"/>
  <c r="R146" i="87"/>
  <c r="Q146" i="87"/>
  <c r="R145" i="87"/>
  <c r="Q145" i="87"/>
  <c r="R144" i="87"/>
  <c r="Q144" i="87"/>
  <c r="R143" i="87"/>
  <c r="Q143" i="87"/>
  <c r="R142" i="87"/>
  <c r="Q142" i="87"/>
  <c r="R141" i="87"/>
  <c r="Q141" i="87"/>
  <c r="R140" i="87"/>
  <c r="Q140" i="87"/>
  <c r="R139" i="87"/>
  <c r="Q139" i="87"/>
  <c r="R138" i="87"/>
  <c r="Q138" i="87"/>
  <c r="R137" i="87"/>
  <c r="Q137" i="87"/>
  <c r="R136" i="87"/>
  <c r="Q136" i="87"/>
  <c r="R135" i="87"/>
  <c r="Q135" i="87"/>
  <c r="R134" i="87"/>
  <c r="Q134" i="87"/>
  <c r="R133" i="87"/>
  <c r="Q133" i="87"/>
  <c r="R132" i="87"/>
  <c r="Q132" i="87"/>
  <c r="R131" i="87"/>
  <c r="Q131" i="87"/>
  <c r="R130" i="87"/>
  <c r="Q130" i="87"/>
  <c r="R129" i="87"/>
  <c r="Q129" i="87"/>
  <c r="R128" i="87"/>
  <c r="Q128" i="87"/>
  <c r="R127" i="87"/>
  <c r="Q127" i="87"/>
  <c r="R126" i="87"/>
  <c r="Q126" i="87"/>
  <c r="R125" i="87"/>
  <c r="Q125" i="87"/>
  <c r="R124" i="87"/>
  <c r="Q124" i="87"/>
  <c r="R123" i="87"/>
  <c r="Q123" i="87"/>
  <c r="R122" i="87"/>
  <c r="Q122" i="87"/>
  <c r="R121" i="87"/>
  <c r="Q121" i="87"/>
  <c r="R120" i="87"/>
  <c r="Q120" i="87"/>
  <c r="R119" i="87"/>
  <c r="Q119" i="87"/>
  <c r="R118" i="87"/>
  <c r="Q118" i="87"/>
  <c r="R117" i="87"/>
  <c r="Q117" i="87"/>
  <c r="R116" i="87"/>
  <c r="Q116" i="87"/>
  <c r="R115" i="87"/>
  <c r="Q115" i="87"/>
  <c r="R114" i="87"/>
  <c r="Q114" i="87"/>
  <c r="R113" i="87"/>
  <c r="Q113" i="87"/>
  <c r="R112" i="87"/>
  <c r="Q112" i="87"/>
  <c r="R111" i="87"/>
  <c r="Q111" i="87"/>
  <c r="R110" i="87"/>
  <c r="Q110" i="87"/>
  <c r="R109" i="87"/>
  <c r="Q109" i="87"/>
  <c r="R108" i="87"/>
  <c r="Q108" i="87"/>
  <c r="R107" i="87"/>
  <c r="Q107" i="87"/>
  <c r="R106" i="87"/>
  <c r="Q106" i="87"/>
  <c r="R105" i="87"/>
  <c r="Q105" i="87"/>
  <c r="R104" i="87"/>
  <c r="Q104" i="87"/>
  <c r="R103" i="87"/>
  <c r="Q103" i="87"/>
  <c r="R102" i="87"/>
  <c r="Q102" i="87"/>
  <c r="R101" i="87"/>
  <c r="Q101" i="87"/>
  <c r="R100" i="87"/>
  <c r="Q100" i="87"/>
  <c r="R99" i="87"/>
  <c r="Q99" i="87"/>
  <c r="R98" i="87"/>
  <c r="Q98" i="87"/>
  <c r="R97" i="87"/>
  <c r="Q97" i="87"/>
  <c r="R96" i="87"/>
  <c r="Q96" i="87"/>
  <c r="R95" i="87"/>
  <c r="Q95" i="87"/>
  <c r="R94" i="87"/>
  <c r="Q94" i="87"/>
  <c r="R93" i="87"/>
  <c r="Q93" i="87"/>
  <c r="R92" i="87"/>
  <c r="Q92" i="87"/>
  <c r="R91" i="87"/>
  <c r="Q91" i="87"/>
  <c r="R90" i="87"/>
  <c r="Q90" i="87"/>
  <c r="R89" i="87"/>
  <c r="Q89" i="87"/>
  <c r="R88" i="87"/>
  <c r="Q88" i="87"/>
  <c r="R87" i="87"/>
  <c r="Q87" i="87"/>
  <c r="R86" i="87"/>
  <c r="Q86" i="87"/>
  <c r="R85" i="87"/>
  <c r="Q85" i="87"/>
  <c r="R84" i="87"/>
  <c r="Q84" i="87"/>
  <c r="R83" i="87"/>
  <c r="Q83" i="87"/>
  <c r="R82" i="87"/>
  <c r="Q82" i="87"/>
  <c r="R81" i="87"/>
  <c r="Q81" i="87"/>
  <c r="R80" i="87"/>
  <c r="Q80" i="87"/>
  <c r="R79" i="87"/>
  <c r="Q79" i="87"/>
  <c r="R78" i="87"/>
  <c r="Q78" i="87"/>
  <c r="R77" i="87"/>
  <c r="Q77" i="87"/>
  <c r="R76" i="87"/>
  <c r="Q76" i="87"/>
  <c r="R75" i="87"/>
  <c r="Q75" i="87"/>
  <c r="R74" i="87"/>
  <c r="Q74" i="87"/>
  <c r="R73" i="87"/>
  <c r="Q73" i="87"/>
  <c r="R72" i="87"/>
  <c r="Q72" i="87"/>
  <c r="R71" i="87"/>
  <c r="Q71" i="87"/>
  <c r="R70" i="87"/>
  <c r="Q70" i="87"/>
  <c r="R69" i="87"/>
  <c r="Q69" i="87"/>
  <c r="R68" i="87"/>
  <c r="Q68" i="87"/>
  <c r="R67" i="87"/>
  <c r="Q67" i="87"/>
  <c r="R66" i="87"/>
  <c r="Q66" i="87"/>
  <c r="R65" i="87"/>
  <c r="Q65" i="87"/>
  <c r="R64" i="87"/>
  <c r="Q64" i="87"/>
  <c r="R63" i="87"/>
  <c r="Q63" i="87"/>
  <c r="R62" i="87"/>
  <c r="Q62" i="87"/>
  <c r="R61" i="87"/>
  <c r="Q61" i="87"/>
  <c r="R60" i="87"/>
  <c r="Q60" i="87"/>
  <c r="R59" i="87"/>
  <c r="Q59" i="87"/>
  <c r="R58" i="87"/>
  <c r="Q58" i="87"/>
  <c r="R57" i="87"/>
  <c r="Q57" i="87"/>
  <c r="R56" i="87"/>
  <c r="Q56" i="87"/>
  <c r="R55" i="87"/>
  <c r="Q55" i="87"/>
  <c r="R54" i="87"/>
  <c r="Q54" i="87"/>
  <c r="R53" i="87"/>
  <c r="Q53" i="87"/>
  <c r="R52" i="87"/>
  <c r="Q52" i="87"/>
  <c r="R51" i="87"/>
  <c r="Q51" i="87"/>
  <c r="R50" i="87"/>
  <c r="Q50" i="87"/>
  <c r="R49" i="87"/>
  <c r="Q49" i="87"/>
  <c r="R48" i="87"/>
  <c r="Q48" i="87"/>
  <c r="R47" i="87"/>
  <c r="Q47" i="87"/>
  <c r="R46" i="87"/>
  <c r="Q46" i="87"/>
  <c r="R45" i="87"/>
  <c r="Q45" i="87"/>
  <c r="R44" i="87"/>
  <c r="Q44" i="87"/>
  <c r="R43" i="87"/>
  <c r="Q43" i="87"/>
  <c r="R42" i="87"/>
  <c r="Q42" i="87"/>
  <c r="R41" i="87"/>
  <c r="Q41" i="87"/>
  <c r="R40" i="87"/>
  <c r="Q40" i="87"/>
  <c r="R39" i="87"/>
  <c r="Q39" i="87"/>
  <c r="R38" i="87"/>
  <c r="Q38" i="87"/>
  <c r="R37" i="87"/>
  <c r="Q37" i="87"/>
  <c r="R36" i="87"/>
  <c r="Q36" i="87"/>
  <c r="R35" i="87"/>
  <c r="Q35" i="87"/>
  <c r="R34" i="87"/>
  <c r="Q34" i="87"/>
  <c r="R33" i="87"/>
  <c r="Q33" i="87"/>
  <c r="R32" i="87"/>
  <c r="Q32" i="87"/>
  <c r="R31" i="87"/>
  <c r="Q31" i="87"/>
  <c r="R30" i="87"/>
  <c r="Q30" i="87"/>
  <c r="R29" i="87"/>
  <c r="Q29" i="87"/>
  <c r="R28" i="87"/>
  <c r="Q28" i="87"/>
  <c r="R27" i="87"/>
  <c r="Q27" i="87"/>
  <c r="R26" i="87"/>
  <c r="Q26" i="87"/>
  <c r="R25" i="87"/>
  <c r="Q25" i="87"/>
  <c r="R24" i="87"/>
  <c r="Q24" i="87"/>
  <c r="R23" i="87"/>
  <c r="Q23" i="87"/>
  <c r="R22" i="87"/>
  <c r="Q22" i="87"/>
  <c r="R21" i="87"/>
  <c r="Q21" i="87"/>
  <c r="R20" i="87"/>
  <c r="Q20" i="87"/>
  <c r="R19" i="87"/>
  <c r="Q19" i="87"/>
  <c r="R18" i="87"/>
  <c r="Q18" i="87"/>
  <c r="R17" i="87"/>
  <c r="Q17" i="87"/>
  <c r="R16" i="87"/>
  <c r="Q16" i="87"/>
  <c r="R15" i="87"/>
  <c r="Q15" i="87"/>
  <c r="R14" i="87"/>
  <c r="Q14" i="87"/>
  <c r="R13" i="87"/>
  <c r="Q13" i="87"/>
  <c r="R12" i="87"/>
  <c r="Q12" i="87"/>
  <c r="R11" i="87"/>
  <c r="Q11" i="87"/>
  <c r="R10" i="87"/>
  <c r="Q10" i="87"/>
  <c r="R9" i="87"/>
  <c r="D4" i="87"/>
  <c r="Q9" i="87"/>
  <c r="A2" i="87" a="1"/>
  <c r="A2" i="87" s="1"/>
  <c r="A1" i="87" s="1"/>
  <c r="D17" i="126" s="1" a="1"/>
  <c r="D17" i="126" s="1"/>
  <c r="R208" i="86"/>
  <c r="Q208" i="86"/>
  <c r="R207" i="86"/>
  <c r="Q207" i="86"/>
  <c r="R206" i="86"/>
  <c r="Q206" i="86"/>
  <c r="R205" i="86"/>
  <c r="Q205" i="86"/>
  <c r="R204" i="86"/>
  <c r="Q204" i="86"/>
  <c r="R203" i="86"/>
  <c r="Q203" i="86"/>
  <c r="R202" i="86"/>
  <c r="Q202" i="86"/>
  <c r="R201" i="86"/>
  <c r="Q201" i="86"/>
  <c r="R200" i="86"/>
  <c r="Q200" i="86"/>
  <c r="R199" i="86"/>
  <c r="Q199" i="86"/>
  <c r="R198" i="86"/>
  <c r="Q198" i="86"/>
  <c r="R197" i="86"/>
  <c r="Q197" i="86"/>
  <c r="R196" i="86"/>
  <c r="Q196" i="86"/>
  <c r="R195" i="86"/>
  <c r="Q195" i="86"/>
  <c r="R194" i="86"/>
  <c r="Q194" i="86"/>
  <c r="R193" i="86"/>
  <c r="Q193" i="86"/>
  <c r="R192" i="86"/>
  <c r="Q192" i="86"/>
  <c r="R191" i="86"/>
  <c r="Q191" i="86"/>
  <c r="R190" i="86"/>
  <c r="Q190" i="86"/>
  <c r="R189" i="86"/>
  <c r="Q189" i="86"/>
  <c r="R188" i="86"/>
  <c r="Q188" i="86"/>
  <c r="R187" i="86"/>
  <c r="Q187" i="86"/>
  <c r="R186" i="86"/>
  <c r="Q186" i="86"/>
  <c r="R185" i="86"/>
  <c r="Q185" i="86"/>
  <c r="R184" i="86"/>
  <c r="Q184" i="86"/>
  <c r="R183" i="86"/>
  <c r="Q183" i="86"/>
  <c r="R182" i="86"/>
  <c r="Q182" i="86"/>
  <c r="R181" i="86"/>
  <c r="Q181" i="86"/>
  <c r="R180" i="86"/>
  <c r="Q180" i="86"/>
  <c r="R179" i="86"/>
  <c r="Q179" i="86"/>
  <c r="R178" i="86"/>
  <c r="Q178" i="86"/>
  <c r="R177" i="86"/>
  <c r="Q177" i="86"/>
  <c r="R176" i="86"/>
  <c r="Q176" i="86"/>
  <c r="R175" i="86"/>
  <c r="Q175" i="86"/>
  <c r="R174" i="86"/>
  <c r="Q174" i="86"/>
  <c r="R173" i="86"/>
  <c r="Q173" i="86"/>
  <c r="R172" i="86"/>
  <c r="Q172" i="86"/>
  <c r="R171" i="86"/>
  <c r="Q171" i="86"/>
  <c r="R170" i="86"/>
  <c r="Q170" i="86"/>
  <c r="R169" i="86"/>
  <c r="Q169" i="86"/>
  <c r="R168" i="86"/>
  <c r="Q168" i="86"/>
  <c r="R167" i="86"/>
  <c r="Q167" i="86"/>
  <c r="R166" i="86"/>
  <c r="Q166" i="86"/>
  <c r="R165" i="86"/>
  <c r="Q165" i="86"/>
  <c r="R164" i="86"/>
  <c r="Q164" i="86"/>
  <c r="R163" i="86"/>
  <c r="Q163" i="86"/>
  <c r="R162" i="86"/>
  <c r="Q162" i="86"/>
  <c r="R161" i="86"/>
  <c r="Q161" i="86"/>
  <c r="R160" i="86"/>
  <c r="Q160" i="86"/>
  <c r="R159" i="86"/>
  <c r="Q159" i="86"/>
  <c r="R158" i="86"/>
  <c r="Q158" i="86"/>
  <c r="R157" i="86"/>
  <c r="Q157" i="86"/>
  <c r="R156" i="86"/>
  <c r="Q156" i="86"/>
  <c r="R155" i="86"/>
  <c r="Q155" i="86"/>
  <c r="R154" i="86"/>
  <c r="Q154" i="86"/>
  <c r="R153" i="86"/>
  <c r="Q153" i="86"/>
  <c r="R152" i="86"/>
  <c r="Q152" i="86"/>
  <c r="R151" i="86"/>
  <c r="Q151" i="86"/>
  <c r="R150" i="86"/>
  <c r="Q150" i="86"/>
  <c r="R149" i="86"/>
  <c r="Q149" i="86"/>
  <c r="R148" i="86"/>
  <c r="Q148" i="86"/>
  <c r="R147" i="86"/>
  <c r="Q147" i="86"/>
  <c r="R146" i="86"/>
  <c r="Q146" i="86"/>
  <c r="R145" i="86"/>
  <c r="Q145" i="86"/>
  <c r="R144" i="86"/>
  <c r="Q144" i="86"/>
  <c r="R143" i="86"/>
  <c r="Q143" i="86"/>
  <c r="R142" i="86"/>
  <c r="Q142" i="86"/>
  <c r="R141" i="86"/>
  <c r="Q141" i="86"/>
  <c r="R140" i="86"/>
  <c r="Q140" i="86"/>
  <c r="R139" i="86"/>
  <c r="Q139" i="86"/>
  <c r="R138" i="86"/>
  <c r="Q138" i="86"/>
  <c r="R137" i="86"/>
  <c r="Q137" i="86"/>
  <c r="R136" i="86"/>
  <c r="Q136" i="86"/>
  <c r="R135" i="86"/>
  <c r="Q135" i="86"/>
  <c r="R134" i="86"/>
  <c r="Q134" i="86"/>
  <c r="R133" i="86"/>
  <c r="Q133" i="86"/>
  <c r="R132" i="86"/>
  <c r="Q132" i="86"/>
  <c r="R131" i="86"/>
  <c r="Q131" i="86"/>
  <c r="R130" i="86"/>
  <c r="Q130" i="86"/>
  <c r="R129" i="86"/>
  <c r="Q129" i="86"/>
  <c r="R128" i="86"/>
  <c r="Q128" i="86"/>
  <c r="R127" i="86"/>
  <c r="Q127" i="86"/>
  <c r="R126" i="86"/>
  <c r="Q126" i="86"/>
  <c r="R125" i="86"/>
  <c r="Q125" i="86"/>
  <c r="R124" i="86"/>
  <c r="Q124" i="86"/>
  <c r="R123" i="86"/>
  <c r="Q123" i="86"/>
  <c r="R122" i="86"/>
  <c r="Q122" i="86"/>
  <c r="R121" i="86"/>
  <c r="Q121" i="86"/>
  <c r="R120" i="86"/>
  <c r="Q120" i="86"/>
  <c r="R119" i="86"/>
  <c r="Q119" i="86"/>
  <c r="R118" i="86"/>
  <c r="Q118" i="86"/>
  <c r="R117" i="86"/>
  <c r="Q117" i="86"/>
  <c r="R116" i="86"/>
  <c r="Q116" i="86"/>
  <c r="R115" i="86"/>
  <c r="Q115" i="86"/>
  <c r="R114" i="86"/>
  <c r="Q114" i="86"/>
  <c r="R113" i="86"/>
  <c r="Q113" i="86"/>
  <c r="R112" i="86"/>
  <c r="Q112" i="86"/>
  <c r="R111" i="86"/>
  <c r="Q111" i="86"/>
  <c r="R110" i="86"/>
  <c r="Q110" i="86"/>
  <c r="R109" i="86"/>
  <c r="Q109" i="86"/>
  <c r="R108" i="86"/>
  <c r="Q108" i="86"/>
  <c r="R107" i="86"/>
  <c r="Q107" i="86"/>
  <c r="R106" i="86"/>
  <c r="Q106" i="86"/>
  <c r="R105" i="86"/>
  <c r="Q105" i="86"/>
  <c r="R104" i="86"/>
  <c r="Q104" i="86"/>
  <c r="R103" i="86"/>
  <c r="Q103" i="86"/>
  <c r="R102" i="86"/>
  <c r="Q102" i="86"/>
  <c r="R101" i="86"/>
  <c r="Q101" i="86"/>
  <c r="R100" i="86"/>
  <c r="Q100" i="86"/>
  <c r="R99" i="86"/>
  <c r="Q99" i="86"/>
  <c r="R98" i="86"/>
  <c r="Q98" i="86"/>
  <c r="R97" i="86"/>
  <c r="Q97" i="86"/>
  <c r="R96" i="86"/>
  <c r="Q96" i="86"/>
  <c r="R95" i="86"/>
  <c r="Q95" i="86"/>
  <c r="R94" i="86"/>
  <c r="Q94" i="86"/>
  <c r="R93" i="86"/>
  <c r="Q93" i="86"/>
  <c r="R92" i="86"/>
  <c r="Q92" i="86"/>
  <c r="R91" i="86"/>
  <c r="Q91" i="86"/>
  <c r="R90" i="86"/>
  <c r="Q90" i="86"/>
  <c r="R89" i="86"/>
  <c r="Q89" i="86"/>
  <c r="R88" i="86"/>
  <c r="Q88" i="86"/>
  <c r="R87" i="86"/>
  <c r="Q87" i="86"/>
  <c r="R86" i="86"/>
  <c r="Q86" i="86"/>
  <c r="R85" i="86"/>
  <c r="Q85" i="86"/>
  <c r="R84" i="86"/>
  <c r="Q84" i="86"/>
  <c r="R83" i="86"/>
  <c r="Q83" i="86"/>
  <c r="R82" i="86"/>
  <c r="Q82" i="86"/>
  <c r="R81" i="86"/>
  <c r="Q81" i="86"/>
  <c r="R80" i="86"/>
  <c r="Q80" i="86"/>
  <c r="R79" i="86"/>
  <c r="Q79" i="86"/>
  <c r="R78" i="86"/>
  <c r="Q78" i="86"/>
  <c r="R77" i="86"/>
  <c r="Q77" i="86"/>
  <c r="R76" i="86"/>
  <c r="Q76" i="86"/>
  <c r="R75" i="86"/>
  <c r="Q75" i="86"/>
  <c r="R74" i="86"/>
  <c r="Q74" i="86"/>
  <c r="R73" i="86"/>
  <c r="Q73" i="86"/>
  <c r="R72" i="86"/>
  <c r="Q72" i="86"/>
  <c r="R71" i="86"/>
  <c r="Q71" i="86"/>
  <c r="R70" i="86"/>
  <c r="Q70" i="86"/>
  <c r="R69" i="86"/>
  <c r="Q69" i="86"/>
  <c r="R68" i="86"/>
  <c r="Q68" i="86"/>
  <c r="R67" i="86"/>
  <c r="Q67" i="86"/>
  <c r="R66" i="86"/>
  <c r="Q66" i="86"/>
  <c r="R65" i="86"/>
  <c r="Q65" i="86"/>
  <c r="R64" i="86"/>
  <c r="Q64" i="86"/>
  <c r="R63" i="86"/>
  <c r="Q63" i="86"/>
  <c r="R62" i="86"/>
  <c r="Q62" i="86"/>
  <c r="R61" i="86"/>
  <c r="Q61" i="86"/>
  <c r="R60" i="86"/>
  <c r="Q60" i="86"/>
  <c r="R59" i="86"/>
  <c r="Q59" i="86"/>
  <c r="R58" i="86"/>
  <c r="Q58" i="86"/>
  <c r="R57" i="86"/>
  <c r="Q57" i="86"/>
  <c r="R56" i="86"/>
  <c r="Q56" i="86"/>
  <c r="R55" i="86"/>
  <c r="Q55" i="86"/>
  <c r="R54" i="86"/>
  <c r="Q54" i="86"/>
  <c r="R53" i="86"/>
  <c r="Q53" i="86"/>
  <c r="R52" i="86"/>
  <c r="Q52" i="86"/>
  <c r="R51" i="86"/>
  <c r="Q51" i="86"/>
  <c r="R50" i="86"/>
  <c r="Q50" i="86"/>
  <c r="R49" i="86"/>
  <c r="Q49" i="86"/>
  <c r="R48" i="86"/>
  <c r="Q48" i="86"/>
  <c r="R47" i="86"/>
  <c r="Q47" i="86"/>
  <c r="R46" i="86"/>
  <c r="Q46" i="86"/>
  <c r="R45" i="86"/>
  <c r="Q45" i="86"/>
  <c r="R44" i="86"/>
  <c r="Q44" i="86"/>
  <c r="R43" i="86"/>
  <c r="Q43" i="86"/>
  <c r="R42" i="86"/>
  <c r="Q42" i="86"/>
  <c r="R41" i="86"/>
  <c r="Q41" i="86"/>
  <c r="R40" i="86"/>
  <c r="Q40" i="86"/>
  <c r="R39" i="86"/>
  <c r="Q39" i="86"/>
  <c r="R38" i="86"/>
  <c r="Q38" i="86"/>
  <c r="R37" i="86"/>
  <c r="Q37" i="86"/>
  <c r="R36" i="86"/>
  <c r="Q36" i="86"/>
  <c r="R35" i="86"/>
  <c r="Q35" i="86"/>
  <c r="R34" i="86"/>
  <c r="Q34" i="86"/>
  <c r="R33" i="86"/>
  <c r="Q33" i="86"/>
  <c r="R32" i="86"/>
  <c r="Q32" i="86"/>
  <c r="R31" i="86"/>
  <c r="Q31" i="86"/>
  <c r="R30" i="86"/>
  <c r="Q30" i="86"/>
  <c r="R29" i="86"/>
  <c r="Q29" i="86"/>
  <c r="R28" i="86"/>
  <c r="Q28" i="86"/>
  <c r="R27" i="86"/>
  <c r="Q27" i="86"/>
  <c r="R26" i="86"/>
  <c r="Q26" i="86"/>
  <c r="R25" i="86"/>
  <c r="Q25" i="86"/>
  <c r="R24" i="86"/>
  <c r="Q24" i="86"/>
  <c r="R23" i="86"/>
  <c r="Q23" i="86"/>
  <c r="R22" i="86"/>
  <c r="Q22" i="86"/>
  <c r="R21" i="86"/>
  <c r="Q21" i="86"/>
  <c r="R20" i="86"/>
  <c r="Q20" i="86"/>
  <c r="R19" i="86"/>
  <c r="Q19" i="86"/>
  <c r="R18" i="86"/>
  <c r="Q18" i="86"/>
  <c r="R17" i="86"/>
  <c r="Q17" i="86"/>
  <c r="R16" i="86"/>
  <c r="Q16" i="86"/>
  <c r="R15" i="86"/>
  <c r="Q15" i="86"/>
  <c r="R14" i="86"/>
  <c r="Q14" i="86"/>
  <c r="R13" i="86"/>
  <c r="Q13" i="86"/>
  <c r="R12" i="86"/>
  <c r="Q12" i="86"/>
  <c r="R11" i="86"/>
  <c r="Q11" i="86"/>
  <c r="R10" i="86"/>
  <c r="Q10" i="86"/>
  <c r="R9" i="86"/>
  <c r="D4" i="86"/>
  <c r="Q9" i="86"/>
  <c r="A2" i="86" a="1"/>
  <c r="A2" i="86" s="1"/>
  <c r="A1" i="86" s="1"/>
  <c r="D16" i="126" s="1" a="1"/>
  <c r="D16" i="126" s="1"/>
  <c r="R208" i="85"/>
  <c r="Q208" i="85"/>
  <c r="R207" i="85"/>
  <c r="Q207" i="85"/>
  <c r="R206" i="85"/>
  <c r="Q206" i="85"/>
  <c r="R205" i="85"/>
  <c r="Q205" i="85"/>
  <c r="R204" i="85"/>
  <c r="Q204" i="85"/>
  <c r="R203" i="85"/>
  <c r="Q203" i="85"/>
  <c r="R202" i="85"/>
  <c r="Q202" i="85"/>
  <c r="R201" i="85"/>
  <c r="Q201" i="85"/>
  <c r="R200" i="85"/>
  <c r="Q200" i="85"/>
  <c r="R199" i="85"/>
  <c r="Q199" i="85"/>
  <c r="R198" i="85"/>
  <c r="Q198" i="85"/>
  <c r="R197" i="85"/>
  <c r="Q197" i="85"/>
  <c r="R196" i="85"/>
  <c r="Q196" i="85"/>
  <c r="R195" i="85"/>
  <c r="Q195" i="85"/>
  <c r="R194" i="85"/>
  <c r="Q194" i="85"/>
  <c r="R193" i="85"/>
  <c r="Q193" i="85"/>
  <c r="R192" i="85"/>
  <c r="Q192" i="85"/>
  <c r="R191" i="85"/>
  <c r="Q191" i="85"/>
  <c r="R190" i="85"/>
  <c r="Q190" i="85"/>
  <c r="R189" i="85"/>
  <c r="Q189" i="85"/>
  <c r="R188" i="85"/>
  <c r="Q188" i="85"/>
  <c r="R187" i="85"/>
  <c r="Q187" i="85"/>
  <c r="R186" i="85"/>
  <c r="Q186" i="85"/>
  <c r="R185" i="85"/>
  <c r="Q185" i="85"/>
  <c r="R184" i="85"/>
  <c r="Q184" i="85"/>
  <c r="R183" i="85"/>
  <c r="Q183" i="85"/>
  <c r="R182" i="85"/>
  <c r="Q182" i="85"/>
  <c r="R181" i="85"/>
  <c r="Q181" i="85"/>
  <c r="R180" i="85"/>
  <c r="Q180" i="85"/>
  <c r="R179" i="85"/>
  <c r="Q179" i="85"/>
  <c r="R178" i="85"/>
  <c r="Q178" i="85"/>
  <c r="R177" i="85"/>
  <c r="Q177" i="85"/>
  <c r="R176" i="85"/>
  <c r="Q176" i="85"/>
  <c r="R175" i="85"/>
  <c r="Q175" i="85"/>
  <c r="R174" i="85"/>
  <c r="Q174" i="85"/>
  <c r="R173" i="85"/>
  <c r="Q173" i="85"/>
  <c r="R172" i="85"/>
  <c r="Q172" i="85"/>
  <c r="R171" i="85"/>
  <c r="Q171" i="85"/>
  <c r="R170" i="85"/>
  <c r="Q170" i="85"/>
  <c r="R169" i="85"/>
  <c r="Q169" i="85"/>
  <c r="R168" i="85"/>
  <c r="Q168" i="85"/>
  <c r="R167" i="85"/>
  <c r="Q167" i="85"/>
  <c r="R166" i="85"/>
  <c r="Q166" i="85"/>
  <c r="R165" i="85"/>
  <c r="Q165" i="85"/>
  <c r="R164" i="85"/>
  <c r="Q164" i="85"/>
  <c r="R163" i="85"/>
  <c r="Q163" i="85"/>
  <c r="R162" i="85"/>
  <c r="Q162" i="85"/>
  <c r="R161" i="85"/>
  <c r="Q161" i="85"/>
  <c r="R160" i="85"/>
  <c r="Q160" i="85"/>
  <c r="R159" i="85"/>
  <c r="Q159" i="85"/>
  <c r="R158" i="85"/>
  <c r="Q158" i="85"/>
  <c r="R157" i="85"/>
  <c r="Q157" i="85"/>
  <c r="R156" i="85"/>
  <c r="Q156" i="85"/>
  <c r="R155" i="85"/>
  <c r="Q155" i="85"/>
  <c r="R154" i="85"/>
  <c r="Q154" i="85"/>
  <c r="R153" i="85"/>
  <c r="Q153" i="85"/>
  <c r="R152" i="85"/>
  <c r="Q152" i="85"/>
  <c r="R151" i="85"/>
  <c r="Q151" i="85"/>
  <c r="R150" i="85"/>
  <c r="Q150" i="85"/>
  <c r="R149" i="85"/>
  <c r="Q149" i="85"/>
  <c r="R148" i="85"/>
  <c r="Q148" i="85"/>
  <c r="R147" i="85"/>
  <c r="Q147" i="85"/>
  <c r="R146" i="85"/>
  <c r="Q146" i="85"/>
  <c r="R145" i="85"/>
  <c r="Q145" i="85"/>
  <c r="R144" i="85"/>
  <c r="Q144" i="85"/>
  <c r="R143" i="85"/>
  <c r="Q143" i="85"/>
  <c r="R142" i="85"/>
  <c r="Q142" i="85"/>
  <c r="R141" i="85"/>
  <c r="Q141" i="85"/>
  <c r="R140" i="85"/>
  <c r="Q140" i="85"/>
  <c r="R139" i="85"/>
  <c r="Q139" i="85"/>
  <c r="R138" i="85"/>
  <c r="Q138" i="85"/>
  <c r="R137" i="85"/>
  <c r="Q137" i="85"/>
  <c r="R136" i="85"/>
  <c r="Q136" i="85"/>
  <c r="R135" i="85"/>
  <c r="Q135" i="85"/>
  <c r="R134" i="85"/>
  <c r="Q134" i="85"/>
  <c r="R133" i="85"/>
  <c r="Q133" i="85"/>
  <c r="R132" i="85"/>
  <c r="Q132" i="85"/>
  <c r="R131" i="85"/>
  <c r="Q131" i="85"/>
  <c r="R130" i="85"/>
  <c r="Q130" i="85"/>
  <c r="R129" i="85"/>
  <c r="Q129" i="85"/>
  <c r="R128" i="85"/>
  <c r="Q128" i="85"/>
  <c r="R127" i="85"/>
  <c r="Q127" i="85"/>
  <c r="R126" i="85"/>
  <c r="Q126" i="85"/>
  <c r="R125" i="85"/>
  <c r="Q125" i="85"/>
  <c r="R124" i="85"/>
  <c r="Q124" i="85"/>
  <c r="R123" i="85"/>
  <c r="Q123" i="85"/>
  <c r="R122" i="85"/>
  <c r="Q122" i="85"/>
  <c r="R121" i="85"/>
  <c r="Q121" i="85"/>
  <c r="R120" i="85"/>
  <c r="Q120" i="85"/>
  <c r="R119" i="85"/>
  <c r="Q119" i="85"/>
  <c r="R118" i="85"/>
  <c r="Q118" i="85"/>
  <c r="R117" i="85"/>
  <c r="Q117" i="85"/>
  <c r="R116" i="85"/>
  <c r="Q116" i="85"/>
  <c r="R115" i="85"/>
  <c r="Q115" i="85"/>
  <c r="R114" i="85"/>
  <c r="Q114" i="85"/>
  <c r="R113" i="85"/>
  <c r="Q113" i="85"/>
  <c r="R112" i="85"/>
  <c r="Q112" i="85"/>
  <c r="R111" i="85"/>
  <c r="Q111" i="85"/>
  <c r="R110" i="85"/>
  <c r="Q110" i="85"/>
  <c r="R109" i="85"/>
  <c r="Q109" i="85"/>
  <c r="R108" i="85"/>
  <c r="Q108" i="85"/>
  <c r="R107" i="85"/>
  <c r="Q107" i="85"/>
  <c r="R106" i="85"/>
  <c r="Q106" i="85"/>
  <c r="R105" i="85"/>
  <c r="Q105" i="85"/>
  <c r="R104" i="85"/>
  <c r="Q104" i="85"/>
  <c r="R103" i="85"/>
  <c r="Q103" i="85"/>
  <c r="R102" i="85"/>
  <c r="Q102" i="85"/>
  <c r="R101" i="85"/>
  <c r="Q101" i="85"/>
  <c r="R100" i="85"/>
  <c r="Q100" i="85"/>
  <c r="R99" i="85"/>
  <c r="Q99" i="85"/>
  <c r="R98" i="85"/>
  <c r="Q98" i="85"/>
  <c r="R97" i="85"/>
  <c r="Q97" i="85"/>
  <c r="R96" i="85"/>
  <c r="Q96" i="85"/>
  <c r="R95" i="85"/>
  <c r="Q95" i="85"/>
  <c r="R94" i="85"/>
  <c r="Q94" i="85"/>
  <c r="R93" i="85"/>
  <c r="Q93" i="85"/>
  <c r="R92" i="85"/>
  <c r="Q92" i="85"/>
  <c r="R91" i="85"/>
  <c r="Q91" i="85"/>
  <c r="R90" i="85"/>
  <c r="Q90" i="85"/>
  <c r="R89" i="85"/>
  <c r="Q89" i="85"/>
  <c r="R88" i="85"/>
  <c r="Q88" i="85"/>
  <c r="R87" i="85"/>
  <c r="Q87" i="85"/>
  <c r="R86" i="85"/>
  <c r="Q86" i="85"/>
  <c r="R85" i="85"/>
  <c r="Q85" i="85"/>
  <c r="R84" i="85"/>
  <c r="Q84" i="85"/>
  <c r="R83" i="85"/>
  <c r="Q83" i="85"/>
  <c r="R82" i="85"/>
  <c r="Q82" i="85"/>
  <c r="R81" i="85"/>
  <c r="Q81" i="85"/>
  <c r="R80" i="85"/>
  <c r="Q80" i="85"/>
  <c r="R79" i="85"/>
  <c r="Q79" i="85"/>
  <c r="R78" i="85"/>
  <c r="Q78" i="85"/>
  <c r="R77" i="85"/>
  <c r="Q77" i="85"/>
  <c r="R76" i="85"/>
  <c r="Q76" i="85"/>
  <c r="R75" i="85"/>
  <c r="Q75" i="85"/>
  <c r="R74" i="85"/>
  <c r="Q74" i="85"/>
  <c r="R73" i="85"/>
  <c r="Q73" i="85"/>
  <c r="R72" i="85"/>
  <c r="Q72" i="85"/>
  <c r="R71" i="85"/>
  <c r="Q71" i="85"/>
  <c r="R70" i="85"/>
  <c r="Q70" i="85"/>
  <c r="R69" i="85"/>
  <c r="Q69" i="85"/>
  <c r="R68" i="85"/>
  <c r="Q68" i="85"/>
  <c r="R67" i="85"/>
  <c r="Q67" i="85"/>
  <c r="R66" i="85"/>
  <c r="Q66" i="85"/>
  <c r="R65" i="85"/>
  <c r="Q65" i="85"/>
  <c r="R64" i="85"/>
  <c r="Q64" i="85"/>
  <c r="R63" i="85"/>
  <c r="Q63" i="85"/>
  <c r="R62" i="85"/>
  <c r="Q62" i="85"/>
  <c r="R61" i="85"/>
  <c r="Q61" i="85"/>
  <c r="R60" i="85"/>
  <c r="Q60" i="85"/>
  <c r="R59" i="85"/>
  <c r="Q59" i="85"/>
  <c r="R58" i="85"/>
  <c r="Q58" i="85"/>
  <c r="R57" i="85"/>
  <c r="Q57" i="85"/>
  <c r="R56" i="85"/>
  <c r="Q56" i="85"/>
  <c r="R55" i="85"/>
  <c r="Q55" i="85"/>
  <c r="R54" i="85"/>
  <c r="Q54" i="85"/>
  <c r="R53" i="85"/>
  <c r="Q53" i="85"/>
  <c r="R52" i="85"/>
  <c r="Q52" i="85"/>
  <c r="R51" i="85"/>
  <c r="Q51" i="85"/>
  <c r="R50" i="85"/>
  <c r="Q50" i="85"/>
  <c r="R49" i="85"/>
  <c r="Q49" i="85"/>
  <c r="R48" i="85"/>
  <c r="Q48" i="85"/>
  <c r="R47" i="85"/>
  <c r="Q47" i="85"/>
  <c r="R46" i="85"/>
  <c r="Q46" i="85"/>
  <c r="R45" i="85"/>
  <c r="Q45" i="85"/>
  <c r="R44" i="85"/>
  <c r="Q44" i="85"/>
  <c r="R43" i="85"/>
  <c r="Q43" i="85"/>
  <c r="R42" i="85"/>
  <c r="Q42" i="85"/>
  <c r="R41" i="85"/>
  <c r="Q41" i="85"/>
  <c r="R40" i="85"/>
  <c r="Q40" i="85"/>
  <c r="R39" i="85"/>
  <c r="Q39" i="85"/>
  <c r="R38" i="85"/>
  <c r="Q38" i="85"/>
  <c r="R37" i="85"/>
  <c r="Q37" i="85"/>
  <c r="R36" i="85"/>
  <c r="Q36" i="85"/>
  <c r="R35" i="85"/>
  <c r="Q35" i="85"/>
  <c r="R34" i="85"/>
  <c r="Q34" i="85"/>
  <c r="R33" i="85"/>
  <c r="Q33" i="85"/>
  <c r="R32" i="85"/>
  <c r="Q32" i="85"/>
  <c r="R31" i="85"/>
  <c r="Q31" i="85"/>
  <c r="R30" i="85"/>
  <c r="Q30" i="85"/>
  <c r="R29" i="85"/>
  <c r="Q29" i="85"/>
  <c r="R28" i="85"/>
  <c r="Q28" i="85"/>
  <c r="R27" i="85"/>
  <c r="Q27" i="85"/>
  <c r="R26" i="85"/>
  <c r="Q26" i="85"/>
  <c r="R25" i="85"/>
  <c r="Q25" i="85"/>
  <c r="R24" i="85"/>
  <c r="Q24" i="85"/>
  <c r="R23" i="85"/>
  <c r="Q23" i="85"/>
  <c r="R22" i="85"/>
  <c r="Q22" i="85"/>
  <c r="R21" i="85"/>
  <c r="Q21" i="85"/>
  <c r="R20" i="85"/>
  <c r="Q20" i="85"/>
  <c r="R19" i="85"/>
  <c r="Q19" i="85"/>
  <c r="R18" i="85"/>
  <c r="Q18" i="85"/>
  <c r="R17" i="85"/>
  <c r="Q17" i="85"/>
  <c r="R16" i="85"/>
  <c r="Q16" i="85"/>
  <c r="R15" i="85"/>
  <c r="Q15" i="85"/>
  <c r="R14" i="85"/>
  <c r="Q14" i="85"/>
  <c r="R13" i="85"/>
  <c r="Q13" i="85"/>
  <c r="R12" i="85"/>
  <c r="Q12" i="85"/>
  <c r="R11" i="85"/>
  <c r="Q11" i="85"/>
  <c r="R10" i="85"/>
  <c r="Q10" i="85"/>
  <c r="R9" i="85"/>
  <c r="D4" i="85"/>
  <c r="Q9" i="85"/>
  <c r="A2" i="85" a="1"/>
  <c r="A2" i="85" s="1"/>
  <c r="A1" i="85" s="1"/>
  <c r="D15" i="126" s="1" a="1"/>
  <c r="D15" i="126" s="1"/>
  <c r="R208" i="84"/>
  <c r="Q208" i="84"/>
  <c r="R207" i="84"/>
  <c r="Q207" i="84"/>
  <c r="R206" i="84"/>
  <c r="Q206" i="84"/>
  <c r="R205" i="84"/>
  <c r="Q205" i="84"/>
  <c r="R204" i="84"/>
  <c r="Q204" i="84"/>
  <c r="R203" i="84"/>
  <c r="Q203" i="84"/>
  <c r="R202" i="84"/>
  <c r="Q202" i="84"/>
  <c r="R201" i="84"/>
  <c r="Q201" i="84"/>
  <c r="R200" i="84"/>
  <c r="Q200" i="84"/>
  <c r="R199" i="84"/>
  <c r="Q199" i="84"/>
  <c r="R198" i="84"/>
  <c r="Q198" i="84"/>
  <c r="R197" i="84"/>
  <c r="Q197" i="84"/>
  <c r="R196" i="84"/>
  <c r="Q196" i="84"/>
  <c r="R195" i="84"/>
  <c r="Q195" i="84"/>
  <c r="R194" i="84"/>
  <c r="Q194" i="84"/>
  <c r="R193" i="84"/>
  <c r="Q193" i="84"/>
  <c r="R192" i="84"/>
  <c r="Q192" i="84"/>
  <c r="R191" i="84"/>
  <c r="Q191" i="84"/>
  <c r="R190" i="84"/>
  <c r="Q190" i="84"/>
  <c r="R189" i="84"/>
  <c r="Q189" i="84"/>
  <c r="R188" i="84"/>
  <c r="Q188" i="84"/>
  <c r="R187" i="84"/>
  <c r="Q187" i="84"/>
  <c r="R186" i="84"/>
  <c r="Q186" i="84"/>
  <c r="R185" i="84"/>
  <c r="Q185" i="84"/>
  <c r="R184" i="84"/>
  <c r="Q184" i="84"/>
  <c r="R183" i="84"/>
  <c r="Q183" i="84"/>
  <c r="R182" i="84"/>
  <c r="Q182" i="84"/>
  <c r="R181" i="84"/>
  <c r="Q181" i="84"/>
  <c r="R180" i="84"/>
  <c r="Q180" i="84"/>
  <c r="R179" i="84"/>
  <c r="Q179" i="84"/>
  <c r="R178" i="84"/>
  <c r="Q178" i="84"/>
  <c r="R177" i="84"/>
  <c r="Q177" i="84"/>
  <c r="R176" i="84"/>
  <c r="Q176" i="84"/>
  <c r="R175" i="84"/>
  <c r="Q175" i="84"/>
  <c r="R174" i="84"/>
  <c r="Q174" i="84"/>
  <c r="R173" i="84"/>
  <c r="Q173" i="84"/>
  <c r="R172" i="84"/>
  <c r="Q172" i="84"/>
  <c r="R171" i="84"/>
  <c r="Q171" i="84"/>
  <c r="R170" i="84"/>
  <c r="Q170" i="84"/>
  <c r="R169" i="84"/>
  <c r="Q169" i="84"/>
  <c r="R168" i="84"/>
  <c r="Q168" i="84"/>
  <c r="R167" i="84"/>
  <c r="Q167" i="84"/>
  <c r="R166" i="84"/>
  <c r="Q166" i="84"/>
  <c r="R165" i="84"/>
  <c r="Q165" i="84"/>
  <c r="R164" i="84"/>
  <c r="Q164" i="84"/>
  <c r="R163" i="84"/>
  <c r="Q163" i="84"/>
  <c r="R162" i="84"/>
  <c r="Q162" i="84"/>
  <c r="R161" i="84"/>
  <c r="Q161" i="84"/>
  <c r="R160" i="84"/>
  <c r="Q160" i="84"/>
  <c r="R159" i="84"/>
  <c r="Q159" i="84"/>
  <c r="R158" i="84"/>
  <c r="Q158" i="84"/>
  <c r="R157" i="84"/>
  <c r="Q157" i="84"/>
  <c r="R156" i="84"/>
  <c r="Q156" i="84"/>
  <c r="R155" i="84"/>
  <c r="Q155" i="84"/>
  <c r="R154" i="84"/>
  <c r="Q154" i="84"/>
  <c r="R153" i="84"/>
  <c r="Q153" i="84"/>
  <c r="R152" i="84"/>
  <c r="Q152" i="84"/>
  <c r="R151" i="84"/>
  <c r="Q151" i="84"/>
  <c r="R150" i="84"/>
  <c r="Q150" i="84"/>
  <c r="R149" i="84"/>
  <c r="Q149" i="84"/>
  <c r="R148" i="84"/>
  <c r="Q148" i="84"/>
  <c r="R147" i="84"/>
  <c r="Q147" i="84"/>
  <c r="R146" i="84"/>
  <c r="Q146" i="84"/>
  <c r="R145" i="84"/>
  <c r="Q145" i="84"/>
  <c r="R144" i="84"/>
  <c r="Q144" i="84"/>
  <c r="R143" i="84"/>
  <c r="Q143" i="84"/>
  <c r="R142" i="84"/>
  <c r="Q142" i="84"/>
  <c r="R141" i="84"/>
  <c r="Q141" i="84"/>
  <c r="R140" i="84"/>
  <c r="Q140" i="84"/>
  <c r="R139" i="84"/>
  <c r="Q139" i="84"/>
  <c r="R138" i="84"/>
  <c r="Q138" i="84"/>
  <c r="R137" i="84"/>
  <c r="Q137" i="84"/>
  <c r="R136" i="84"/>
  <c r="Q136" i="84"/>
  <c r="R135" i="84"/>
  <c r="Q135" i="84"/>
  <c r="R134" i="84"/>
  <c r="Q134" i="84"/>
  <c r="R133" i="84"/>
  <c r="Q133" i="84"/>
  <c r="R132" i="84"/>
  <c r="Q132" i="84"/>
  <c r="R131" i="84"/>
  <c r="Q131" i="84"/>
  <c r="R130" i="84"/>
  <c r="Q130" i="84"/>
  <c r="R129" i="84"/>
  <c r="Q129" i="84"/>
  <c r="R128" i="84"/>
  <c r="Q128" i="84"/>
  <c r="R127" i="84"/>
  <c r="Q127" i="84"/>
  <c r="R126" i="84"/>
  <c r="Q126" i="84"/>
  <c r="R125" i="84"/>
  <c r="Q125" i="84"/>
  <c r="R124" i="84"/>
  <c r="Q124" i="84"/>
  <c r="R123" i="84"/>
  <c r="Q123" i="84"/>
  <c r="R122" i="84"/>
  <c r="Q122" i="84"/>
  <c r="R121" i="84"/>
  <c r="Q121" i="84"/>
  <c r="R120" i="84"/>
  <c r="Q120" i="84"/>
  <c r="R119" i="84"/>
  <c r="Q119" i="84"/>
  <c r="R118" i="84"/>
  <c r="Q118" i="84"/>
  <c r="R117" i="84"/>
  <c r="Q117" i="84"/>
  <c r="R116" i="84"/>
  <c r="Q116" i="84"/>
  <c r="R115" i="84"/>
  <c r="Q115" i="84"/>
  <c r="R114" i="84"/>
  <c r="Q114" i="84"/>
  <c r="R113" i="84"/>
  <c r="Q113" i="84"/>
  <c r="R112" i="84"/>
  <c r="Q112" i="84"/>
  <c r="R111" i="84"/>
  <c r="Q111" i="84"/>
  <c r="R110" i="84"/>
  <c r="Q110" i="84"/>
  <c r="R109" i="84"/>
  <c r="Q109" i="84"/>
  <c r="R108" i="84"/>
  <c r="Q108" i="84"/>
  <c r="R107" i="84"/>
  <c r="Q107" i="84"/>
  <c r="R106" i="84"/>
  <c r="Q106" i="84"/>
  <c r="R105" i="84"/>
  <c r="Q105" i="84"/>
  <c r="R104" i="84"/>
  <c r="Q104" i="84"/>
  <c r="R103" i="84"/>
  <c r="Q103" i="84"/>
  <c r="R102" i="84"/>
  <c r="Q102" i="84"/>
  <c r="R101" i="84"/>
  <c r="Q101" i="84"/>
  <c r="R100" i="84"/>
  <c r="Q100" i="84"/>
  <c r="R99" i="84"/>
  <c r="Q99" i="84"/>
  <c r="R98" i="84"/>
  <c r="Q98" i="84"/>
  <c r="R97" i="84"/>
  <c r="Q97" i="84"/>
  <c r="R96" i="84"/>
  <c r="Q96" i="84"/>
  <c r="R95" i="84"/>
  <c r="Q95" i="84"/>
  <c r="R94" i="84"/>
  <c r="Q94" i="84"/>
  <c r="R93" i="84"/>
  <c r="Q93" i="84"/>
  <c r="R92" i="84"/>
  <c r="Q92" i="84"/>
  <c r="R91" i="84"/>
  <c r="Q91" i="84"/>
  <c r="R90" i="84"/>
  <c r="Q90" i="84"/>
  <c r="R89" i="84"/>
  <c r="Q89" i="84"/>
  <c r="R88" i="84"/>
  <c r="Q88" i="84"/>
  <c r="R87" i="84"/>
  <c r="Q87" i="84"/>
  <c r="R86" i="84"/>
  <c r="Q86" i="84"/>
  <c r="R85" i="84"/>
  <c r="Q85" i="84"/>
  <c r="R84" i="84"/>
  <c r="Q84" i="84"/>
  <c r="R83" i="84"/>
  <c r="Q83" i="84"/>
  <c r="R82" i="84"/>
  <c r="Q82" i="84"/>
  <c r="R81" i="84"/>
  <c r="Q81" i="84"/>
  <c r="R80" i="84"/>
  <c r="Q80" i="84"/>
  <c r="R79" i="84"/>
  <c r="Q79" i="84"/>
  <c r="R78" i="84"/>
  <c r="Q78" i="84"/>
  <c r="R77" i="84"/>
  <c r="Q77" i="84"/>
  <c r="R76" i="84"/>
  <c r="Q76" i="84"/>
  <c r="R75" i="84"/>
  <c r="Q75" i="84"/>
  <c r="R74" i="84"/>
  <c r="Q74" i="84"/>
  <c r="R73" i="84"/>
  <c r="Q73" i="84"/>
  <c r="R72" i="84"/>
  <c r="Q72" i="84"/>
  <c r="R71" i="84"/>
  <c r="Q71" i="84"/>
  <c r="R70" i="84"/>
  <c r="Q70" i="84"/>
  <c r="R69" i="84"/>
  <c r="Q69" i="84"/>
  <c r="R68" i="84"/>
  <c r="Q68" i="84"/>
  <c r="R67" i="84"/>
  <c r="Q67" i="84"/>
  <c r="R66" i="84"/>
  <c r="Q66" i="84"/>
  <c r="R65" i="84"/>
  <c r="Q65" i="84"/>
  <c r="R64" i="84"/>
  <c r="Q64" i="84"/>
  <c r="R63" i="84"/>
  <c r="Q63" i="84"/>
  <c r="R62" i="84"/>
  <c r="Q62" i="84"/>
  <c r="R61" i="84"/>
  <c r="Q61" i="84"/>
  <c r="R60" i="84"/>
  <c r="Q60" i="84"/>
  <c r="R59" i="84"/>
  <c r="Q59" i="84"/>
  <c r="R58" i="84"/>
  <c r="Q58" i="84"/>
  <c r="R57" i="84"/>
  <c r="Q57" i="84"/>
  <c r="R56" i="84"/>
  <c r="Q56" i="84"/>
  <c r="R55" i="84"/>
  <c r="Q55" i="84"/>
  <c r="R54" i="84"/>
  <c r="Q54" i="84"/>
  <c r="R53" i="84"/>
  <c r="Q53" i="84"/>
  <c r="R52" i="84"/>
  <c r="Q52" i="84"/>
  <c r="R51" i="84"/>
  <c r="Q51" i="84"/>
  <c r="R50" i="84"/>
  <c r="Q50" i="84"/>
  <c r="R49" i="84"/>
  <c r="Q49" i="84"/>
  <c r="R48" i="84"/>
  <c r="Q48" i="84"/>
  <c r="R47" i="84"/>
  <c r="Q47" i="84"/>
  <c r="R46" i="84"/>
  <c r="Q46" i="84"/>
  <c r="R45" i="84"/>
  <c r="Q45" i="84"/>
  <c r="R44" i="84"/>
  <c r="Q44" i="84"/>
  <c r="R43" i="84"/>
  <c r="Q43" i="84"/>
  <c r="R42" i="84"/>
  <c r="Q42" i="84"/>
  <c r="R41" i="84"/>
  <c r="Q41" i="84"/>
  <c r="R40" i="84"/>
  <c r="Q40" i="84"/>
  <c r="R39" i="84"/>
  <c r="Q39" i="84"/>
  <c r="R38" i="84"/>
  <c r="Q38" i="84"/>
  <c r="R37" i="84"/>
  <c r="Q37" i="84"/>
  <c r="R36" i="84"/>
  <c r="Q36" i="84"/>
  <c r="R35" i="84"/>
  <c r="Q35" i="84"/>
  <c r="R34" i="84"/>
  <c r="Q34" i="84"/>
  <c r="R33" i="84"/>
  <c r="Q33" i="84"/>
  <c r="R32" i="84"/>
  <c r="Q32" i="84"/>
  <c r="R31" i="84"/>
  <c r="Q31" i="84"/>
  <c r="R30" i="84"/>
  <c r="Q30" i="84"/>
  <c r="R29" i="84"/>
  <c r="Q29" i="84"/>
  <c r="R28" i="84"/>
  <c r="Q28" i="84"/>
  <c r="R27" i="84"/>
  <c r="Q27" i="84"/>
  <c r="R26" i="84"/>
  <c r="Q26" i="84"/>
  <c r="R25" i="84"/>
  <c r="Q25" i="84"/>
  <c r="R24" i="84"/>
  <c r="Q24" i="84"/>
  <c r="R23" i="84"/>
  <c r="Q23" i="84"/>
  <c r="R22" i="84"/>
  <c r="Q22" i="84"/>
  <c r="R21" i="84"/>
  <c r="Q21" i="84"/>
  <c r="R20" i="84"/>
  <c r="Q20" i="84"/>
  <c r="R19" i="84"/>
  <c r="Q19" i="84"/>
  <c r="R18" i="84"/>
  <c r="Q18" i="84"/>
  <c r="R17" i="84"/>
  <c r="Q17" i="84"/>
  <c r="R16" i="84"/>
  <c r="Q16" i="84"/>
  <c r="R15" i="84"/>
  <c r="Q15" i="84"/>
  <c r="R14" i="84"/>
  <c r="Q14" i="84"/>
  <c r="R13" i="84"/>
  <c r="Q13" i="84"/>
  <c r="R12" i="84"/>
  <c r="Q12" i="84"/>
  <c r="R11" i="84"/>
  <c r="Q11" i="84"/>
  <c r="R10" i="84"/>
  <c r="Q10" i="84"/>
  <c r="R9" i="84"/>
  <c r="D4" i="84"/>
  <c r="Q9" i="84"/>
  <c r="A2" i="84" a="1"/>
  <c r="A2" i="84" s="1"/>
  <c r="A1" i="84" s="1"/>
  <c r="D14" i="126" s="1" a="1"/>
  <c r="D14" i="126" s="1"/>
  <c r="R208" i="83"/>
  <c r="Q208" i="83"/>
  <c r="R207" i="83"/>
  <c r="Q207" i="83"/>
  <c r="R206" i="83"/>
  <c r="Q206" i="83"/>
  <c r="R205" i="83"/>
  <c r="Q205" i="83"/>
  <c r="R204" i="83"/>
  <c r="Q204" i="83"/>
  <c r="R203" i="83"/>
  <c r="Q203" i="83"/>
  <c r="R202" i="83"/>
  <c r="Q202" i="83"/>
  <c r="R201" i="83"/>
  <c r="Q201" i="83"/>
  <c r="R200" i="83"/>
  <c r="Q200" i="83"/>
  <c r="R199" i="83"/>
  <c r="Q199" i="83"/>
  <c r="R198" i="83"/>
  <c r="Q198" i="83"/>
  <c r="R197" i="83"/>
  <c r="Q197" i="83"/>
  <c r="R196" i="83"/>
  <c r="Q196" i="83"/>
  <c r="R195" i="83"/>
  <c r="Q195" i="83"/>
  <c r="R194" i="83"/>
  <c r="Q194" i="83"/>
  <c r="R193" i="83"/>
  <c r="Q193" i="83"/>
  <c r="R192" i="83"/>
  <c r="Q192" i="83"/>
  <c r="R191" i="83"/>
  <c r="Q191" i="83"/>
  <c r="R190" i="83"/>
  <c r="Q190" i="83"/>
  <c r="R189" i="83"/>
  <c r="Q189" i="83"/>
  <c r="R188" i="83"/>
  <c r="Q188" i="83"/>
  <c r="R187" i="83"/>
  <c r="Q187" i="83"/>
  <c r="R186" i="83"/>
  <c r="Q186" i="83"/>
  <c r="R185" i="83"/>
  <c r="Q185" i="83"/>
  <c r="R184" i="83"/>
  <c r="Q184" i="83"/>
  <c r="R183" i="83"/>
  <c r="Q183" i="83"/>
  <c r="R182" i="83"/>
  <c r="Q182" i="83"/>
  <c r="R181" i="83"/>
  <c r="Q181" i="83"/>
  <c r="R180" i="83"/>
  <c r="Q180" i="83"/>
  <c r="R179" i="83"/>
  <c r="Q179" i="83"/>
  <c r="R178" i="83"/>
  <c r="Q178" i="83"/>
  <c r="R177" i="83"/>
  <c r="Q177" i="83"/>
  <c r="R176" i="83"/>
  <c r="Q176" i="83"/>
  <c r="R175" i="83"/>
  <c r="Q175" i="83"/>
  <c r="R174" i="83"/>
  <c r="Q174" i="83"/>
  <c r="R173" i="83"/>
  <c r="Q173" i="83"/>
  <c r="R172" i="83"/>
  <c r="Q172" i="83"/>
  <c r="R171" i="83"/>
  <c r="Q171" i="83"/>
  <c r="R170" i="83"/>
  <c r="Q170" i="83"/>
  <c r="R169" i="83"/>
  <c r="Q169" i="83"/>
  <c r="R168" i="83"/>
  <c r="Q168" i="83"/>
  <c r="R167" i="83"/>
  <c r="Q167" i="83"/>
  <c r="R166" i="83"/>
  <c r="Q166" i="83"/>
  <c r="R165" i="83"/>
  <c r="Q165" i="83"/>
  <c r="R164" i="83"/>
  <c r="Q164" i="83"/>
  <c r="R163" i="83"/>
  <c r="Q163" i="83"/>
  <c r="R162" i="83"/>
  <c r="Q162" i="83"/>
  <c r="R161" i="83"/>
  <c r="Q161" i="83"/>
  <c r="R160" i="83"/>
  <c r="Q160" i="83"/>
  <c r="R159" i="83"/>
  <c r="Q159" i="83"/>
  <c r="R158" i="83"/>
  <c r="Q158" i="83"/>
  <c r="R157" i="83"/>
  <c r="Q157" i="83"/>
  <c r="R156" i="83"/>
  <c r="Q156" i="83"/>
  <c r="R155" i="83"/>
  <c r="Q155" i="83"/>
  <c r="R154" i="83"/>
  <c r="Q154" i="83"/>
  <c r="R153" i="83"/>
  <c r="Q153" i="83"/>
  <c r="R152" i="83"/>
  <c r="Q152" i="83"/>
  <c r="R151" i="83"/>
  <c r="Q151" i="83"/>
  <c r="R150" i="83"/>
  <c r="Q150" i="83"/>
  <c r="R149" i="83"/>
  <c r="Q149" i="83"/>
  <c r="R148" i="83"/>
  <c r="Q148" i="83"/>
  <c r="R147" i="83"/>
  <c r="Q147" i="83"/>
  <c r="R146" i="83"/>
  <c r="Q146" i="83"/>
  <c r="R145" i="83"/>
  <c r="Q145" i="83"/>
  <c r="R144" i="83"/>
  <c r="Q144" i="83"/>
  <c r="R143" i="83"/>
  <c r="Q143" i="83"/>
  <c r="R142" i="83"/>
  <c r="Q142" i="83"/>
  <c r="R141" i="83"/>
  <c r="Q141" i="83"/>
  <c r="R140" i="83"/>
  <c r="Q140" i="83"/>
  <c r="R139" i="83"/>
  <c r="Q139" i="83"/>
  <c r="R138" i="83"/>
  <c r="Q138" i="83"/>
  <c r="R137" i="83"/>
  <c r="Q137" i="83"/>
  <c r="R136" i="83"/>
  <c r="Q136" i="83"/>
  <c r="R135" i="83"/>
  <c r="Q135" i="83"/>
  <c r="R134" i="83"/>
  <c r="Q134" i="83"/>
  <c r="R133" i="83"/>
  <c r="Q133" i="83"/>
  <c r="R132" i="83"/>
  <c r="Q132" i="83"/>
  <c r="R131" i="83"/>
  <c r="Q131" i="83"/>
  <c r="R130" i="83"/>
  <c r="Q130" i="83"/>
  <c r="R129" i="83"/>
  <c r="Q129" i="83"/>
  <c r="R128" i="83"/>
  <c r="Q128" i="83"/>
  <c r="R127" i="83"/>
  <c r="Q127" i="83"/>
  <c r="R126" i="83"/>
  <c r="Q126" i="83"/>
  <c r="R125" i="83"/>
  <c r="Q125" i="83"/>
  <c r="R124" i="83"/>
  <c r="Q124" i="83"/>
  <c r="R123" i="83"/>
  <c r="Q123" i="83"/>
  <c r="R122" i="83"/>
  <c r="Q122" i="83"/>
  <c r="R121" i="83"/>
  <c r="Q121" i="83"/>
  <c r="R120" i="83"/>
  <c r="Q120" i="83"/>
  <c r="R119" i="83"/>
  <c r="Q119" i="83"/>
  <c r="R118" i="83"/>
  <c r="Q118" i="83"/>
  <c r="R117" i="83"/>
  <c r="Q117" i="83"/>
  <c r="R116" i="83"/>
  <c r="Q116" i="83"/>
  <c r="R115" i="83"/>
  <c r="Q115" i="83"/>
  <c r="R114" i="83"/>
  <c r="Q114" i="83"/>
  <c r="R113" i="83"/>
  <c r="Q113" i="83"/>
  <c r="R112" i="83"/>
  <c r="Q112" i="83"/>
  <c r="R111" i="83"/>
  <c r="Q111" i="83"/>
  <c r="R110" i="83"/>
  <c r="Q110" i="83"/>
  <c r="R109" i="83"/>
  <c r="Q109" i="83"/>
  <c r="R108" i="83"/>
  <c r="Q108" i="83"/>
  <c r="R107" i="83"/>
  <c r="Q107" i="83"/>
  <c r="R106" i="83"/>
  <c r="Q106" i="83"/>
  <c r="R105" i="83"/>
  <c r="Q105" i="83"/>
  <c r="R104" i="83"/>
  <c r="Q104" i="83"/>
  <c r="R103" i="83"/>
  <c r="Q103" i="83"/>
  <c r="R102" i="83"/>
  <c r="Q102" i="83"/>
  <c r="R101" i="83"/>
  <c r="Q101" i="83"/>
  <c r="R100" i="83"/>
  <c r="Q100" i="83"/>
  <c r="R99" i="83"/>
  <c r="Q99" i="83"/>
  <c r="R98" i="83"/>
  <c r="Q98" i="83"/>
  <c r="R97" i="83"/>
  <c r="Q97" i="83"/>
  <c r="R96" i="83"/>
  <c r="Q96" i="83"/>
  <c r="R95" i="83"/>
  <c r="Q95" i="83"/>
  <c r="R94" i="83"/>
  <c r="Q94" i="83"/>
  <c r="R93" i="83"/>
  <c r="Q93" i="83"/>
  <c r="R92" i="83"/>
  <c r="Q92" i="83"/>
  <c r="R91" i="83"/>
  <c r="Q91" i="83"/>
  <c r="R90" i="83"/>
  <c r="Q90" i="83"/>
  <c r="R89" i="83"/>
  <c r="Q89" i="83"/>
  <c r="R88" i="83"/>
  <c r="Q88" i="83"/>
  <c r="R87" i="83"/>
  <c r="Q87" i="83"/>
  <c r="R86" i="83"/>
  <c r="Q86" i="83"/>
  <c r="R85" i="83"/>
  <c r="Q85" i="83"/>
  <c r="R84" i="83"/>
  <c r="Q84" i="83"/>
  <c r="R83" i="83"/>
  <c r="Q83" i="83"/>
  <c r="R82" i="83"/>
  <c r="Q82" i="83"/>
  <c r="R81" i="83"/>
  <c r="Q81" i="83"/>
  <c r="R80" i="83"/>
  <c r="Q80" i="83"/>
  <c r="R79" i="83"/>
  <c r="Q79" i="83"/>
  <c r="R78" i="83"/>
  <c r="Q78" i="83"/>
  <c r="R77" i="83"/>
  <c r="Q77" i="83"/>
  <c r="R76" i="83"/>
  <c r="Q76" i="83"/>
  <c r="R75" i="83"/>
  <c r="Q75" i="83"/>
  <c r="R74" i="83"/>
  <c r="Q74" i="83"/>
  <c r="R73" i="83"/>
  <c r="Q73" i="83"/>
  <c r="R72" i="83"/>
  <c r="Q72" i="83"/>
  <c r="R71" i="83"/>
  <c r="Q71" i="83"/>
  <c r="R70" i="83"/>
  <c r="Q70" i="83"/>
  <c r="R69" i="83"/>
  <c r="Q69" i="83"/>
  <c r="R68" i="83"/>
  <c r="Q68" i="83"/>
  <c r="R67" i="83"/>
  <c r="Q67" i="83"/>
  <c r="R66" i="83"/>
  <c r="Q66" i="83"/>
  <c r="R65" i="83"/>
  <c r="Q65" i="83"/>
  <c r="R64" i="83"/>
  <c r="Q64" i="83"/>
  <c r="R63" i="83"/>
  <c r="Q63" i="83"/>
  <c r="R62" i="83"/>
  <c r="Q62" i="83"/>
  <c r="R61" i="83"/>
  <c r="Q61" i="83"/>
  <c r="R60" i="83"/>
  <c r="Q60" i="83"/>
  <c r="R59" i="83"/>
  <c r="Q59" i="83"/>
  <c r="R58" i="83"/>
  <c r="Q58" i="83"/>
  <c r="R57" i="83"/>
  <c r="Q57" i="83"/>
  <c r="R56" i="83"/>
  <c r="Q56" i="83"/>
  <c r="R55" i="83"/>
  <c r="Q55" i="83"/>
  <c r="R54" i="83"/>
  <c r="Q54" i="83"/>
  <c r="R53" i="83"/>
  <c r="Q53" i="83"/>
  <c r="R52" i="83"/>
  <c r="Q52" i="83"/>
  <c r="R51" i="83"/>
  <c r="Q51" i="83"/>
  <c r="R50" i="83"/>
  <c r="Q50" i="83"/>
  <c r="R49" i="83"/>
  <c r="Q49" i="83"/>
  <c r="R48" i="83"/>
  <c r="Q48" i="83"/>
  <c r="R47" i="83"/>
  <c r="Q47" i="83"/>
  <c r="R46" i="83"/>
  <c r="Q46" i="83"/>
  <c r="R45" i="83"/>
  <c r="Q45" i="83"/>
  <c r="R44" i="83"/>
  <c r="Q44" i="83"/>
  <c r="R43" i="83"/>
  <c r="Q43" i="83"/>
  <c r="R42" i="83"/>
  <c r="Q42" i="83"/>
  <c r="R41" i="83"/>
  <c r="Q41" i="83"/>
  <c r="R40" i="83"/>
  <c r="Q40" i="83"/>
  <c r="R39" i="83"/>
  <c r="Q39" i="83"/>
  <c r="R38" i="83"/>
  <c r="Q38" i="83"/>
  <c r="R37" i="83"/>
  <c r="Q37" i="83"/>
  <c r="R36" i="83"/>
  <c r="Q36" i="83"/>
  <c r="R35" i="83"/>
  <c r="Q35" i="83"/>
  <c r="R34" i="83"/>
  <c r="Q34" i="83"/>
  <c r="R33" i="83"/>
  <c r="Q33" i="83"/>
  <c r="R32" i="83"/>
  <c r="Q32" i="83"/>
  <c r="R31" i="83"/>
  <c r="Q31" i="83"/>
  <c r="R30" i="83"/>
  <c r="Q30" i="83"/>
  <c r="R29" i="83"/>
  <c r="Q29" i="83"/>
  <c r="R28" i="83"/>
  <c r="Q28" i="83"/>
  <c r="R27" i="83"/>
  <c r="Q27" i="83"/>
  <c r="R26" i="83"/>
  <c r="Q26" i="83"/>
  <c r="R25" i="83"/>
  <c r="Q25" i="83"/>
  <c r="R24" i="83"/>
  <c r="Q24" i="83"/>
  <c r="R23" i="83"/>
  <c r="Q23" i="83"/>
  <c r="R22" i="83"/>
  <c r="Q22" i="83"/>
  <c r="R21" i="83"/>
  <c r="Q21" i="83"/>
  <c r="R20" i="83"/>
  <c r="Q20" i="83"/>
  <c r="R19" i="83"/>
  <c r="Q19" i="83"/>
  <c r="R18" i="83"/>
  <c r="Q18" i="83"/>
  <c r="R17" i="83"/>
  <c r="Q17" i="83"/>
  <c r="R16" i="83"/>
  <c r="Q16" i="83"/>
  <c r="R15" i="83"/>
  <c r="Q15" i="83"/>
  <c r="R14" i="83"/>
  <c r="Q14" i="83"/>
  <c r="R13" i="83"/>
  <c r="Q13" i="83"/>
  <c r="R12" i="83"/>
  <c r="Q12" i="83"/>
  <c r="R11" i="83"/>
  <c r="Q11" i="83"/>
  <c r="R10" i="83"/>
  <c r="Q10" i="83"/>
  <c r="Q9" i="83"/>
  <c r="R9" i="83"/>
  <c r="D4" i="83"/>
  <c r="E13" i="126" a="1"/>
  <c r="E13" i="126" s="1"/>
  <c r="A2" i="83" a="1"/>
  <c r="A2" i="83" s="1"/>
  <c r="A1" i="83" s="1"/>
  <c r="D13" i="126" s="1" a="1"/>
  <c r="D13" i="126" s="1"/>
  <c r="R208" i="82"/>
  <c r="Q208" i="82"/>
  <c r="R207" i="82"/>
  <c r="Q207" i="82"/>
  <c r="R206" i="82"/>
  <c r="Q206" i="82"/>
  <c r="R205" i="82"/>
  <c r="Q205" i="82"/>
  <c r="R204" i="82"/>
  <c r="Q204" i="82"/>
  <c r="R203" i="82"/>
  <c r="Q203" i="82"/>
  <c r="R202" i="82"/>
  <c r="Q202" i="82"/>
  <c r="R201" i="82"/>
  <c r="Q201" i="82"/>
  <c r="R200" i="82"/>
  <c r="Q200" i="82"/>
  <c r="R199" i="82"/>
  <c r="Q199" i="82"/>
  <c r="R198" i="82"/>
  <c r="Q198" i="82"/>
  <c r="R197" i="82"/>
  <c r="Q197" i="82"/>
  <c r="R196" i="82"/>
  <c r="Q196" i="82"/>
  <c r="R195" i="82"/>
  <c r="Q195" i="82"/>
  <c r="R194" i="82"/>
  <c r="Q194" i="82"/>
  <c r="R193" i="82"/>
  <c r="Q193" i="82"/>
  <c r="R192" i="82"/>
  <c r="Q192" i="82"/>
  <c r="R191" i="82"/>
  <c r="Q191" i="82"/>
  <c r="R190" i="82"/>
  <c r="Q190" i="82"/>
  <c r="R189" i="82"/>
  <c r="Q189" i="82"/>
  <c r="R188" i="82"/>
  <c r="Q188" i="82"/>
  <c r="R187" i="82"/>
  <c r="Q187" i="82"/>
  <c r="R186" i="82"/>
  <c r="Q186" i="82"/>
  <c r="R185" i="82"/>
  <c r="Q185" i="82"/>
  <c r="R184" i="82"/>
  <c r="Q184" i="82"/>
  <c r="R183" i="82"/>
  <c r="Q183" i="82"/>
  <c r="R182" i="82"/>
  <c r="Q182" i="82"/>
  <c r="R181" i="82"/>
  <c r="Q181" i="82"/>
  <c r="R180" i="82"/>
  <c r="Q180" i="82"/>
  <c r="R179" i="82"/>
  <c r="Q179" i="82"/>
  <c r="R178" i="82"/>
  <c r="Q178" i="82"/>
  <c r="R177" i="82"/>
  <c r="Q177" i="82"/>
  <c r="R176" i="82"/>
  <c r="Q176" i="82"/>
  <c r="R175" i="82"/>
  <c r="Q175" i="82"/>
  <c r="R174" i="82"/>
  <c r="Q174" i="82"/>
  <c r="R173" i="82"/>
  <c r="Q173" i="82"/>
  <c r="R172" i="82"/>
  <c r="Q172" i="82"/>
  <c r="R171" i="82"/>
  <c r="Q171" i="82"/>
  <c r="R170" i="82"/>
  <c r="Q170" i="82"/>
  <c r="R169" i="82"/>
  <c r="Q169" i="82"/>
  <c r="R168" i="82"/>
  <c r="Q168" i="82"/>
  <c r="R167" i="82"/>
  <c r="Q167" i="82"/>
  <c r="R166" i="82"/>
  <c r="Q166" i="82"/>
  <c r="R165" i="82"/>
  <c r="Q165" i="82"/>
  <c r="R164" i="82"/>
  <c r="Q164" i="82"/>
  <c r="R163" i="82"/>
  <c r="Q163" i="82"/>
  <c r="R162" i="82"/>
  <c r="Q162" i="82"/>
  <c r="R161" i="82"/>
  <c r="Q161" i="82"/>
  <c r="R160" i="82"/>
  <c r="Q160" i="82"/>
  <c r="R159" i="82"/>
  <c r="Q159" i="82"/>
  <c r="R158" i="82"/>
  <c r="Q158" i="82"/>
  <c r="R157" i="82"/>
  <c r="Q157" i="82"/>
  <c r="R156" i="82"/>
  <c r="Q156" i="82"/>
  <c r="R155" i="82"/>
  <c r="Q155" i="82"/>
  <c r="R154" i="82"/>
  <c r="Q154" i="82"/>
  <c r="R153" i="82"/>
  <c r="Q153" i="82"/>
  <c r="R152" i="82"/>
  <c r="Q152" i="82"/>
  <c r="R151" i="82"/>
  <c r="Q151" i="82"/>
  <c r="R150" i="82"/>
  <c r="Q150" i="82"/>
  <c r="R149" i="82"/>
  <c r="Q149" i="82"/>
  <c r="R148" i="82"/>
  <c r="Q148" i="82"/>
  <c r="R147" i="82"/>
  <c r="Q147" i="82"/>
  <c r="R146" i="82"/>
  <c r="Q146" i="82"/>
  <c r="R145" i="82"/>
  <c r="Q145" i="82"/>
  <c r="R144" i="82"/>
  <c r="Q144" i="82"/>
  <c r="R143" i="82"/>
  <c r="Q143" i="82"/>
  <c r="R142" i="82"/>
  <c r="Q142" i="82"/>
  <c r="R141" i="82"/>
  <c r="Q141" i="82"/>
  <c r="R140" i="82"/>
  <c r="Q140" i="82"/>
  <c r="R139" i="82"/>
  <c r="Q139" i="82"/>
  <c r="R138" i="82"/>
  <c r="Q138" i="82"/>
  <c r="R137" i="82"/>
  <c r="Q137" i="82"/>
  <c r="R136" i="82"/>
  <c r="Q136" i="82"/>
  <c r="R135" i="82"/>
  <c r="Q135" i="82"/>
  <c r="R134" i="82"/>
  <c r="Q134" i="82"/>
  <c r="R133" i="82"/>
  <c r="Q133" i="82"/>
  <c r="R132" i="82"/>
  <c r="Q132" i="82"/>
  <c r="R131" i="82"/>
  <c r="Q131" i="82"/>
  <c r="R130" i="82"/>
  <c r="Q130" i="82"/>
  <c r="R129" i="82"/>
  <c r="Q129" i="82"/>
  <c r="R128" i="82"/>
  <c r="Q128" i="82"/>
  <c r="R127" i="82"/>
  <c r="Q127" i="82"/>
  <c r="R126" i="82"/>
  <c r="Q126" i="82"/>
  <c r="R125" i="82"/>
  <c r="Q125" i="82"/>
  <c r="R124" i="82"/>
  <c r="Q124" i="82"/>
  <c r="R123" i="82"/>
  <c r="Q123" i="82"/>
  <c r="R122" i="82"/>
  <c r="Q122" i="82"/>
  <c r="R121" i="82"/>
  <c r="Q121" i="82"/>
  <c r="R120" i="82"/>
  <c r="Q120" i="82"/>
  <c r="R119" i="82"/>
  <c r="Q119" i="82"/>
  <c r="R118" i="82"/>
  <c r="Q118" i="82"/>
  <c r="R117" i="82"/>
  <c r="Q117" i="82"/>
  <c r="R116" i="82"/>
  <c r="Q116" i="82"/>
  <c r="R115" i="82"/>
  <c r="Q115" i="82"/>
  <c r="R114" i="82"/>
  <c r="Q114" i="82"/>
  <c r="R113" i="82"/>
  <c r="Q113" i="82"/>
  <c r="R112" i="82"/>
  <c r="Q112" i="82"/>
  <c r="R111" i="82"/>
  <c r="Q111" i="82"/>
  <c r="R110" i="82"/>
  <c r="Q110" i="82"/>
  <c r="R109" i="82"/>
  <c r="Q109" i="82"/>
  <c r="R108" i="82"/>
  <c r="Q108" i="82"/>
  <c r="R107" i="82"/>
  <c r="Q107" i="82"/>
  <c r="R106" i="82"/>
  <c r="Q106" i="82"/>
  <c r="R105" i="82"/>
  <c r="Q105" i="82"/>
  <c r="R104" i="82"/>
  <c r="Q104" i="82"/>
  <c r="R103" i="82"/>
  <c r="Q103" i="82"/>
  <c r="R102" i="82"/>
  <c r="Q102" i="82"/>
  <c r="R101" i="82"/>
  <c r="Q101" i="82"/>
  <c r="R100" i="82"/>
  <c r="Q100" i="82"/>
  <c r="R99" i="82"/>
  <c r="Q99" i="82"/>
  <c r="R98" i="82"/>
  <c r="Q98" i="82"/>
  <c r="R97" i="82"/>
  <c r="Q97" i="82"/>
  <c r="R96" i="82"/>
  <c r="Q96" i="82"/>
  <c r="R95" i="82"/>
  <c r="Q95" i="82"/>
  <c r="R94" i="82"/>
  <c r="Q94" i="82"/>
  <c r="R93" i="82"/>
  <c r="Q93" i="82"/>
  <c r="R92" i="82"/>
  <c r="Q92" i="82"/>
  <c r="R91" i="82"/>
  <c r="Q91" i="82"/>
  <c r="R90" i="82"/>
  <c r="Q90" i="82"/>
  <c r="R89" i="82"/>
  <c r="Q89" i="82"/>
  <c r="R88" i="82"/>
  <c r="Q88" i="82"/>
  <c r="R87" i="82"/>
  <c r="Q87" i="82"/>
  <c r="R86" i="82"/>
  <c r="Q86" i="82"/>
  <c r="R85" i="82"/>
  <c r="Q85" i="82"/>
  <c r="R84" i="82"/>
  <c r="Q84" i="82"/>
  <c r="R83" i="82"/>
  <c r="Q83" i="82"/>
  <c r="R82" i="82"/>
  <c r="Q82" i="82"/>
  <c r="R81" i="82"/>
  <c r="Q81" i="82"/>
  <c r="R80" i="82"/>
  <c r="Q80" i="82"/>
  <c r="R79" i="82"/>
  <c r="Q79" i="82"/>
  <c r="R78" i="82"/>
  <c r="Q78" i="82"/>
  <c r="R77" i="82"/>
  <c r="Q77" i="82"/>
  <c r="R76" i="82"/>
  <c r="Q76" i="82"/>
  <c r="R75" i="82"/>
  <c r="Q75" i="82"/>
  <c r="R74" i="82"/>
  <c r="Q74" i="82"/>
  <c r="R73" i="82"/>
  <c r="Q73" i="82"/>
  <c r="R72" i="82"/>
  <c r="Q72" i="82"/>
  <c r="R71" i="82"/>
  <c r="Q71" i="82"/>
  <c r="R70" i="82"/>
  <c r="Q70" i="82"/>
  <c r="R69" i="82"/>
  <c r="Q69" i="82"/>
  <c r="R68" i="82"/>
  <c r="Q68" i="82"/>
  <c r="R67" i="82"/>
  <c r="Q67" i="82"/>
  <c r="R66" i="82"/>
  <c r="Q66" i="82"/>
  <c r="R65" i="82"/>
  <c r="Q65" i="82"/>
  <c r="R64" i="82"/>
  <c r="Q64" i="82"/>
  <c r="R63" i="82"/>
  <c r="Q63" i="82"/>
  <c r="R62" i="82"/>
  <c r="Q62" i="82"/>
  <c r="R61" i="82"/>
  <c r="Q61" i="82"/>
  <c r="R60" i="82"/>
  <c r="Q60" i="82"/>
  <c r="R59" i="82"/>
  <c r="Q59" i="82"/>
  <c r="R58" i="82"/>
  <c r="Q58" i="82"/>
  <c r="R57" i="82"/>
  <c r="Q57" i="82"/>
  <c r="R56" i="82"/>
  <c r="Q56" i="82"/>
  <c r="R55" i="82"/>
  <c r="Q55" i="82"/>
  <c r="R54" i="82"/>
  <c r="Q54" i="82"/>
  <c r="R53" i="82"/>
  <c r="Q53" i="82"/>
  <c r="R52" i="82"/>
  <c r="Q52" i="82"/>
  <c r="R51" i="82"/>
  <c r="Q51" i="82"/>
  <c r="R50" i="82"/>
  <c r="Q50" i="82"/>
  <c r="R49" i="82"/>
  <c r="Q49" i="82"/>
  <c r="R48" i="82"/>
  <c r="Q48" i="82"/>
  <c r="R47" i="82"/>
  <c r="Q47" i="82"/>
  <c r="R46" i="82"/>
  <c r="Q46" i="82"/>
  <c r="R45" i="82"/>
  <c r="Q45" i="82"/>
  <c r="R44" i="82"/>
  <c r="Q44" i="82"/>
  <c r="R43" i="82"/>
  <c r="Q43" i="82"/>
  <c r="R42" i="82"/>
  <c r="Q42" i="82"/>
  <c r="R41" i="82"/>
  <c r="Q41" i="82"/>
  <c r="R40" i="82"/>
  <c r="Q40" i="82"/>
  <c r="R39" i="82"/>
  <c r="Q39" i="82"/>
  <c r="R38" i="82"/>
  <c r="Q38" i="82"/>
  <c r="R37" i="82"/>
  <c r="Q37" i="82"/>
  <c r="R36" i="82"/>
  <c r="Q36" i="82"/>
  <c r="R35" i="82"/>
  <c r="Q35" i="82"/>
  <c r="R34" i="82"/>
  <c r="Q34" i="82"/>
  <c r="R33" i="82"/>
  <c r="Q33" i="82"/>
  <c r="R32" i="82"/>
  <c r="Q32" i="82"/>
  <c r="R31" i="82"/>
  <c r="Q31" i="82"/>
  <c r="R30" i="82"/>
  <c r="Q30" i="82"/>
  <c r="R29" i="82"/>
  <c r="Q29" i="82"/>
  <c r="R28" i="82"/>
  <c r="Q28" i="82"/>
  <c r="R27" i="82"/>
  <c r="Q27" i="82"/>
  <c r="R26" i="82"/>
  <c r="Q26" i="82"/>
  <c r="R25" i="82"/>
  <c r="Q25" i="82"/>
  <c r="R24" i="82"/>
  <c r="Q24" i="82"/>
  <c r="R23" i="82"/>
  <c r="Q23" i="82"/>
  <c r="R22" i="82"/>
  <c r="Q22" i="82"/>
  <c r="R21" i="82"/>
  <c r="Q21" i="82"/>
  <c r="R20" i="82"/>
  <c r="Q20" i="82"/>
  <c r="R19" i="82"/>
  <c r="Q19" i="82"/>
  <c r="R18" i="82"/>
  <c r="Q18" i="82"/>
  <c r="R17" i="82"/>
  <c r="Q17" i="82"/>
  <c r="R16" i="82"/>
  <c r="Q16" i="82"/>
  <c r="R15" i="82"/>
  <c r="Q15" i="82"/>
  <c r="R14" i="82"/>
  <c r="Q14" i="82"/>
  <c r="R13" i="82"/>
  <c r="Q13" i="82"/>
  <c r="R12" i="82"/>
  <c r="Q12" i="82"/>
  <c r="R11" i="82"/>
  <c r="Q11" i="82"/>
  <c r="R10" i="82"/>
  <c r="Q10" i="82"/>
  <c r="R9" i="82"/>
  <c r="Q9" i="82"/>
  <c r="A2" i="82" a="1"/>
  <c r="A2" i="82" s="1"/>
  <c r="A1" i="82" s="1"/>
  <c r="D12" i="126" s="1" a="1"/>
  <c r="D12" i="126" s="1"/>
  <c r="Q208" i="81"/>
  <c r="Q207" i="81"/>
  <c r="Q206" i="81"/>
  <c r="Q205" i="81"/>
  <c r="Q204" i="81"/>
  <c r="Q203" i="81"/>
  <c r="Q202" i="81"/>
  <c r="Q201" i="81"/>
  <c r="Q200" i="81"/>
  <c r="Q199" i="81"/>
  <c r="Q198" i="81"/>
  <c r="Q197" i="81"/>
  <c r="Q196" i="81"/>
  <c r="Q195" i="81"/>
  <c r="Q194" i="81"/>
  <c r="Q193" i="81"/>
  <c r="Q192" i="81"/>
  <c r="Q191" i="81"/>
  <c r="Q190" i="81"/>
  <c r="Q189" i="81"/>
  <c r="Q188" i="81"/>
  <c r="Q187" i="81"/>
  <c r="Q186" i="81"/>
  <c r="Q185" i="81"/>
  <c r="Q184" i="81"/>
  <c r="Q183" i="81"/>
  <c r="Q182" i="81"/>
  <c r="Q181" i="81"/>
  <c r="Q180" i="81"/>
  <c r="Q179" i="81"/>
  <c r="Q178" i="81"/>
  <c r="Q177" i="81"/>
  <c r="Q176" i="81"/>
  <c r="Q175" i="81"/>
  <c r="Q174" i="81"/>
  <c r="Q173" i="81"/>
  <c r="Q172" i="81"/>
  <c r="Q171" i="81"/>
  <c r="Q170" i="81"/>
  <c r="Q169" i="81"/>
  <c r="Q168" i="81"/>
  <c r="Q167" i="81"/>
  <c r="Q166" i="81"/>
  <c r="Q165" i="81"/>
  <c r="Q164" i="81"/>
  <c r="Q163" i="81"/>
  <c r="Q162" i="81"/>
  <c r="Q161" i="81"/>
  <c r="Q160" i="81"/>
  <c r="Q159" i="81"/>
  <c r="Q158" i="81"/>
  <c r="Q157" i="81"/>
  <c r="Q156" i="81"/>
  <c r="Q155" i="81"/>
  <c r="Q154" i="81"/>
  <c r="Q153" i="81"/>
  <c r="Q152" i="81"/>
  <c r="Q151" i="81"/>
  <c r="Q150" i="81"/>
  <c r="Q149" i="81"/>
  <c r="Q148" i="81"/>
  <c r="Q147" i="81"/>
  <c r="Q146" i="81"/>
  <c r="Q145" i="81"/>
  <c r="Q144" i="81"/>
  <c r="Q143" i="81"/>
  <c r="Q142" i="81"/>
  <c r="Q141" i="81"/>
  <c r="Q140" i="81"/>
  <c r="Q139" i="81"/>
  <c r="Q138" i="81"/>
  <c r="Q137" i="81"/>
  <c r="Q136" i="81"/>
  <c r="Q135" i="81"/>
  <c r="Q134" i="81"/>
  <c r="Q133" i="81"/>
  <c r="Q132" i="81"/>
  <c r="Q131" i="81"/>
  <c r="Q130" i="81"/>
  <c r="Q129" i="81"/>
  <c r="Q128" i="81"/>
  <c r="Q127" i="81"/>
  <c r="Q126" i="81"/>
  <c r="Q125" i="81"/>
  <c r="Q124" i="81"/>
  <c r="Q123" i="81"/>
  <c r="Q122" i="81"/>
  <c r="Q121" i="81"/>
  <c r="Q120" i="81"/>
  <c r="Q119" i="81"/>
  <c r="Q118" i="81"/>
  <c r="Q117" i="81"/>
  <c r="Q116" i="81"/>
  <c r="Q115" i="81"/>
  <c r="Q114" i="81"/>
  <c r="Q113" i="81"/>
  <c r="Q112" i="81"/>
  <c r="Q111" i="81"/>
  <c r="Q110" i="81"/>
  <c r="Q109" i="81"/>
  <c r="Q108" i="81"/>
  <c r="Q107" i="81"/>
  <c r="Q106" i="81"/>
  <c r="Q105" i="81"/>
  <c r="Q104" i="81"/>
  <c r="Q103" i="81"/>
  <c r="Q102" i="81"/>
  <c r="Q101" i="81"/>
  <c r="Q100" i="81"/>
  <c r="Q99" i="81"/>
  <c r="Q98" i="81"/>
  <c r="Q97" i="81"/>
  <c r="Q96" i="81"/>
  <c r="Q95" i="81"/>
  <c r="Q94" i="81"/>
  <c r="Q93" i="81"/>
  <c r="Q92" i="81"/>
  <c r="Q91" i="81"/>
  <c r="Q90" i="81"/>
  <c r="Q89" i="81"/>
  <c r="Q88" i="81"/>
  <c r="Q87" i="81"/>
  <c r="Q86" i="81"/>
  <c r="Q85" i="81"/>
  <c r="Q84" i="81"/>
  <c r="Q83" i="81"/>
  <c r="Q82" i="81"/>
  <c r="Q81" i="81"/>
  <c r="Q80" i="81"/>
  <c r="Q79" i="81"/>
  <c r="Q78" i="81"/>
  <c r="Q77" i="81"/>
  <c r="Q76" i="81"/>
  <c r="Q75" i="81"/>
  <c r="Q74" i="81"/>
  <c r="Q73" i="81"/>
  <c r="Q72" i="81"/>
  <c r="Q71" i="81"/>
  <c r="Q70" i="81"/>
  <c r="Q69" i="81"/>
  <c r="Q68" i="81"/>
  <c r="Q67" i="81"/>
  <c r="Q66" i="81"/>
  <c r="Q65" i="81"/>
  <c r="Q64" i="81"/>
  <c r="Q63" i="81"/>
  <c r="Q62" i="81"/>
  <c r="Q61" i="81"/>
  <c r="Q60" i="81"/>
  <c r="Q59" i="81"/>
  <c r="Q58" i="81"/>
  <c r="Q57" i="81"/>
  <c r="Q56" i="81"/>
  <c r="Q55" i="81"/>
  <c r="Q54" i="81"/>
  <c r="Q53" i="81"/>
  <c r="Q52" i="81"/>
  <c r="Q51" i="81"/>
  <c r="Q50" i="81"/>
  <c r="Q49" i="81"/>
  <c r="Q48" i="81"/>
  <c r="Q47" i="81"/>
  <c r="Q46" i="81"/>
  <c r="Q45" i="81"/>
  <c r="Q44" i="81"/>
  <c r="Q43" i="81"/>
  <c r="Q42" i="81"/>
  <c r="Q41" i="81"/>
  <c r="Q40" i="81"/>
  <c r="Q39" i="81"/>
  <c r="Q38" i="81"/>
  <c r="Q37" i="81"/>
  <c r="Q36" i="81"/>
  <c r="Q35" i="81"/>
  <c r="Q34" i="81"/>
  <c r="Q33" i="81"/>
  <c r="Q32" i="81"/>
  <c r="Q31" i="81"/>
  <c r="Q30" i="81"/>
  <c r="Q29" i="81"/>
  <c r="Q28" i="81"/>
  <c r="Q27" i="81"/>
  <c r="Q26" i="81"/>
  <c r="Q25" i="81"/>
  <c r="Q24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A2" i="81" a="1"/>
  <c r="A2" i="81" s="1"/>
  <c r="A1" i="81" s="1"/>
  <c r="D11" i="126" s="1" a="1"/>
  <c r="D11" i="126" s="1"/>
  <c r="Q208" i="80"/>
  <c r="Q207" i="80"/>
  <c r="Q206" i="80"/>
  <c r="Q205" i="80"/>
  <c r="Q204" i="80"/>
  <c r="Q203" i="80"/>
  <c r="Q202" i="80"/>
  <c r="Q201" i="80"/>
  <c r="Q200" i="80"/>
  <c r="Q199" i="80"/>
  <c r="Q198" i="80"/>
  <c r="Q197" i="80"/>
  <c r="Q196" i="80"/>
  <c r="Q195" i="80"/>
  <c r="Q194" i="80"/>
  <c r="Q193" i="80"/>
  <c r="Q192" i="80"/>
  <c r="Q191" i="80"/>
  <c r="Q190" i="80"/>
  <c r="Q189" i="80"/>
  <c r="Q188" i="80"/>
  <c r="Q187" i="80"/>
  <c r="Q186" i="80"/>
  <c r="Q185" i="80"/>
  <c r="Q184" i="80"/>
  <c r="Q183" i="80"/>
  <c r="Q182" i="80"/>
  <c r="Q181" i="80"/>
  <c r="Q180" i="80"/>
  <c r="Q179" i="80"/>
  <c r="Q178" i="80"/>
  <c r="Q177" i="80"/>
  <c r="Q176" i="80"/>
  <c r="Q175" i="80"/>
  <c r="Q174" i="80"/>
  <c r="Q173" i="80"/>
  <c r="Q172" i="80"/>
  <c r="Q171" i="80"/>
  <c r="Q170" i="80"/>
  <c r="Q169" i="80"/>
  <c r="Q168" i="80"/>
  <c r="Q167" i="80"/>
  <c r="Q166" i="80"/>
  <c r="Q165" i="80"/>
  <c r="Q164" i="80"/>
  <c r="Q163" i="80"/>
  <c r="Q162" i="80"/>
  <c r="Q161" i="80"/>
  <c r="Q160" i="80"/>
  <c r="Q159" i="80"/>
  <c r="Q158" i="80"/>
  <c r="Q157" i="80"/>
  <c r="Q156" i="80"/>
  <c r="Q155" i="80"/>
  <c r="Q154" i="80"/>
  <c r="Q153" i="80"/>
  <c r="Q152" i="80"/>
  <c r="Q151" i="80"/>
  <c r="Q150" i="80"/>
  <c r="Q149" i="80"/>
  <c r="Q148" i="80"/>
  <c r="Q147" i="80"/>
  <c r="Q146" i="80"/>
  <c r="Q145" i="80"/>
  <c r="Q144" i="80"/>
  <c r="Q143" i="80"/>
  <c r="Q142" i="80"/>
  <c r="Q141" i="80"/>
  <c r="Q140" i="80"/>
  <c r="Q139" i="80"/>
  <c r="Q138" i="80"/>
  <c r="Q137" i="80"/>
  <c r="Q136" i="80"/>
  <c r="Q135" i="80"/>
  <c r="Q134" i="80"/>
  <c r="Q133" i="80"/>
  <c r="Q132" i="80"/>
  <c r="Q131" i="80"/>
  <c r="Q130" i="80"/>
  <c r="Q129" i="80"/>
  <c r="Q128" i="80"/>
  <c r="Q127" i="80"/>
  <c r="Q126" i="80"/>
  <c r="Q125" i="80"/>
  <c r="Q124" i="80"/>
  <c r="Q123" i="80"/>
  <c r="Q122" i="80"/>
  <c r="Q121" i="80"/>
  <c r="Q120" i="80"/>
  <c r="Q119" i="80"/>
  <c r="Q118" i="80"/>
  <c r="Q117" i="80"/>
  <c r="Q116" i="80"/>
  <c r="Q115" i="80"/>
  <c r="Q114" i="80"/>
  <c r="Q113" i="80"/>
  <c r="Q112" i="80"/>
  <c r="Q111" i="80"/>
  <c r="Q110" i="80"/>
  <c r="Q109" i="80"/>
  <c r="Q108" i="80"/>
  <c r="Q107" i="80"/>
  <c r="Q106" i="80"/>
  <c r="Q105" i="80"/>
  <c r="Q104" i="80"/>
  <c r="Q103" i="80"/>
  <c r="Q102" i="80"/>
  <c r="Q101" i="80"/>
  <c r="Q100" i="80"/>
  <c r="Q99" i="80"/>
  <c r="Q98" i="80"/>
  <c r="Q97" i="80"/>
  <c r="Q96" i="80"/>
  <c r="Q95" i="80"/>
  <c r="Q94" i="80"/>
  <c r="Q93" i="80"/>
  <c r="Q92" i="80"/>
  <c r="Q91" i="80"/>
  <c r="Q90" i="80"/>
  <c r="Q89" i="80"/>
  <c r="Q88" i="80"/>
  <c r="Q87" i="80"/>
  <c r="Q86" i="80"/>
  <c r="Q85" i="80"/>
  <c r="Q84" i="80"/>
  <c r="Q83" i="80"/>
  <c r="Q82" i="80"/>
  <c r="Q81" i="80"/>
  <c r="Q80" i="80"/>
  <c r="Q79" i="80"/>
  <c r="Q78" i="80"/>
  <c r="Q77" i="80"/>
  <c r="Q76" i="80"/>
  <c r="Q75" i="80"/>
  <c r="Q74" i="80"/>
  <c r="Q73" i="80"/>
  <c r="Q72" i="80"/>
  <c r="Q71" i="80"/>
  <c r="Q70" i="80"/>
  <c r="Q69" i="80"/>
  <c r="Q68" i="80"/>
  <c r="Q67" i="80"/>
  <c r="Q66" i="80"/>
  <c r="Q65" i="80"/>
  <c r="Q64" i="80"/>
  <c r="Q63" i="80"/>
  <c r="Q62" i="80"/>
  <c r="Q61" i="80"/>
  <c r="Q60" i="80"/>
  <c r="Q59" i="80"/>
  <c r="Q58" i="80"/>
  <c r="Q57" i="80"/>
  <c r="Q56" i="80"/>
  <c r="Q55" i="80"/>
  <c r="Q54" i="80"/>
  <c r="Q53" i="80"/>
  <c r="Q52" i="80"/>
  <c r="Q51" i="80"/>
  <c r="Q50" i="80"/>
  <c r="Q49" i="80"/>
  <c r="Q48" i="80"/>
  <c r="Q47" i="80"/>
  <c r="Q46" i="80"/>
  <c r="Q45" i="80"/>
  <c r="Q44" i="80"/>
  <c r="Q43" i="80"/>
  <c r="Q42" i="80"/>
  <c r="Q41" i="80"/>
  <c r="Q40" i="80"/>
  <c r="Q39" i="80"/>
  <c r="Q38" i="80"/>
  <c r="Q37" i="80"/>
  <c r="Q36" i="80"/>
  <c r="Q35" i="80"/>
  <c r="Q34" i="80"/>
  <c r="Q33" i="80"/>
  <c r="Q32" i="80"/>
  <c r="Q31" i="80"/>
  <c r="Q30" i="80"/>
  <c r="Q29" i="80"/>
  <c r="Q28" i="80"/>
  <c r="Q27" i="80"/>
  <c r="Q26" i="80"/>
  <c r="Q25" i="80"/>
  <c r="Q24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A2" i="80" a="1"/>
  <c r="A2" i="80" s="1"/>
  <c r="A1" i="80" s="1"/>
  <c r="D10" i="126" s="1" a="1"/>
  <c r="D10" i="126" s="1"/>
  <c r="R208" i="79"/>
  <c r="Q208" i="79"/>
  <c r="R207" i="79"/>
  <c r="Q207" i="79"/>
  <c r="R206" i="79"/>
  <c r="Q206" i="79"/>
  <c r="R205" i="79"/>
  <c r="Q205" i="79"/>
  <c r="R204" i="79"/>
  <c r="Q204" i="79"/>
  <c r="R203" i="79"/>
  <c r="Q203" i="79"/>
  <c r="R202" i="79"/>
  <c r="Q202" i="79"/>
  <c r="R201" i="79"/>
  <c r="Q201" i="79"/>
  <c r="R200" i="79"/>
  <c r="Q200" i="79"/>
  <c r="R199" i="79"/>
  <c r="Q199" i="79"/>
  <c r="R198" i="79"/>
  <c r="Q198" i="79"/>
  <c r="R197" i="79"/>
  <c r="Q197" i="79"/>
  <c r="R196" i="79"/>
  <c r="Q196" i="79"/>
  <c r="R195" i="79"/>
  <c r="Q195" i="79"/>
  <c r="R194" i="79"/>
  <c r="Q194" i="79"/>
  <c r="R193" i="79"/>
  <c r="Q193" i="79"/>
  <c r="R192" i="79"/>
  <c r="Q192" i="79"/>
  <c r="R191" i="79"/>
  <c r="Q191" i="79"/>
  <c r="R190" i="79"/>
  <c r="Q190" i="79"/>
  <c r="R189" i="79"/>
  <c r="Q189" i="79"/>
  <c r="R188" i="79"/>
  <c r="Q188" i="79"/>
  <c r="R187" i="79"/>
  <c r="Q187" i="79"/>
  <c r="R186" i="79"/>
  <c r="Q186" i="79"/>
  <c r="R185" i="79"/>
  <c r="Q185" i="79"/>
  <c r="R184" i="79"/>
  <c r="Q184" i="79"/>
  <c r="R183" i="79"/>
  <c r="Q183" i="79"/>
  <c r="R182" i="79"/>
  <c r="Q182" i="79"/>
  <c r="R181" i="79"/>
  <c r="Q181" i="79"/>
  <c r="R180" i="79"/>
  <c r="Q180" i="79"/>
  <c r="R179" i="79"/>
  <c r="Q179" i="79"/>
  <c r="R178" i="79"/>
  <c r="Q178" i="79"/>
  <c r="R177" i="79"/>
  <c r="Q177" i="79"/>
  <c r="R176" i="79"/>
  <c r="Q176" i="79"/>
  <c r="R175" i="79"/>
  <c r="Q175" i="79"/>
  <c r="R174" i="79"/>
  <c r="Q174" i="79"/>
  <c r="R173" i="79"/>
  <c r="Q173" i="79"/>
  <c r="R172" i="79"/>
  <c r="Q172" i="79"/>
  <c r="R171" i="79"/>
  <c r="Q171" i="79"/>
  <c r="R170" i="79"/>
  <c r="Q170" i="79"/>
  <c r="R169" i="79"/>
  <c r="Q169" i="79"/>
  <c r="R168" i="79"/>
  <c r="Q168" i="79"/>
  <c r="R167" i="79"/>
  <c r="Q167" i="79"/>
  <c r="R166" i="79"/>
  <c r="Q166" i="79"/>
  <c r="R165" i="79"/>
  <c r="Q165" i="79"/>
  <c r="R164" i="79"/>
  <c r="Q164" i="79"/>
  <c r="R163" i="79"/>
  <c r="Q163" i="79"/>
  <c r="R162" i="79"/>
  <c r="Q162" i="79"/>
  <c r="R161" i="79"/>
  <c r="Q161" i="79"/>
  <c r="R160" i="79"/>
  <c r="Q160" i="79"/>
  <c r="R159" i="79"/>
  <c r="Q159" i="79"/>
  <c r="R158" i="79"/>
  <c r="Q158" i="79"/>
  <c r="R157" i="79"/>
  <c r="Q157" i="79"/>
  <c r="R156" i="79"/>
  <c r="Q156" i="79"/>
  <c r="R155" i="79"/>
  <c r="Q155" i="79"/>
  <c r="R154" i="79"/>
  <c r="Q154" i="79"/>
  <c r="R153" i="79"/>
  <c r="Q153" i="79"/>
  <c r="R152" i="79"/>
  <c r="Q152" i="79"/>
  <c r="R151" i="79"/>
  <c r="Q151" i="79"/>
  <c r="R150" i="79"/>
  <c r="Q150" i="79"/>
  <c r="R149" i="79"/>
  <c r="Q149" i="79"/>
  <c r="R148" i="79"/>
  <c r="Q148" i="79"/>
  <c r="R147" i="79"/>
  <c r="Q147" i="79"/>
  <c r="R146" i="79"/>
  <c r="Q146" i="79"/>
  <c r="R145" i="79"/>
  <c r="Q145" i="79"/>
  <c r="R144" i="79"/>
  <c r="Q144" i="79"/>
  <c r="R143" i="79"/>
  <c r="Q143" i="79"/>
  <c r="R142" i="79"/>
  <c r="Q142" i="79"/>
  <c r="R141" i="79"/>
  <c r="Q141" i="79"/>
  <c r="R140" i="79"/>
  <c r="Q140" i="79"/>
  <c r="R139" i="79"/>
  <c r="Q139" i="79"/>
  <c r="R138" i="79"/>
  <c r="Q138" i="79"/>
  <c r="R137" i="79"/>
  <c r="Q137" i="79"/>
  <c r="R136" i="79"/>
  <c r="Q136" i="79"/>
  <c r="R135" i="79"/>
  <c r="Q135" i="79"/>
  <c r="R134" i="79"/>
  <c r="Q134" i="79"/>
  <c r="R133" i="79"/>
  <c r="Q133" i="79"/>
  <c r="R132" i="79"/>
  <c r="Q132" i="79"/>
  <c r="R131" i="79"/>
  <c r="Q131" i="79"/>
  <c r="R130" i="79"/>
  <c r="Q130" i="79"/>
  <c r="R129" i="79"/>
  <c r="Q129" i="79"/>
  <c r="R128" i="79"/>
  <c r="Q128" i="79"/>
  <c r="R127" i="79"/>
  <c r="Q127" i="79"/>
  <c r="R126" i="79"/>
  <c r="Q126" i="79"/>
  <c r="R125" i="79"/>
  <c r="Q125" i="79"/>
  <c r="R124" i="79"/>
  <c r="Q124" i="79"/>
  <c r="R123" i="79"/>
  <c r="Q123" i="79"/>
  <c r="R122" i="79"/>
  <c r="Q122" i="79"/>
  <c r="R121" i="79"/>
  <c r="Q121" i="79"/>
  <c r="R120" i="79"/>
  <c r="Q120" i="79"/>
  <c r="R119" i="79"/>
  <c r="Q119" i="79"/>
  <c r="R118" i="79"/>
  <c r="Q118" i="79"/>
  <c r="R117" i="79"/>
  <c r="Q117" i="79"/>
  <c r="R116" i="79"/>
  <c r="Q116" i="79"/>
  <c r="R115" i="79"/>
  <c r="Q115" i="79"/>
  <c r="R114" i="79"/>
  <c r="Q114" i="79"/>
  <c r="R113" i="79"/>
  <c r="Q113" i="79"/>
  <c r="R112" i="79"/>
  <c r="Q112" i="79"/>
  <c r="R111" i="79"/>
  <c r="Q111" i="79"/>
  <c r="R110" i="79"/>
  <c r="Q110" i="79"/>
  <c r="R109" i="79"/>
  <c r="Q109" i="79"/>
  <c r="R108" i="79"/>
  <c r="Q108" i="79"/>
  <c r="R107" i="79"/>
  <c r="Q107" i="79"/>
  <c r="R106" i="79"/>
  <c r="Q106" i="79"/>
  <c r="R105" i="79"/>
  <c r="Q105" i="79"/>
  <c r="R104" i="79"/>
  <c r="Q104" i="79"/>
  <c r="R103" i="79"/>
  <c r="Q103" i="79"/>
  <c r="R102" i="79"/>
  <c r="Q102" i="79"/>
  <c r="R101" i="79"/>
  <c r="Q101" i="79"/>
  <c r="R100" i="79"/>
  <c r="Q100" i="79"/>
  <c r="R99" i="79"/>
  <c r="Q99" i="79"/>
  <c r="R98" i="79"/>
  <c r="Q98" i="79"/>
  <c r="R97" i="79"/>
  <c r="Q97" i="79"/>
  <c r="R96" i="79"/>
  <c r="Q96" i="79"/>
  <c r="R95" i="79"/>
  <c r="Q95" i="79"/>
  <c r="R94" i="79"/>
  <c r="Q94" i="79"/>
  <c r="R93" i="79"/>
  <c r="Q93" i="79"/>
  <c r="R92" i="79"/>
  <c r="Q92" i="79"/>
  <c r="R91" i="79"/>
  <c r="Q91" i="79"/>
  <c r="R90" i="79"/>
  <c r="Q90" i="79"/>
  <c r="R89" i="79"/>
  <c r="Q89" i="79"/>
  <c r="R88" i="79"/>
  <c r="Q88" i="79"/>
  <c r="R87" i="79"/>
  <c r="Q87" i="79"/>
  <c r="R86" i="79"/>
  <c r="Q86" i="79"/>
  <c r="R85" i="79"/>
  <c r="Q85" i="79"/>
  <c r="R84" i="79"/>
  <c r="Q84" i="79"/>
  <c r="R83" i="79"/>
  <c r="Q83" i="79"/>
  <c r="R82" i="79"/>
  <c r="Q82" i="79"/>
  <c r="R81" i="79"/>
  <c r="Q81" i="79"/>
  <c r="R80" i="79"/>
  <c r="Q80" i="79"/>
  <c r="R79" i="79"/>
  <c r="Q79" i="79"/>
  <c r="R78" i="79"/>
  <c r="Q78" i="79"/>
  <c r="R77" i="79"/>
  <c r="Q77" i="79"/>
  <c r="R76" i="79"/>
  <c r="Q76" i="79"/>
  <c r="R75" i="79"/>
  <c r="Q75" i="79"/>
  <c r="R74" i="79"/>
  <c r="Q74" i="79"/>
  <c r="R73" i="79"/>
  <c r="Q73" i="79"/>
  <c r="R72" i="79"/>
  <c r="Q72" i="79"/>
  <c r="R71" i="79"/>
  <c r="Q71" i="79"/>
  <c r="R70" i="79"/>
  <c r="Q70" i="79"/>
  <c r="R69" i="79"/>
  <c r="Q69" i="79"/>
  <c r="R68" i="79"/>
  <c r="Q68" i="79"/>
  <c r="R67" i="79"/>
  <c r="Q67" i="79"/>
  <c r="R66" i="79"/>
  <c r="Q66" i="79"/>
  <c r="R65" i="79"/>
  <c r="Q65" i="79"/>
  <c r="R64" i="79"/>
  <c r="Q64" i="79"/>
  <c r="R63" i="79"/>
  <c r="Q63" i="79"/>
  <c r="R62" i="79"/>
  <c r="Q62" i="79"/>
  <c r="R61" i="79"/>
  <c r="Q61" i="79"/>
  <c r="R60" i="79"/>
  <c r="Q60" i="79"/>
  <c r="R59" i="79"/>
  <c r="Q59" i="79"/>
  <c r="R58" i="79"/>
  <c r="Q58" i="79"/>
  <c r="R57" i="79"/>
  <c r="Q57" i="79"/>
  <c r="R56" i="79"/>
  <c r="Q56" i="79"/>
  <c r="R55" i="79"/>
  <c r="Q55" i="79"/>
  <c r="R54" i="79"/>
  <c r="Q54" i="79"/>
  <c r="R53" i="79"/>
  <c r="Q53" i="79"/>
  <c r="R52" i="79"/>
  <c r="Q52" i="79"/>
  <c r="R51" i="79"/>
  <c r="Q51" i="79"/>
  <c r="R50" i="79"/>
  <c r="Q50" i="79"/>
  <c r="R49" i="79"/>
  <c r="Q49" i="79"/>
  <c r="R48" i="79"/>
  <c r="Q48" i="79"/>
  <c r="R47" i="79"/>
  <c r="Q47" i="79"/>
  <c r="R46" i="79"/>
  <c r="Q46" i="79"/>
  <c r="R45" i="79"/>
  <c r="Q45" i="79"/>
  <c r="R44" i="79"/>
  <c r="Q44" i="79"/>
  <c r="R43" i="79"/>
  <c r="Q43" i="79"/>
  <c r="R42" i="79"/>
  <c r="Q42" i="79"/>
  <c r="R41" i="79"/>
  <c r="Q41" i="79"/>
  <c r="R40" i="79"/>
  <c r="Q40" i="79"/>
  <c r="R39" i="79"/>
  <c r="Q39" i="79"/>
  <c r="R38" i="79"/>
  <c r="Q38" i="79"/>
  <c r="R37" i="79"/>
  <c r="Q37" i="79"/>
  <c r="R36" i="79"/>
  <c r="Q36" i="79"/>
  <c r="R35" i="79"/>
  <c r="Q35" i="79"/>
  <c r="R34" i="79"/>
  <c r="Q34" i="79"/>
  <c r="R33" i="79"/>
  <c r="Q33" i="79"/>
  <c r="R32" i="79"/>
  <c r="Q32" i="79"/>
  <c r="R31" i="79"/>
  <c r="Q31" i="79"/>
  <c r="R30" i="79"/>
  <c r="Q30" i="79"/>
  <c r="R29" i="79"/>
  <c r="Q29" i="79"/>
  <c r="R28" i="79"/>
  <c r="Q28" i="79"/>
  <c r="R27" i="79"/>
  <c r="Q27" i="79"/>
  <c r="R26" i="79"/>
  <c r="Q26" i="79"/>
  <c r="R25" i="79"/>
  <c r="Q25" i="79"/>
  <c r="R24" i="79"/>
  <c r="Q24" i="79"/>
  <c r="R23" i="79"/>
  <c r="Q23" i="79"/>
  <c r="R22" i="79"/>
  <c r="Q22" i="79"/>
  <c r="R21" i="79"/>
  <c r="Q21" i="79"/>
  <c r="R20" i="79"/>
  <c r="Q20" i="79"/>
  <c r="R19" i="79"/>
  <c r="Q19" i="79"/>
  <c r="R18" i="79"/>
  <c r="Q18" i="79"/>
  <c r="R17" i="79"/>
  <c r="Q17" i="79"/>
  <c r="R16" i="79"/>
  <c r="Q16" i="79"/>
  <c r="R15" i="79"/>
  <c r="Q15" i="79"/>
  <c r="R14" i="79"/>
  <c r="Q14" i="79"/>
  <c r="R13" i="79"/>
  <c r="Q13" i="79"/>
  <c r="R12" i="79"/>
  <c r="Q12" i="79"/>
  <c r="R11" i="79"/>
  <c r="Q11" i="79"/>
  <c r="R10" i="79"/>
  <c r="Q10" i="79"/>
  <c r="R9" i="79"/>
  <c r="D4" i="79"/>
  <c r="Q9" i="79"/>
  <c r="A2" i="79" a="1"/>
  <c r="A2" i="79" s="1"/>
  <c r="A1" i="79" s="1"/>
  <c r="D9" i="126" s="1" a="1"/>
  <c r="D9" i="126" s="1"/>
  <c r="R208" i="78"/>
  <c r="Q208" i="78"/>
  <c r="R207" i="78"/>
  <c r="Q207" i="78"/>
  <c r="R206" i="78"/>
  <c r="Q206" i="78"/>
  <c r="R205" i="78"/>
  <c r="Q205" i="78"/>
  <c r="R204" i="78"/>
  <c r="Q204" i="78"/>
  <c r="R203" i="78"/>
  <c r="Q203" i="78"/>
  <c r="R202" i="78"/>
  <c r="Q202" i="78"/>
  <c r="R201" i="78"/>
  <c r="Q201" i="78"/>
  <c r="R200" i="78"/>
  <c r="Q200" i="78"/>
  <c r="R199" i="78"/>
  <c r="Q199" i="78"/>
  <c r="R198" i="78"/>
  <c r="Q198" i="78"/>
  <c r="R197" i="78"/>
  <c r="Q197" i="78"/>
  <c r="R196" i="78"/>
  <c r="Q196" i="78"/>
  <c r="R195" i="78"/>
  <c r="Q195" i="78"/>
  <c r="R194" i="78"/>
  <c r="Q194" i="78"/>
  <c r="R193" i="78"/>
  <c r="Q193" i="78"/>
  <c r="R192" i="78"/>
  <c r="Q192" i="78"/>
  <c r="R191" i="78"/>
  <c r="Q191" i="78"/>
  <c r="R190" i="78"/>
  <c r="Q190" i="78"/>
  <c r="R189" i="78"/>
  <c r="Q189" i="78"/>
  <c r="R188" i="78"/>
  <c r="Q188" i="78"/>
  <c r="R187" i="78"/>
  <c r="Q187" i="78"/>
  <c r="R186" i="78"/>
  <c r="Q186" i="78"/>
  <c r="R185" i="78"/>
  <c r="Q185" i="78"/>
  <c r="R184" i="78"/>
  <c r="Q184" i="78"/>
  <c r="R183" i="78"/>
  <c r="Q183" i="78"/>
  <c r="R182" i="78"/>
  <c r="Q182" i="78"/>
  <c r="R181" i="78"/>
  <c r="Q181" i="78"/>
  <c r="R180" i="78"/>
  <c r="Q180" i="78"/>
  <c r="R179" i="78"/>
  <c r="Q179" i="78"/>
  <c r="R178" i="78"/>
  <c r="Q178" i="78"/>
  <c r="R177" i="78"/>
  <c r="Q177" i="78"/>
  <c r="R176" i="78"/>
  <c r="Q176" i="78"/>
  <c r="R175" i="78"/>
  <c r="Q175" i="78"/>
  <c r="R174" i="78"/>
  <c r="Q174" i="78"/>
  <c r="R173" i="78"/>
  <c r="Q173" i="78"/>
  <c r="R172" i="78"/>
  <c r="Q172" i="78"/>
  <c r="R171" i="78"/>
  <c r="Q171" i="78"/>
  <c r="R170" i="78"/>
  <c r="Q170" i="78"/>
  <c r="R169" i="78"/>
  <c r="Q169" i="78"/>
  <c r="R168" i="78"/>
  <c r="Q168" i="78"/>
  <c r="R167" i="78"/>
  <c r="Q167" i="78"/>
  <c r="R166" i="78"/>
  <c r="Q166" i="78"/>
  <c r="R165" i="78"/>
  <c r="Q165" i="78"/>
  <c r="R164" i="78"/>
  <c r="Q164" i="78"/>
  <c r="R163" i="78"/>
  <c r="Q163" i="78"/>
  <c r="R162" i="78"/>
  <c r="Q162" i="78"/>
  <c r="R161" i="78"/>
  <c r="Q161" i="78"/>
  <c r="R160" i="78"/>
  <c r="Q160" i="78"/>
  <c r="R159" i="78"/>
  <c r="Q159" i="78"/>
  <c r="R158" i="78"/>
  <c r="Q158" i="78"/>
  <c r="R157" i="78"/>
  <c r="Q157" i="78"/>
  <c r="R156" i="78"/>
  <c r="Q156" i="78"/>
  <c r="R155" i="78"/>
  <c r="Q155" i="78"/>
  <c r="R154" i="78"/>
  <c r="Q154" i="78"/>
  <c r="R153" i="78"/>
  <c r="Q153" i="78"/>
  <c r="R152" i="78"/>
  <c r="Q152" i="78"/>
  <c r="R151" i="78"/>
  <c r="Q151" i="78"/>
  <c r="R150" i="78"/>
  <c r="Q150" i="78"/>
  <c r="R149" i="78"/>
  <c r="Q149" i="78"/>
  <c r="R148" i="78"/>
  <c r="Q148" i="78"/>
  <c r="R147" i="78"/>
  <c r="Q147" i="78"/>
  <c r="R146" i="78"/>
  <c r="Q146" i="78"/>
  <c r="R145" i="78"/>
  <c r="Q145" i="78"/>
  <c r="R144" i="78"/>
  <c r="Q144" i="78"/>
  <c r="R143" i="78"/>
  <c r="Q143" i="78"/>
  <c r="R142" i="78"/>
  <c r="Q142" i="78"/>
  <c r="R141" i="78"/>
  <c r="Q141" i="78"/>
  <c r="R140" i="78"/>
  <c r="Q140" i="78"/>
  <c r="R139" i="78"/>
  <c r="Q139" i="78"/>
  <c r="R138" i="78"/>
  <c r="Q138" i="78"/>
  <c r="R137" i="78"/>
  <c r="Q137" i="78"/>
  <c r="R136" i="78"/>
  <c r="Q136" i="78"/>
  <c r="R135" i="78"/>
  <c r="Q135" i="78"/>
  <c r="R134" i="78"/>
  <c r="Q134" i="78"/>
  <c r="R133" i="78"/>
  <c r="Q133" i="78"/>
  <c r="R132" i="78"/>
  <c r="Q132" i="78"/>
  <c r="R131" i="78"/>
  <c r="Q131" i="78"/>
  <c r="R130" i="78"/>
  <c r="Q130" i="78"/>
  <c r="R129" i="78"/>
  <c r="Q129" i="78"/>
  <c r="R128" i="78"/>
  <c r="Q128" i="78"/>
  <c r="R127" i="78"/>
  <c r="Q127" i="78"/>
  <c r="R126" i="78"/>
  <c r="Q126" i="78"/>
  <c r="R125" i="78"/>
  <c r="Q125" i="78"/>
  <c r="R124" i="78"/>
  <c r="Q124" i="78"/>
  <c r="R123" i="78"/>
  <c r="Q123" i="78"/>
  <c r="R122" i="78"/>
  <c r="Q122" i="78"/>
  <c r="R121" i="78"/>
  <c r="Q121" i="78"/>
  <c r="R120" i="78"/>
  <c r="Q120" i="78"/>
  <c r="R119" i="78"/>
  <c r="Q119" i="78"/>
  <c r="R118" i="78"/>
  <c r="Q118" i="78"/>
  <c r="R117" i="78"/>
  <c r="Q117" i="78"/>
  <c r="R116" i="78"/>
  <c r="Q116" i="78"/>
  <c r="R115" i="78"/>
  <c r="Q115" i="78"/>
  <c r="R114" i="78"/>
  <c r="Q114" i="78"/>
  <c r="R113" i="78"/>
  <c r="Q113" i="78"/>
  <c r="R112" i="78"/>
  <c r="Q112" i="78"/>
  <c r="R111" i="78"/>
  <c r="Q111" i="78"/>
  <c r="R110" i="78"/>
  <c r="Q110" i="78"/>
  <c r="R109" i="78"/>
  <c r="Q109" i="78"/>
  <c r="R108" i="78"/>
  <c r="Q108" i="78"/>
  <c r="R107" i="78"/>
  <c r="Q107" i="78"/>
  <c r="R106" i="78"/>
  <c r="Q106" i="78"/>
  <c r="R105" i="78"/>
  <c r="Q105" i="78"/>
  <c r="R104" i="78"/>
  <c r="Q104" i="78"/>
  <c r="R103" i="78"/>
  <c r="Q103" i="78"/>
  <c r="R102" i="78"/>
  <c r="Q102" i="78"/>
  <c r="R101" i="78"/>
  <c r="Q101" i="78"/>
  <c r="R100" i="78"/>
  <c r="Q100" i="78"/>
  <c r="R99" i="78"/>
  <c r="Q99" i="78"/>
  <c r="R98" i="78"/>
  <c r="Q98" i="78"/>
  <c r="R97" i="78"/>
  <c r="Q97" i="78"/>
  <c r="R96" i="78"/>
  <c r="Q96" i="78"/>
  <c r="R95" i="78"/>
  <c r="Q95" i="78"/>
  <c r="R94" i="78"/>
  <c r="Q94" i="78"/>
  <c r="R93" i="78"/>
  <c r="Q93" i="78"/>
  <c r="R92" i="78"/>
  <c r="Q92" i="78"/>
  <c r="R91" i="78"/>
  <c r="Q91" i="78"/>
  <c r="R90" i="78"/>
  <c r="Q90" i="78"/>
  <c r="R89" i="78"/>
  <c r="Q89" i="78"/>
  <c r="R88" i="78"/>
  <c r="Q88" i="78"/>
  <c r="R87" i="78"/>
  <c r="Q87" i="78"/>
  <c r="R86" i="78"/>
  <c r="Q86" i="78"/>
  <c r="R85" i="78"/>
  <c r="Q85" i="78"/>
  <c r="R84" i="78"/>
  <c r="Q84" i="78"/>
  <c r="R83" i="78"/>
  <c r="Q83" i="78"/>
  <c r="R82" i="78"/>
  <c r="Q82" i="78"/>
  <c r="R81" i="78"/>
  <c r="Q81" i="78"/>
  <c r="R80" i="78"/>
  <c r="Q80" i="78"/>
  <c r="R79" i="78"/>
  <c r="Q79" i="78"/>
  <c r="R78" i="78"/>
  <c r="Q78" i="78"/>
  <c r="R77" i="78"/>
  <c r="Q77" i="78"/>
  <c r="R76" i="78"/>
  <c r="Q76" i="78"/>
  <c r="R75" i="78"/>
  <c r="Q75" i="78"/>
  <c r="R74" i="78"/>
  <c r="Q74" i="78"/>
  <c r="R73" i="78"/>
  <c r="Q73" i="78"/>
  <c r="R72" i="78"/>
  <c r="Q72" i="78"/>
  <c r="R71" i="78"/>
  <c r="Q71" i="78"/>
  <c r="R70" i="78"/>
  <c r="Q70" i="78"/>
  <c r="R69" i="78"/>
  <c r="Q69" i="78"/>
  <c r="R68" i="78"/>
  <c r="Q68" i="78"/>
  <c r="R67" i="78"/>
  <c r="Q67" i="78"/>
  <c r="R66" i="78"/>
  <c r="Q66" i="78"/>
  <c r="R65" i="78"/>
  <c r="Q65" i="78"/>
  <c r="R64" i="78"/>
  <c r="Q64" i="78"/>
  <c r="R63" i="78"/>
  <c r="Q63" i="78"/>
  <c r="R62" i="78"/>
  <c r="Q62" i="78"/>
  <c r="R61" i="78"/>
  <c r="Q61" i="78"/>
  <c r="R60" i="78"/>
  <c r="Q60" i="78"/>
  <c r="R59" i="78"/>
  <c r="Q59" i="78"/>
  <c r="R58" i="78"/>
  <c r="Q58" i="78"/>
  <c r="R57" i="78"/>
  <c r="Q57" i="78"/>
  <c r="R56" i="78"/>
  <c r="Q56" i="78"/>
  <c r="R55" i="78"/>
  <c r="Q55" i="78"/>
  <c r="R54" i="78"/>
  <c r="Q54" i="78"/>
  <c r="R53" i="78"/>
  <c r="Q53" i="78"/>
  <c r="R52" i="78"/>
  <c r="Q52" i="78"/>
  <c r="R51" i="78"/>
  <c r="Q51" i="78"/>
  <c r="R50" i="78"/>
  <c r="Q50" i="78"/>
  <c r="R49" i="78"/>
  <c r="Q49" i="78"/>
  <c r="R48" i="78"/>
  <c r="Q48" i="78"/>
  <c r="R47" i="78"/>
  <c r="Q47" i="78"/>
  <c r="R46" i="78"/>
  <c r="Q46" i="78"/>
  <c r="R45" i="78"/>
  <c r="Q45" i="78"/>
  <c r="R44" i="78"/>
  <c r="Q44" i="78"/>
  <c r="R43" i="78"/>
  <c r="Q43" i="78"/>
  <c r="R42" i="78"/>
  <c r="Q42" i="78"/>
  <c r="R41" i="78"/>
  <c r="Q41" i="78"/>
  <c r="R40" i="78"/>
  <c r="Q40" i="78"/>
  <c r="R39" i="78"/>
  <c r="Q39" i="78"/>
  <c r="R38" i="78"/>
  <c r="Q38" i="78"/>
  <c r="R37" i="78"/>
  <c r="Q37" i="78"/>
  <c r="R36" i="78"/>
  <c r="Q36" i="78"/>
  <c r="R35" i="78"/>
  <c r="Q35" i="78"/>
  <c r="R34" i="78"/>
  <c r="Q34" i="78"/>
  <c r="R33" i="78"/>
  <c r="Q33" i="78"/>
  <c r="R32" i="78"/>
  <c r="Q32" i="78"/>
  <c r="R31" i="78"/>
  <c r="Q31" i="78"/>
  <c r="R30" i="78"/>
  <c r="Q30" i="78"/>
  <c r="R29" i="78"/>
  <c r="Q29" i="78"/>
  <c r="R28" i="78"/>
  <c r="Q28" i="78"/>
  <c r="R27" i="78"/>
  <c r="Q27" i="78"/>
  <c r="R26" i="78"/>
  <c r="Q26" i="78"/>
  <c r="R25" i="78"/>
  <c r="Q25" i="78"/>
  <c r="R24" i="78"/>
  <c r="Q24" i="78"/>
  <c r="R23" i="78"/>
  <c r="Q23" i="78"/>
  <c r="R22" i="78"/>
  <c r="Q22" i="78"/>
  <c r="R21" i="78"/>
  <c r="Q21" i="78"/>
  <c r="R20" i="78"/>
  <c r="Q20" i="78"/>
  <c r="R19" i="78"/>
  <c r="Q19" i="78"/>
  <c r="R18" i="78"/>
  <c r="Q18" i="78"/>
  <c r="R17" i="78"/>
  <c r="Q17" i="78"/>
  <c r="R16" i="78"/>
  <c r="Q16" i="78"/>
  <c r="R15" i="78"/>
  <c r="Q15" i="78"/>
  <c r="R14" i="78"/>
  <c r="Q14" i="78"/>
  <c r="R13" i="78"/>
  <c r="Q13" i="78"/>
  <c r="R12" i="78"/>
  <c r="Q12" i="78"/>
  <c r="R11" i="78"/>
  <c r="Q11" i="78"/>
  <c r="R10" i="78"/>
  <c r="Q10" i="78"/>
  <c r="R9" i="78"/>
  <c r="D4" i="78"/>
  <c r="Q9" i="78"/>
  <c r="A2" i="78" a="1"/>
  <c r="A2" i="78" s="1"/>
  <c r="A1" i="78" s="1"/>
  <c r="D8" i="126" s="1" a="1"/>
  <c r="D8" i="126" s="1"/>
  <c r="R208" i="77"/>
  <c r="Q208" i="77"/>
  <c r="R207" i="77"/>
  <c r="Q207" i="77"/>
  <c r="R206" i="77"/>
  <c r="Q206" i="77"/>
  <c r="R205" i="77"/>
  <c r="Q205" i="77"/>
  <c r="R204" i="77"/>
  <c r="Q204" i="77"/>
  <c r="R203" i="77"/>
  <c r="Q203" i="77"/>
  <c r="R202" i="77"/>
  <c r="Q202" i="77"/>
  <c r="R201" i="77"/>
  <c r="Q201" i="77"/>
  <c r="R200" i="77"/>
  <c r="Q200" i="77"/>
  <c r="R199" i="77"/>
  <c r="Q199" i="77"/>
  <c r="R198" i="77"/>
  <c r="Q198" i="77"/>
  <c r="R197" i="77"/>
  <c r="Q197" i="77"/>
  <c r="R196" i="77"/>
  <c r="Q196" i="77"/>
  <c r="R195" i="77"/>
  <c r="Q195" i="77"/>
  <c r="R194" i="77"/>
  <c r="Q194" i="77"/>
  <c r="R193" i="77"/>
  <c r="Q193" i="77"/>
  <c r="R192" i="77"/>
  <c r="Q192" i="77"/>
  <c r="R191" i="77"/>
  <c r="Q191" i="77"/>
  <c r="R190" i="77"/>
  <c r="Q190" i="77"/>
  <c r="R189" i="77"/>
  <c r="Q189" i="77"/>
  <c r="R188" i="77"/>
  <c r="Q188" i="77"/>
  <c r="R187" i="77"/>
  <c r="Q187" i="77"/>
  <c r="R186" i="77"/>
  <c r="Q186" i="77"/>
  <c r="R185" i="77"/>
  <c r="Q185" i="77"/>
  <c r="R184" i="77"/>
  <c r="Q184" i="77"/>
  <c r="R183" i="77"/>
  <c r="Q183" i="77"/>
  <c r="R182" i="77"/>
  <c r="Q182" i="77"/>
  <c r="R181" i="77"/>
  <c r="Q181" i="77"/>
  <c r="R180" i="77"/>
  <c r="Q180" i="77"/>
  <c r="R179" i="77"/>
  <c r="Q179" i="77"/>
  <c r="R178" i="77"/>
  <c r="Q178" i="77"/>
  <c r="R177" i="77"/>
  <c r="Q177" i="77"/>
  <c r="R176" i="77"/>
  <c r="Q176" i="77"/>
  <c r="R175" i="77"/>
  <c r="Q175" i="77"/>
  <c r="R174" i="77"/>
  <c r="Q174" i="77"/>
  <c r="R173" i="77"/>
  <c r="Q173" i="77"/>
  <c r="R172" i="77"/>
  <c r="Q172" i="77"/>
  <c r="R171" i="77"/>
  <c r="Q171" i="77"/>
  <c r="R170" i="77"/>
  <c r="Q170" i="77"/>
  <c r="R169" i="77"/>
  <c r="Q169" i="77"/>
  <c r="R168" i="77"/>
  <c r="Q168" i="77"/>
  <c r="R167" i="77"/>
  <c r="Q167" i="77"/>
  <c r="R166" i="77"/>
  <c r="Q166" i="77"/>
  <c r="R165" i="77"/>
  <c r="Q165" i="77"/>
  <c r="R164" i="77"/>
  <c r="Q164" i="77"/>
  <c r="R163" i="77"/>
  <c r="Q163" i="77"/>
  <c r="R162" i="77"/>
  <c r="Q162" i="77"/>
  <c r="R161" i="77"/>
  <c r="Q161" i="77"/>
  <c r="R160" i="77"/>
  <c r="Q160" i="77"/>
  <c r="R159" i="77"/>
  <c r="Q159" i="77"/>
  <c r="R158" i="77"/>
  <c r="Q158" i="77"/>
  <c r="R157" i="77"/>
  <c r="Q157" i="77"/>
  <c r="R156" i="77"/>
  <c r="Q156" i="77"/>
  <c r="R155" i="77"/>
  <c r="Q155" i="77"/>
  <c r="R154" i="77"/>
  <c r="Q154" i="77"/>
  <c r="R153" i="77"/>
  <c r="Q153" i="77"/>
  <c r="R152" i="77"/>
  <c r="Q152" i="77"/>
  <c r="R151" i="77"/>
  <c r="Q151" i="77"/>
  <c r="R150" i="77"/>
  <c r="Q150" i="77"/>
  <c r="R149" i="77"/>
  <c r="Q149" i="77"/>
  <c r="R148" i="77"/>
  <c r="Q148" i="77"/>
  <c r="R147" i="77"/>
  <c r="Q147" i="77"/>
  <c r="R146" i="77"/>
  <c r="Q146" i="77"/>
  <c r="R145" i="77"/>
  <c r="Q145" i="77"/>
  <c r="R144" i="77"/>
  <c r="Q144" i="77"/>
  <c r="R143" i="77"/>
  <c r="Q143" i="77"/>
  <c r="R142" i="77"/>
  <c r="Q142" i="77"/>
  <c r="R141" i="77"/>
  <c r="Q141" i="77"/>
  <c r="R140" i="77"/>
  <c r="Q140" i="77"/>
  <c r="R139" i="77"/>
  <c r="Q139" i="77"/>
  <c r="R138" i="77"/>
  <c r="Q138" i="77"/>
  <c r="R137" i="77"/>
  <c r="Q137" i="77"/>
  <c r="R136" i="77"/>
  <c r="Q136" i="77"/>
  <c r="R135" i="77"/>
  <c r="Q135" i="77"/>
  <c r="R134" i="77"/>
  <c r="Q134" i="77"/>
  <c r="R133" i="77"/>
  <c r="Q133" i="77"/>
  <c r="R132" i="77"/>
  <c r="Q132" i="77"/>
  <c r="R131" i="77"/>
  <c r="Q131" i="77"/>
  <c r="R130" i="77"/>
  <c r="Q130" i="77"/>
  <c r="R129" i="77"/>
  <c r="Q129" i="77"/>
  <c r="R128" i="77"/>
  <c r="Q128" i="77"/>
  <c r="R127" i="77"/>
  <c r="Q127" i="77"/>
  <c r="R126" i="77"/>
  <c r="Q126" i="77"/>
  <c r="R125" i="77"/>
  <c r="Q125" i="77"/>
  <c r="R124" i="77"/>
  <c r="Q124" i="77"/>
  <c r="R123" i="77"/>
  <c r="Q123" i="77"/>
  <c r="R122" i="77"/>
  <c r="Q122" i="77"/>
  <c r="R121" i="77"/>
  <c r="Q121" i="77"/>
  <c r="R120" i="77"/>
  <c r="Q120" i="77"/>
  <c r="R119" i="77"/>
  <c r="Q119" i="77"/>
  <c r="R118" i="77"/>
  <c r="Q118" i="77"/>
  <c r="R117" i="77"/>
  <c r="Q117" i="77"/>
  <c r="R116" i="77"/>
  <c r="Q116" i="77"/>
  <c r="R115" i="77"/>
  <c r="Q115" i="77"/>
  <c r="R114" i="77"/>
  <c r="Q114" i="77"/>
  <c r="R113" i="77"/>
  <c r="Q113" i="77"/>
  <c r="R112" i="77"/>
  <c r="Q112" i="77"/>
  <c r="R111" i="77"/>
  <c r="Q111" i="77"/>
  <c r="R110" i="77"/>
  <c r="Q110" i="77"/>
  <c r="R109" i="77"/>
  <c r="Q109" i="77"/>
  <c r="R108" i="77"/>
  <c r="Q108" i="77"/>
  <c r="R107" i="77"/>
  <c r="Q107" i="77"/>
  <c r="R106" i="77"/>
  <c r="Q106" i="77"/>
  <c r="R105" i="77"/>
  <c r="Q105" i="77"/>
  <c r="R104" i="77"/>
  <c r="Q104" i="77"/>
  <c r="R103" i="77"/>
  <c r="Q103" i="77"/>
  <c r="R102" i="77"/>
  <c r="Q102" i="77"/>
  <c r="R101" i="77"/>
  <c r="Q101" i="77"/>
  <c r="R100" i="77"/>
  <c r="Q100" i="77"/>
  <c r="R99" i="77"/>
  <c r="Q99" i="77"/>
  <c r="R98" i="77"/>
  <c r="Q98" i="77"/>
  <c r="R97" i="77"/>
  <c r="Q97" i="77"/>
  <c r="R96" i="77"/>
  <c r="Q96" i="77"/>
  <c r="R95" i="77"/>
  <c r="Q95" i="77"/>
  <c r="R94" i="77"/>
  <c r="Q94" i="77"/>
  <c r="R93" i="77"/>
  <c r="Q93" i="77"/>
  <c r="R92" i="77"/>
  <c r="Q92" i="77"/>
  <c r="R91" i="77"/>
  <c r="Q91" i="77"/>
  <c r="R90" i="77"/>
  <c r="Q90" i="77"/>
  <c r="R89" i="77"/>
  <c r="Q89" i="77"/>
  <c r="R88" i="77"/>
  <c r="Q88" i="77"/>
  <c r="R87" i="77"/>
  <c r="Q87" i="77"/>
  <c r="R86" i="77"/>
  <c r="Q86" i="77"/>
  <c r="R85" i="77"/>
  <c r="Q85" i="77"/>
  <c r="R84" i="77"/>
  <c r="Q84" i="77"/>
  <c r="R83" i="77"/>
  <c r="Q83" i="77"/>
  <c r="R82" i="77"/>
  <c r="Q82" i="77"/>
  <c r="R81" i="77"/>
  <c r="Q81" i="77"/>
  <c r="R80" i="77"/>
  <c r="Q80" i="77"/>
  <c r="R79" i="77"/>
  <c r="Q79" i="77"/>
  <c r="R78" i="77"/>
  <c r="Q78" i="77"/>
  <c r="R77" i="77"/>
  <c r="Q77" i="77"/>
  <c r="R76" i="77"/>
  <c r="Q76" i="77"/>
  <c r="R75" i="77"/>
  <c r="Q75" i="77"/>
  <c r="R74" i="77"/>
  <c r="Q74" i="77"/>
  <c r="R73" i="77"/>
  <c r="Q73" i="77"/>
  <c r="R72" i="77"/>
  <c r="Q72" i="77"/>
  <c r="R71" i="77"/>
  <c r="Q71" i="77"/>
  <c r="R70" i="77"/>
  <c r="Q70" i="77"/>
  <c r="R69" i="77"/>
  <c r="Q69" i="77"/>
  <c r="R68" i="77"/>
  <c r="Q68" i="77"/>
  <c r="R67" i="77"/>
  <c r="Q67" i="77"/>
  <c r="R66" i="77"/>
  <c r="Q66" i="77"/>
  <c r="R65" i="77"/>
  <c r="Q65" i="77"/>
  <c r="R64" i="77"/>
  <c r="Q64" i="77"/>
  <c r="R63" i="77"/>
  <c r="Q63" i="77"/>
  <c r="R62" i="77"/>
  <c r="Q62" i="77"/>
  <c r="R61" i="77"/>
  <c r="Q61" i="77"/>
  <c r="R60" i="77"/>
  <c r="Q60" i="77"/>
  <c r="R59" i="77"/>
  <c r="Q59" i="77"/>
  <c r="R58" i="77"/>
  <c r="Q58" i="77"/>
  <c r="R57" i="77"/>
  <c r="Q57" i="77"/>
  <c r="R56" i="77"/>
  <c r="Q56" i="77"/>
  <c r="R55" i="77"/>
  <c r="Q55" i="77"/>
  <c r="R54" i="77"/>
  <c r="Q54" i="77"/>
  <c r="R53" i="77"/>
  <c r="Q53" i="77"/>
  <c r="R52" i="77"/>
  <c r="Q52" i="77"/>
  <c r="R51" i="77"/>
  <c r="Q51" i="77"/>
  <c r="R50" i="77"/>
  <c r="Q50" i="77"/>
  <c r="R49" i="77"/>
  <c r="Q49" i="77"/>
  <c r="R48" i="77"/>
  <c r="Q48" i="77"/>
  <c r="R47" i="77"/>
  <c r="Q47" i="77"/>
  <c r="R46" i="77"/>
  <c r="Q46" i="77"/>
  <c r="R45" i="77"/>
  <c r="Q45" i="77"/>
  <c r="R44" i="77"/>
  <c r="Q44" i="77"/>
  <c r="R43" i="77"/>
  <c r="Q43" i="77"/>
  <c r="R42" i="77"/>
  <c r="Q42" i="77"/>
  <c r="R41" i="77"/>
  <c r="Q41" i="77"/>
  <c r="R40" i="77"/>
  <c r="Q40" i="77"/>
  <c r="R39" i="77"/>
  <c r="Q39" i="77"/>
  <c r="R38" i="77"/>
  <c r="Q38" i="77"/>
  <c r="R37" i="77"/>
  <c r="Q37" i="77"/>
  <c r="R36" i="77"/>
  <c r="Q36" i="77"/>
  <c r="R35" i="77"/>
  <c r="Q35" i="77"/>
  <c r="R34" i="77"/>
  <c r="Q34" i="77"/>
  <c r="R33" i="77"/>
  <c r="Q33" i="77"/>
  <c r="R32" i="77"/>
  <c r="Q32" i="77"/>
  <c r="R31" i="77"/>
  <c r="Q31" i="77"/>
  <c r="R30" i="77"/>
  <c r="Q30" i="77"/>
  <c r="R29" i="77"/>
  <c r="Q29" i="77"/>
  <c r="R28" i="77"/>
  <c r="Q28" i="77"/>
  <c r="R27" i="77"/>
  <c r="Q27" i="77"/>
  <c r="R26" i="77"/>
  <c r="Q26" i="77"/>
  <c r="R25" i="77"/>
  <c r="Q25" i="77"/>
  <c r="R24" i="77"/>
  <c r="Q24" i="77"/>
  <c r="R23" i="77"/>
  <c r="Q23" i="77"/>
  <c r="R22" i="77"/>
  <c r="Q22" i="77"/>
  <c r="R21" i="77"/>
  <c r="Q21" i="77"/>
  <c r="R20" i="77"/>
  <c r="Q20" i="77"/>
  <c r="R19" i="77"/>
  <c r="Q19" i="77"/>
  <c r="R18" i="77"/>
  <c r="Q18" i="77"/>
  <c r="R17" i="77"/>
  <c r="Q17" i="77"/>
  <c r="R16" i="77"/>
  <c r="Q16" i="77"/>
  <c r="R15" i="77"/>
  <c r="Q15" i="77"/>
  <c r="R14" i="77"/>
  <c r="Q14" i="77"/>
  <c r="R13" i="77"/>
  <c r="Q13" i="77"/>
  <c r="R12" i="77"/>
  <c r="Q12" i="77"/>
  <c r="R11" i="77"/>
  <c r="Q11" i="77"/>
  <c r="R10" i="77"/>
  <c r="Q10" i="77"/>
  <c r="R9" i="77"/>
  <c r="D4" i="77"/>
  <c r="Q9" i="77"/>
  <c r="A2" i="77" a="1"/>
  <c r="A2" i="77" s="1"/>
  <c r="A1" i="77" s="1"/>
  <c r="D7" i="126" s="1" a="1"/>
  <c r="D7" i="126" s="1"/>
  <c r="R208" i="76"/>
  <c r="Q208" i="76"/>
  <c r="R207" i="76"/>
  <c r="Q207" i="76"/>
  <c r="R206" i="76"/>
  <c r="Q206" i="76"/>
  <c r="R205" i="76"/>
  <c r="Q205" i="76"/>
  <c r="R204" i="76"/>
  <c r="Q204" i="76"/>
  <c r="R203" i="76"/>
  <c r="Q203" i="76"/>
  <c r="R202" i="76"/>
  <c r="Q202" i="76"/>
  <c r="R201" i="76"/>
  <c r="Q201" i="76"/>
  <c r="R200" i="76"/>
  <c r="Q200" i="76"/>
  <c r="R199" i="76"/>
  <c r="Q199" i="76"/>
  <c r="R198" i="76"/>
  <c r="Q198" i="76"/>
  <c r="R197" i="76"/>
  <c r="Q197" i="76"/>
  <c r="R196" i="76"/>
  <c r="Q196" i="76"/>
  <c r="R195" i="76"/>
  <c r="Q195" i="76"/>
  <c r="R194" i="76"/>
  <c r="Q194" i="76"/>
  <c r="R193" i="76"/>
  <c r="Q193" i="76"/>
  <c r="R192" i="76"/>
  <c r="Q192" i="76"/>
  <c r="R191" i="76"/>
  <c r="Q191" i="76"/>
  <c r="R190" i="76"/>
  <c r="Q190" i="76"/>
  <c r="R189" i="76"/>
  <c r="Q189" i="76"/>
  <c r="R188" i="76"/>
  <c r="Q188" i="76"/>
  <c r="R187" i="76"/>
  <c r="Q187" i="76"/>
  <c r="R186" i="76"/>
  <c r="Q186" i="76"/>
  <c r="R185" i="76"/>
  <c r="Q185" i="76"/>
  <c r="R184" i="76"/>
  <c r="Q184" i="76"/>
  <c r="R183" i="76"/>
  <c r="Q183" i="76"/>
  <c r="R182" i="76"/>
  <c r="Q182" i="76"/>
  <c r="R181" i="76"/>
  <c r="Q181" i="76"/>
  <c r="R180" i="76"/>
  <c r="Q180" i="76"/>
  <c r="R179" i="76"/>
  <c r="Q179" i="76"/>
  <c r="R178" i="76"/>
  <c r="Q178" i="76"/>
  <c r="R177" i="76"/>
  <c r="Q177" i="76"/>
  <c r="R176" i="76"/>
  <c r="Q176" i="76"/>
  <c r="R175" i="76"/>
  <c r="Q175" i="76"/>
  <c r="R174" i="76"/>
  <c r="Q174" i="76"/>
  <c r="R173" i="76"/>
  <c r="Q173" i="76"/>
  <c r="R172" i="76"/>
  <c r="Q172" i="76"/>
  <c r="R171" i="76"/>
  <c r="Q171" i="76"/>
  <c r="R170" i="76"/>
  <c r="Q170" i="76"/>
  <c r="R169" i="76"/>
  <c r="Q169" i="76"/>
  <c r="R168" i="76"/>
  <c r="Q168" i="76"/>
  <c r="R167" i="76"/>
  <c r="Q167" i="76"/>
  <c r="R166" i="76"/>
  <c r="Q166" i="76"/>
  <c r="R165" i="76"/>
  <c r="Q165" i="76"/>
  <c r="R164" i="76"/>
  <c r="Q164" i="76"/>
  <c r="R163" i="76"/>
  <c r="Q163" i="76"/>
  <c r="R162" i="76"/>
  <c r="Q162" i="76"/>
  <c r="R161" i="76"/>
  <c r="Q161" i="76"/>
  <c r="R160" i="76"/>
  <c r="Q160" i="76"/>
  <c r="R159" i="76"/>
  <c r="Q159" i="76"/>
  <c r="R158" i="76"/>
  <c r="Q158" i="76"/>
  <c r="R157" i="76"/>
  <c r="Q157" i="76"/>
  <c r="R156" i="76"/>
  <c r="Q156" i="76"/>
  <c r="R155" i="76"/>
  <c r="Q155" i="76"/>
  <c r="R154" i="76"/>
  <c r="Q154" i="76"/>
  <c r="R153" i="76"/>
  <c r="Q153" i="76"/>
  <c r="R152" i="76"/>
  <c r="Q152" i="76"/>
  <c r="R151" i="76"/>
  <c r="Q151" i="76"/>
  <c r="R150" i="76"/>
  <c r="Q150" i="76"/>
  <c r="R149" i="76"/>
  <c r="Q149" i="76"/>
  <c r="R148" i="76"/>
  <c r="Q148" i="76"/>
  <c r="R147" i="76"/>
  <c r="Q147" i="76"/>
  <c r="R146" i="76"/>
  <c r="Q146" i="76"/>
  <c r="R145" i="76"/>
  <c r="Q145" i="76"/>
  <c r="R144" i="76"/>
  <c r="Q144" i="76"/>
  <c r="R143" i="76"/>
  <c r="Q143" i="76"/>
  <c r="R142" i="76"/>
  <c r="Q142" i="76"/>
  <c r="R141" i="76"/>
  <c r="Q141" i="76"/>
  <c r="R140" i="76"/>
  <c r="Q140" i="76"/>
  <c r="R139" i="76"/>
  <c r="Q139" i="76"/>
  <c r="R138" i="76"/>
  <c r="Q138" i="76"/>
  <c r="R137" i="76"/>
  <c r="Q137" i="76"/>
  <c r="R136" i="76"/>
  <c r="Q136" i="76"/>
  <c r="R135" i="76"/>
  <c r="Q135" i="76"/>
  <c r="R134" i="76"/>
  <c r="Q134" i="76"/>
  <c r="R133" i="76"/>
  <c r="Q133" i="76"/>
  <c r="R132" i="76"/>
  <c r="Q132" i="76"/>
  <c r="R131" i="76"/>
  <c r="Q131" i="76"/>
  <c r="R130" i="76"/>
  <c r="Q130" i="76"/>
  <c r="R129" i="76"/>
  <c r="Q129" i="76"/>
  <c r="R128" i="76"/>
  <c r="Q128" i="76"/>
  <c r="R127" i="76"/>
  <c r="Q127" i="76"/>
  <c r="R126" i="76"/>
  <c r="Q126" i="76"/>
  <c r="R125" i="76"/>
  <c r="Q125" i="76"/>
  <c r="R124" i="76"/>
  <c r="Q124" i="76"/>
  <c r="R123" i="76"/>
  <c r="Q123" i="76"/>
  <c r="R122" i="76"/>
  <c r="Q122" i="76"/>
  <c r="R121" i="76"/>
  <c r="Q121" i="76"/>
  <c r="R120" i="76"/>
  <c r="Q120" i="76"/>
  <c r="R119" i="76"/>
  <c r="Q119" i="76"/>
  <c r="R118" i="76"/>
  <c r="Q118" i="76"/>
  <c r="R117" i="76"/>
  <c r="Q117" i="76"/>
  <c r="R116" i="76"/>
  <c r="Q116" i="76"/>
  <c r="R115" i="76"/>
  <c r="Q115" i="76"/>
  <c r="R114" i="76"/>
  <c r="Q114" i="76"/>
  <c r="R113" i="76"/>
  <c r="Q113" i="76"/>
  <c r="R112" i="76"/>
  <c r="Q112" i="76"/>
  <c r="R111" i="76"/>
  <c r="Q111" i="76"/>
  <c r="R110" i="76"/>
  <c r="Q110" i="76"/>
  <c r="R109" i="76"/>
  <c r="Q109" i="76"/>
  <c r="R108" i="76"/>
  <c r="Q108" i="76"/>
  <c r="R107" i="76"/>
  <c r="Q107" i="76"/>
  <c r="R106" i="76"/>
  <c r="Q106" i="76"/>
  <c r="R105" i="76"/>
  <c r="Q105" i="76"/>
  <c r="R104" i="76"/>
  <c r="Q104" i="76"/>
  <c r="R103" i="76"/>
  <c r="Q103" i="76"/>
  <c r="R102" i="76"/>
  <c r="Q102" i="76"/>
  <c r="R101" i="76"/>
  <c r="Q101" i="76"/>
  <c r="R100" i="76"/>
  <c r="Q100" i="76"/>
  <c r="R99" i="76"/>
  <c r="Q99" i="76"/>
  <c r="R98" i="76"/>
  <c r="Q98" i="76"/>
  <c r="R97" i="76"/>
  <c r="Q97" i="76"/>
  <c r="R96" i="76"/>
  <c r="Q96" i="76"/>
  <c r="R95" i="76"/>
  <c r="Q95" i="76"/>
  <c r="R94" i="76"/>
  <c r="Q94" i="76"/>
  <c r="R93" i="76"/>
  <c r="Q93" i="76"/>
  <c r="R92" i="76"/>
  <c r="Q92" i="76"/>
  <c r="R91" i="76"/>
  <c r="Q91" i="76"/>
  <c r="R90" i="76"/>
  <c r="Q90" i="76"/>
  <c r="R89" i="76"/>
  <c r="Q89" i="76"/>
  <c r="R88" i="76"/>
  <c r="Q88" i="76"/>
  <c r="R87" i="76"/>
  <c r="Q87" i="76"/>
  <c r="R86" i="76"/>
  <c r="Q86" i="76"/>
  <c r="R85" i="76"/>
  <c r="Q85" i="76"/>
  <c r="R84" i="76"/>
  <c r="Q84" i="76"/>
  <c r="R83" i="76"/>
  <c r="Q83" i="76"/>
  <c r="R82" i="76"/>
  <c r="Q82" i="76"/>
  <c r="R81" i="76"/>
  <c r="Q81" i="76"/>
  <c r="R80" i="76"/>
  <c r="Q80" i="76"/>
  <c r="R79" i="76"/>
  <c r="Q79" i="76"/>
  <c r="R78" i="76"/>
  <c r="Q78" i="76"/>
  <c r="R77" i="76"/>
  <c r="Q77" i="76"/>
  <c r="R76" i="76"/>
  <c r="Q76" i="76"/>
  <c r="R75" i="76"/>
  <c r="Q75" i="76"/>
  <c r="R74" i="76"/>
  <c r="Q74" i="76"/>
  <c r="R73" i="76"/>
  <c r="Q73" i="76"/>
  <c r="R72" i="76"/>
  <c r="Q72" i="76"/>
  <c r="R71" i="76"/>
  <c r="Q71" i="76"/>
  <c r="R70" i="76"/>
  <c r="Q70" i="76"/>
  <c r="R69" i="76"/>
  <c r="Q69" i="76"/>
  <c r="R68" i="76"/>
  <c r="Q68" i="76"/>
  <c r="R67" i="76"/>
  <c r="Q67" i="76"/>
  <c r="R66" i="76"/>
  <c r="Q66" i="76"/>
  <c r="R65" i="76"/>
  <c r="Q65" i="76"/>
  <c r="R64" i="76"/>
  <c r="Q64" i="76"/>
  <c r="R63" i="76"/>
  <c r="Q63" i="76"/>
  <c r="R62" i="76"/>
  <c r="Q62" i="76"/>
  <c r="R61" i="76"/>
  <c r="Q61" i="76"/>
  <c r="R60" i="76"/>
  <c r="Q60" i="76"/>
  <c r="R59" i="76"/>
  <c r="Q59" i="76"/>
  <c r="R58" i="76"/>
  <c r="Q58" i="76"/>
  <c r="R57" i="76"/>
  <c r="Q57" i="76"/>
  <c r="R56" i="76"/>
  <c r="Q56" i="76"/>
  <c r="R55" i="76"/>
  <c r="Q55" i="76"/>
  <c r="R54" i="76"/>
  <c r="Q54" i="76"/>
  <c r="R53" i="76"/>
  <c r="Q53" i="76"/>
  <c r="R52" i="76"/>
  <c r="Q52" i="76"/>
  <c r="R51" i="76"/>
  <c r="Q51" i="76"/>
  <c r="R50" i="76"/>
  <c r="Q50" i="76"/>
  <c r="R49" i="76"/>
  <c r="Q49" i="76"/>
  <c r="R48" i="76"/>
  <c r="Q48" i="76"/>
  <c r="R47" i="76"/>
  <c r="Q47" i="76"/>
  <c r="R46" i="76"/>
  <c r="Q46" i="76"/>
  <c r="R45" i="76"/>
  <c r="Q45" i="76"/>
  <c r="R44" i="76"/>
  <c r="Q44" i="76"/>
  <c r="R43" i="76"/>
  <c r="Q43" i="76"/>
  <c r="R42" i="76"/>
  <c r="Q42" i="76"/>
  <c r="R41" i="76"/>
  <c r="Q41" i="76"/>
  <c r="R40" i="76"/>
  <c r="Q40" i="76"/>
  <c r="R39" i="76"/>
  <c r="Q39" i="76"/>
  <c r="R38" i="76"/>
  <c r="Q38" i="76"/>
  <c r="R37" i="76"/>
  <c r="Q37" i="76"/>
  <c r="R36" i="76"/>
  <c r="Q36" i="76"/>
  <c r="R35" i="76"/>
  <c r="Q35" i="76"/>
  <c r="R34" i="76"/>
  <c r="Q34" i="76"/>
  <c r="R33" i="76"/>
  <c r="Q33" i="76"/>
  <c r="R32" i="76"/>
  <c r="Q32" i="76"/>
  <c r="R31" i="76"/>
  <c r="Q31" i="76"/>
  <c r="R30" i="76"/>
  <c r="Q30" i="76"/>
  <c r="R29" i="76"/>
  <c r="Q29" i="76"/>
  <c r="R28" i="76"/>
  <c r="Q28" i="76"/>
  <c r="R27" i="76"/>
  <c r="Q27" i="76"/>
  <c r="R26" i="76"/>
  <c r="Q26" i="76"/>
  <c r="R25" i="76"/>
  <c r="Q25" i="76"/>
  <c r="R24" i="76"/>
  <c r="Q24" i="76"/>
  <c r="R23" i="76"/>
  <c r="Q23" i="76"/>
  <c r="R22" i="76"/>
  <c r="Q22" i="76"/>
  <c r="R21" i="76"/>
  <c r="Q21" i="76"/>
  <c r="R20" i="76"/>
  <c r="Q20" i="76"/>
  <c r="R19" i="76"/>
  <c r="Q19" i="76"/>
  <c r="R18" i="76"/>
  <c r="Q18" i="76"/>
  <c r="R17" i="76"/>
  <c r="Q17" i="76"/>
  <c r="R16" i="76"/>
  <c r="Q16" i="76"/>
  <c r="R15" i="76"/>
  <c r="Q15" i="76"/>
  <c r="R14" i="76"/>
  <c r="Q14" i="76"/>
  <c r="R13" i="76"/>
  <c r="Q13" i="76"/>
  <c r="R12" i="76"/>
  <c r="Q12" i="76"/>
  <c r="R11" i="76"/>
  <c r="Q11" i="76"/>
  <c r="R10" i="76"/>
  <c r="Q10" i="76"/>
  <c r="R9" i="76"/>
  <c r="D4" i="76"/>
  <c r="Q9" i="76"/>
  <c r="A2" i="76" a="1"/>
  <c r="A2" i="76" s="1"/>
  <c r="A1" i="76" s="1"/>
  <c r="D6" i="126" s="1" a="1"/>
  <c r="D6" i="126" s="1"/>
  <c r="R208" i="75"/>
  <c r="Q208" i="75"/>
  <c r="R207" i="75"/>
  <c r="Q207" i="75"/>
  <c r="R206" i="75"/>
  <c r="Q206" i="75"/>
  <c r="R205" i="75"/>
  <c r="Q205" i="75"/>
  <c r="R204" i="75"/>
  <c r="Q204" i="75"/>
  <c r="R203" i="75"/>
  <c r="Q203" i="75"/>
  <c r="R202" i="75"/>
  <c r="Q202" i="75"/>
  <c r="R201" i="75"/>
  <c r="Q201" i="75"/>
  <c r="R200" i="75"/>
  <c r="Q200" i="75"/>
  <c r="R199" i="75"/>
  <c r="Q199" i="75"/>
  <c r="R198" i="75"/>
  <c r="Q198" i="75"/>
  <c r="R197" i="75"/>
  <c r="Q197" i="75"/>
  <c r="R196" i="75"/>
  <c r="Q196" i="75"/>
  <c r="R195" i="75"/>
  <c r="Q195" i="75"/>
  <c r="R194" i="75"/>
  <c r="Q194" i="75"/>
  <c r="R193" i="75"/>
  <c r="Q193" i="75"/>
  <c r="R192" i="75"/>
  <c r="Q192" i="75"/>
  <c r="R191" i="75"/>
  <c r="Q191" i="75"/>
  <c r="R190" i="75"/>
  <c r="Q190" i="75"/>
  <c r="R189" i="75"/>
  <c r="Q189" i="75"/>
  <c r="R188" i="75"/>
  <c r="Q188" i="75"/>
  <c r="R187" i="75"/>
  <c r="Q187" i="75"/>
  <c r="R186" i="75"/>
  <c r="Q186" i="75"/>
  <c r="R185" i="75"/>
  <c r="Q185" i="75"/>
  <c r="R184" i="75"/>
  <c r="Q184" i="75"/>
  <c r="R183" i="75"/>
  <c r="Q183" i="75"/>
  <c r="R182" i="75"/>
  <c r="Q182" i="75"/>
  <c r="R181" i="75"/>
  <c r="Q181" i="75"/>
  <c r="R180" i="75"/>
  <c r="Q180" i="75"/>
  <c r="R179" i="75"/>
  <c r="Q179" i="75"/>
  <c r="R178" i="75"/>
  <c r="Q178" i="75"/>
  <c r="R177" i="75"/>
  <c r="Q177" i="75"/>
  <c r="R176" i="75"/>
  <c r="Q176" i="75"/>
  <c r="R175" i="75"/>
  <c r="Q175" i="75"/>
  <c r="R174" i="75"/>
  <c r="Q174" i="75"/>
  <c r="R173" i="75"/>
  <c r="Q173" i="75"/>
  <c r="R172" i="75"/>
  <c r="Q172" i="75"/>
  <c r="R171" i="75"/>
  <c r="Q171" i="75"/>
  <c r="R170" i="75"/>
  <c r="Q170" i="75"/>
  <c r="R169" i="75"/>
  <c r="Q169" i="75"/>
  <c r="R168" i="75"/>
  <c r="Q168" i="75"/>
  <c r="R167" i="75"/>
  <c r="Q167" i="75"/>
  <c r="R166" i="75"/>
  <c r="Q166" i="75"/>
  <c r="R165" i="75"/>
  <c r="Q165" i="75"/>
  <c r="R164" i="75"/>
  <c r="Q164" i="75"/>
  <c r="R163" i="75"/>
  <c r="Q163" i="75"/>
  <c r="R162" i="75"/>
  <c r="Q162" i="75"/>
  <c r="R161" i="75"/>
  <c r="Q161" i="75"/>
  <c r="R160" i="75"/>
  <c r="Q160" i="75"/>
  <c r="R159" i="75"/>
  <c r="Q159" i="75"/>
  <c r="R158" i="75"/>
  <c r="Q158" i="75"/>
  <c r="R157" i="75"/>
  <c r="Q157" i="75"/>
  <c r="R156" i="75"/>
  <c r="Q156" i="75"/>
  <c r="R155" i="75"/>
  <c r="Q155" i="75"/>
  <c r="R154" i="75"/>
  <c r="Q154" i="75"/>
  <c r="R153" i="75"/>
  <c r="Q153" i="75"/>
  <c r="R152" i="75"/>
  <c r="Q152" i="75"/>
  <c r="R151" i="75"/>
  <c r="Q151" i="75"/>
  <c r="R150" i="75"/>
  <c r="Q150" i="75"/>
  <c r="R149" i="75"/>
  <c r="Q149" i="75"/>
  <c r="R148" i="75"/>
  <c r="Q148" i="75"/>
  <c r="R147" i="75"/>
  <c r="Q147" i="75"/>
  <c r="R146" i="75"/>
  <c r="Q146" i="75"/>
  <c r="R145" i="75"/>
  <c r="Q145" i="75"/>
  <c r="R144" i="75"/>
  <c r="Q144" i="75"/>
  <c r="R143" i="75"/>
  <c r="Q143" i="75"/>
  <c r="R142" i="75"/>
  <c r="Q142" i="75"/>
  <c r="R141" i="75"/>
  <c r="Q141" i="75"/>
  <c r="R140" i="75"/>
  <c r="Q140" i="75"/>
  <c r="R139" i="75"/>
  <c r="Q139" i="75"/>
  <c r="R138" i="75"/>
  <c r="Q138" i="75"/>
  <c r="R137" i="75"/>
  <c r="Q137" i="75"/>
  <c r="R136" i="75"/>
  <c r="Q136" i="75"/>
  <c r="R135" i="75"/>
  <c r="Q135" i="75"/>
  <c r="R134" i="75"/>
  <c r="Q134" i="75"/>
  <c r="R133" i="75"/>
  <c r="Q133" i="75"/>
  <c r="R132" i="75"/>
  <c r="Q132" i="75"/>
  <c r="R131" i="75"/>
  <c r="Q131" i="75"/>
  <c r="R130" i="75"/>
  <c r="Q130" i="75"/>
  <c r="R129" i="75"/>
  <c r="Q129" i="75"/>
  <c r="R128" i="75"/>
  <c r="Q128" i="75"/>
  <c r="R127" i="75"/>
  <c r="Q127" i="75"/>
  <c r="R126" i="75"/>
  <c r="Q126" i="75"/>
  <c r="R125" i="75"/>
  <c r="Q125" i="75"/>
  <c r="R124" i="75"/>
  <c r="Q124" i="75"/>
  <c r="R123" i="75"/>
  <c r="Q123" i="75"/>
  <c r="R122" i="75"/>
  <c r="Q122" i="75"/>
  <c r="R121" i="75"/>
  <c r="Q121" i="75"/>
  <c r="R120" i="75"/>
  <c r="Q120" i="75"/>
  <c r="R119" i="75"/>
  <c r="Q119" i="75"/>
  <c r="R118" i="75"/>
  <c r="Q118" i="75"/>
  <c r="R117" i="75"/>
  <c r="Q117" i="75"/>
  <c r="R116" i="75"/>
  <c r="Q116" i="75"/>
  <c r="R115" i="75"/>
  <c r="Q115" i="75"/>
  <c r="R114" i="75"/>
  <c r="Q114" i="75"/>
  <c r="R113" i="75"/>
  <c r="Q113" i="75"/>
  <c r="R112" i="75"/>
  <c r="Q112" i="75"/>
  <c r="R111" i="75"/>
  <c r="Q111" i="75"/>
  <c r="R110" i="75"/>
  <c r="Q110" i="75"/>
  <c r="R109" i="75"/>
  <c r="Q109" i="75"/>
  <c r="R108" i="75"/>
  <c r="Q108" i="75"/>
  <c r="R107" i="75"/>
  <c r="Q107" i="75"/>
  <c r="R106" i="75"/>
  <c r="Q106" i="75"/>
  <c r="R105" i="75"/>
  <c r="Q105" i="75"/>
  <c r="R104" i="75"/>
  <c r="Q104" i="75"/>
  <c r="R103" i="75"/>
  <c r="Q103" i="75"/>
  <c r="R102" i="75"/>
  <c r="Q102" i="75"/>
  <c r="R101" i="75"/>
  <c r="Q101" i="75"/>
  <c r="R100" i="75"/>
  <c r="Q100" i="75"/>
  <c r="R99" i="75"/>
  <c r="Q99" i="75"/>
  <c r="R98" i="75"/>
  <c r="Q98" i="75"/>
  <c r="R97" i="75"/>
  <c r="Q97" i="75"/>
  <c r="R96" i="75"/>
  <c r="Q96" i="75"/>
  <c r="R95" i="75"/>
  <c r="Q95" i="75"/>
  <c r="R94" i="75"/>
  <c r="Q94" i="75"/>
  <c r="R93" i="75"/>
  <c r="Q93" i="75"/>
  <c r="R92" i="75"/>
  <c r="Q92" i="75"/>
  <c r="R91" i="75"/>
  <c r="Q91" i="75"/>
  <c r="R90" i="75"/>
  <c r="Q90" i="75"/>
  <c r="R89" i="75"/>
  <c r="Q89" i="75"/>
  <c r="R88" i="75"/>
  <c r="Q88" i="75"/>
  <c r="R87" i="75"/>
  <c r="Q87" i="75"/>
  <c r="R86" i="75"/>
  <c r="Q86" i="75"/>
  <c r="R85" i="75"/>
  <c r="Q85" i="75"/>
  <c r="R84" i="75"/>
  <c r="Q84" i="75"/>
  <c r="R83" i="75"/>
  <c r="Q83" i="75"/>
  <c r="R82" i="75"/>
  <c r="Q82" i="75"/>
  <c r="R81" i="75"/>
  <c r="Q81" i="75"/>
  <c r="R80" i="75"/>
  <c r="Q80" i="75"/>
  <c r="R79" i="75"/>
  <c r="Q79" i="75"/>
  <c r="R78" i="75"/>
  <c r="Q78" i="75"/>
  <c r="R77" i="75"/>
  <c r="Q77" i="75"/>
  <c r="R76" i="75"/>
  <c r="Q76" i="75"/>
  <c r="R75" i="75"/>
  <c r="Q75" i="75"/>
  <c r="R74" i="75"/>
  <c r="Q74" i="75"/>
  <c r="R73" i="75"/>
  <c r="Q73" i="75"/>
  <c r="R72" i="75"/>
  <c r="Q72" i="75"/>
  <c r="R71" i="75"/>
  <c r="Q71" i="75"/>
  <c r="R70" i="75"/>
  <c r="Q70" i="75"/>
  <c r="R69" i="75"/>
  <c r="Q69" i="75"/>
  <c r="R68" i="75"/>
  <c r="Q68" i="75"/>
  <c r="R67" i="75"/>
  <c r="Q67" i="75"/>
  <c r="R66" i="75"/>
  <c r="Q66" i="75"/>
  <c r="R65" i="75"/>
  <c r="Q65" i="75"/>
  <c r="R64" i="75"/>
  <c r="Q64" i="75"/>
  <c r="R63" i="75"/>
  <c r="Q63" i="75"/>
  <c r="R62" i="75"/>
  <c r="Q62" i="75"/>
  <c r="R61" i="75"/>
  <c r="Q61" i="75"/>
  <c r="R60" i="75"/>
  <c r="Q60" i="75"/>
  <c r="R59" i="75"/>
  <c r="Q59" i="75"/>
  <c r="R58" i="75"/>
  <c r="Q58" i="75"/>
  <c r="R57" i="75"/>
  <c r="Q57" i="75"/>
  <c r="R56" i="75"/>
  <c r="Q56" i="75"/>
  <c r="R55" i="75"/>
  <c r="Q55" i="75"/>
  <c r="R54" i="75"/>
  <c r="Q54" i="75"/>
  <c r="R53" i="75"/>
  <c r="Q53" i="75"/>
  <c r="R52" i="75"/>
  <c r="Q52" i="75"/>
  <c r="R51" i="75"/>
  <c r="Q51" i="75"/>
  <c r="R50" i="75"/>
  <c r="Q50" i="75"/>
  <c r="R49" i="75"/>
  <c r="Q49" i="75"/>
  <c r="R48" i="75"/>
  <c r="Q48" i="75"/>
  <c r="R47" i="75"/>
  <c r="Q47" i="75"/>
  <c r="R46" i="75"/>
  <c r="Q46" i="75"/>
  <c r="R45" i="75"/>
  <c r="Q45" i="75"/>
  <c r="R44" i="75"/>
  <c r="Q44" i="75"/>
  <c r="R43" i="75"/>
  <c r="Q43" i="75"/>
  <c r="R42" i="75"/>
  <c r="Q42" i="75"/>
  <c r="R41" i="75"/>
  <c r="Q41" i="75"/>
  <c r="R40" i="75"/>
  <c r="Q40" i="75"/>
  <c r="R39" i="75"/>
  <c r="Q39" i="75"/>
  <c r="R38" i="75"/>
  <c r="Q38" i="75"/>
  <c r="R37" i="75"/>
  <c r="Q37" i="75"/>
  <c r="R36" i="75"/>
  <c r="Q36" i="75"/>
  <c r="R35" i="75"/>
  <c r="Q35" i="75"/>
  <c r="R34" i="75"/>
  <c r="Q34" i="75"/>
  <c r="R33" i="75"/>
  <c r="Q33" i="75"/>
  <c r="R32" i="75"/>
  <c r="Q32" i="75"/>
  <c r="R31" i="75"/>
  <c r="Q31" i="75"/>
  <c r="R30" i="75"/>
  <c r="Q30" i="75"/>
  <c r="R29" i="75"/>
  <c r="Q29" i="75"/>
  <c r="R28" i="75"/>
  <c r="Q28" i="75"/>
  <c r="R27" i="75"/>
  <c r="Q27" i="75"/>
  <c r="R26" i="75"/>
  <c r="Q26" i="75"/>
  <c r="R25" i="75"/>
  <c r="Q25" i="75"/>
  <c r="R24" i="75"/>
  <c r="Q24" i="75"/>
  <c r="R23" i="75"/>
  <c r="Q23" i="75"/>
  <c r="R22" i="75"/>
  <c r="Q22" i="75"/>
  <c r="R21" i="75"/>
  <c r="Q21" i="75"/>
  <c r="R20" i="75"/>
  <c r="Q20" i="75"/>
  <c r="R19" i="75"/>
  <c r="Q19" i="75"/>
  <c r="R18" i="75"/>
  <c r="Q18" i="75"/>
  <c r="R17" i="75"/>
  <c r="Q17" i="75"/>
  <c r="R16" i="75"/>
  <c r="Q16" i="75"/>
  <c r="R15" i="75"/>
  <c r="Q15" i="75"/>
  <c r="R14" i="75"/>
  <c r="Q14" i="75"/>
  <c r="R13" i="75"/>
  <c r="Q13" i="75"/>
  <c r="R12" i="75"/>
  <c r="Q12" i="75"/>
  <c r="R11" i="75"/>
  <c r="Q11" i="75"/>
  <c r="R10" i="75"/>
  <c r="Q10" i="75"/>
  <c r="R9" i="75"/>
  <c r="D4" i="75"/>
  <c r="Q9" i="75"/>
  <c r="A2" i="75" a="1"/>
  <c r="A2" i="75" s="1"/>
  <c r="A1" i="75" s="1"/>
  <c r="D5" i="126" s="1" a="1"/>
  <c r="D5" i="126" s="1"/>
  <c r="R9" i="10"/>
  <c r="J208" i="74"/>
  <c r="J207" i="74"/>
  <c r="J206" i="74"/>
  <c r="J205" i="74"/>
  <c r="J204" i="74"/>
  <c r="J203" i="74"/>
  <c r="J202" i="74"/>
  <c r="J201" i="74"/>
  <c r="J200" i="74"/>
  <c r="J199" i="74"/>
  <c r="J198" i="74"/>
  <c r="J197" i="74"/>
  <c r="J196" i="74"/>
  <c r="J195" i="74"/>
  <c r="J194" i="74"/>
  <c r="J193" i="74"/>
  <c r="J192" i="74"/>
  <c r="J191" i="74"/>
  <c r="J190" i="74"/>
  <c r="J189" i="74"/>
  <c r="J188" i="74"/>
  <c r="J187" i="74"/>
  <c r="J186" i="74"/>
  <c r="J185" i="74"/>
  <c r="J184" i="74"/>
  <c r="J183" i="74"/>
  <c r="J182" i="74"/>
  <c r="J181" i="74"/>
  <c r="J180" i="74"/>
  <c r="J179" i="74"/>
  <c r="J178" i="74"/>
  <c r="J177" i="74"/>
  <c r="J176" i="74"/>
  <c r="J175" i="74"/>
  <c r="J174" i="74"/>
  <c r="J173" i="74"/>
  <c r="J172" i="74"/>
  <c r="J171" i="74"/>
  <c r="J170" i="74"/>
  <c r="J169" i="74"/>
  <c r="J168" i="74"/>
  <c r="J167" i="74"/>
  <c r="J166" i="74"/>
  <c r="J165" i="74"/>
  <c r="J164" i="74"/>
  <c r="J163" i="74"/>
  <c r="J162" i="74"/>
  <c r="J161" i="74"/>
  <c r="J160" i="74"/>
  <c r="J159" i="74"/>
  <c r="J158" i="74"/>
  <c r="J157" i="74"/>
  <c r="J156" i="74"/>
  <c r="J155" i="74"/>
  <c r="J154" i="74"/>
  <c r="J153" i="74"/>
  <c r="J152" i="74"/>
  <c r="J151" i="74"/>
  <c r="J150" i="74"/>
  <c r="J149" i="74"/>
  <c r="J148" i="74"/>
  <c r="J147" i="74"/>
  <c r="J146" i="74"/>
  <c r="J145" i="74"/>
  <c r="J144" i="74"/>
  <c r="J143" i="74"/>
  <c r="J142" i="74"/>
  <c r="J141" i="74"/>
  <c r="J140" i="74"/>
  <c r="J139" i="74"/>
  <c r="J138" i="74"/>
  <c r="J137" i="74"/>
  <c r="J136" i="74"/>
  <c r="J135" i="74"/>
  <c r="J134" i="74"/>
  <c r="J133" i="74"/>
  <c r="J132" i="74"/>
  <c r="J131" i="74"/>
  <c r="J130" i="74"/>
  <c r="J129" i="74"/>
  <c r="J128" i="74"/>
  <c r="J127" i="74"/>
  <c r="J126" i="74"/>
  <c r="J125" i="74"/>
  <c r="J124" i="74"/>
  <c r="J123" i="74"/>
  <c r="J122" i="74"/>
  <c r="J121" i="74"/>
  <c r="J120" i="74"/>
  <c r="J119" i="74"/>
  <c r="J118" i="74"/>
  <c r="J117" i="74"/>
  <c r="J116" i="74"/>
  <c r="J115" i="74"/>
  <c r="J114" i="74"/>
  <c r="J113" i="74"/>
  <c r="J112" i="74"/>
  <c r="J111" i="74"/>
  <c r="J110" i="74"/>
  <c r="J109" i="74"/>
  <c r="J108" i="74"/>
  <c r="J107" i="74"/>
  <c r="J106" i="74"/>
  <c r="J105" i="74"/>
  <c r="J104" i="74"/>
  <c r="J103" i="74"/>
  <c r="J102" i="74"/>
  <c r="J101" i="74"/>
  <c r="J100" i="74"/>
  <c r="J99" i="74"/>
  <c r="J98" i="74"/>
  <c r="J97" i="74"/>
  <c r="J96" i="74"/>
  <c r="J95" i="74"/>
  <c r="J94" i="74"/>
  <c r="J93" i="74"/>
  <c r="J92" i="74"/>
  <c r="J91" i="74"/>
  <c r="J90" i="74"/>
  <c r="J89" i="74"/>
  <c r="J88" i="74"/>
  <c r="J87" i="74"/>
  <c r="J86" i="74"/>
  <c r="J85" i="74"/>
  <c r="J84" i="74"/>
  <c r="J83" i="74"/>
  <c r="J82" i="74"/>
  <c r="J81" i="74"/>
  <c r="J80" i="74"/>
  <c r="J79" i="74"/>
  <c r="J78" i="74"/>
  <c r="J77" i="74"/>
  <c r="J76" i="74"/>
  <c r="J75" i="74"/>
  <c r="J74" i="74"/>
  <c r="J73" i="74"/>
  <c r="J72" i="74"/>
  <c r="J71" i="74"/>
  <c r="J70" i="74"/>
  <c r="J69" i="74"/>
  <c r="J68" i="74"/>
  <c r="J67" i="74"/>
  <c r="J66" i="74"/>
  <c r="J65" i="74"/>
  <c r="J64" i="74"/>
  <c r="J63" i="74"/>
  <c r="J62" i="74"/>
  <c r="J61" i="74"/>
  <c r="J60" i="74"/>
  <c r="J59" i="74"/>
  <c r="J58" i="74"/>
  <c r="J57" i="74"/>
  <c r="J56" i="74"/>
  <c r="J55" i="74"/>
  <c r="J54" i="74"/>
  <c r="J53" i="74"/>
  <c r="J52" i="74"/>
  <c r="J51" i="74"/>
  <c r="J50" i="74"/>
  <c r="J49" i="74"/>
  <c r="J48" i="74"/>
  <c r="J47" i="74"/>
  <c r="J46" i="74"/>
  <c r="J45" i="74"/>
  <c r="J44" i="74"/>
  <c r="J43" i="74"/>
  <c r="J42" i="74"/>
  <c r="J41" i="74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J20" i="74"/>
  <c r="J19" i="74"/>
  <c r="J18" i="74"/>
  <c r="J17" i="74"/>
  <c r="J16" i="74"/>
  <c r="J15" i="74"/>
  <c r="J14" i="74"/>
  <c r="J13" i="74"/>
  <c r="J12" i="74"/>
  <c r="J11" i="74"/>
  <c r="J10" i="74"/>
  <c r="J9" i="74"/>
  <c r="D4" i="74"/>
  <c r="A2" i="74" a="1"/>
  <c r="A2" i="74" s="1"/>
  <c r="A1" i="74" s="1"/>
  <c r="D60" i="126" s="1" a="1"/>
  <c r="D60" i="126" s="1"/>
  <c r="J208" i="73"/>
  <c r="J207" i="73"/>
  <c r="J206" i="73"/>
  <c r="J205" i="73"/>
  <c r="J204" i="73"/>
  <c r="J203" i="73"/>
  <c r="J202" i="73"/>
  <c r="J201" i="73"/>
  <c r="J200" i="73"/>
  <c r="J199" i="73"/>
  <c r="J198" i="73"/>
  <c r="J197" i="73"/>
  <c r="J196" i="73"/>
  <c r="J195" i="73"/>
  <c r="J194" i="73"/>
  <c r="J193" i="73"/>
  <c r="J192" i="73"/>
  <c r="J191" i="73"/>
  <c r="J190" i="73"/>
  <c r="J189" i="73"/>
  <c r="J188" i="73"/>
  <c r="J187" i="73"/>
  <c r="J186" i="73"/>
  <c r="J185" i="73"/>
  <c r="J184" i="73"/>
  <c r="J183" i="73"/>
  <c r="J182" i="73"/>
  <c r="J181" i="73"/>
  <c r="J180" i="73"/>
  <c r="J179" i="73"/>
  <c r="J178" i="73"/>
  <c r="J177" i="73"/>
  <c r="J176" i="73"/>
  <c r="J175" i="73"/>
  <c r="J174" i="73"/>
  <c r="J173" i="73"/>
  <c r="J172" i="73"/>
  <c r="J171" i="73"/>
  <c r="J170" i="73"/>
  <c r="J169" i="73"/>
  <c r="J168" i="73"/>
  <c r="J167" i="73"/>
  <c r="J166" i="73"/>
  <c r="J165" i="73"/>
  <c r="J164" i="73"/>
  <c r="J163" i="73"/>
  <c r="J162" i="73"/>
  <c r="J161" i="73"/>
  <c r="J160" i="73"/>
  <c r="J159" i="73"/>
  <c r="J158" i="73"/>
  <c r="J157" i="73"/>
  <c r="J156" i="73"/>
  <c r="J155" i="73"/>
  <c r="J154" i="73"/>
  <c r="J153" i="73"/>
  <c r="J152" i="73"/>
  <c r="J151" i="73"/>
  <c r="J150" i="73"/>
  <c r="J149" i="73"/>
  <c r="J148" i="73"/>
  <c r="J147" i="73"/>
  <c r="J146" i="73"/>
  <c r="J145" i="73"/>
  <c r="J144" i="73"/>
  <c r="J143" i="73"/>
  <c r="J142" i="73"/>
  <c r="J141" i="73"/>
  <c r="J140" i="73"/>
  <c r="J139" i="73"/>
  <c r="J138" i="73"/>
  <c r="J137" i="73"/>
  <c r="J136" i="73"/>
  <c r="J135" i="73"/>
  <c r="J134" i="73"/>
  <c r="J133" i="73"/>
  <c r="J132" i="73"/>
  <c r="J131" i="73"/>
  <c r="J130" i="73"/>
  <c r="J129" i="73"/>
  <c r="J128" i="73"/>
  <c r="J127" i="73"/>
  <c r="J126" i="73"/>
  <c r="J125" i="73"/>
  <c r="J124" i="73"/>
  <c r="J123" i="73"/>
  <c r="J122" i="73"/>
  <c r="J121" i="73"/>
  <c r="J120" i="73"/>
  <c r="J119" i="73"/>
  <c r="J118" i="73"/>
  <c r="J117" i="73"/>
  <c r="J116" i="73"/>
  <c r="J115" i="73"/>
  <c r="J114" i="73"/>
  <c r="J113" i="73"/>
  <c r="J112" i="73"/>
  <c r="J111" i="73"/>
  <c r="J110" i="73"/>
  <c r="J109" i="73"/>
  <c r="J108" i="73"/>
  <c r="J107" i="73"/>
  <c r="J106" i="73"/>
  <c r="J105" i="73"/>
  <c r="J104" i="73"/>
  <c r="J103" i="73"/>
  <c r="J102" i="73"/>
  <c r="J101" i="73"/>
  <c r="J100" i="73"/>
  <c r="J99" i="73"/>
  <c r="J98" i="73"/>
  <c r="J97" i="73"/>
  <c r="J96" i="73"/>
  <c r="J95" i="73"/>
  <c r="J94" i="73"/>
  <c r="J93" i="73"/>
  <c r="J92" i="73"/>
  <c r="J91" i="73"/>
  <c r="J90" i="73"/>
  <c r="J89" i="73"/>
  <c r="J88" i="73"/>
  <c r="J87" i="73"/>
  <c r="J86" i="73"/>
  <c r="J85" i="73"/>
  <c r="J84" i="73"/>
  <c r="J83" i="73"/>
  <c r="J82" i="73"/>
  <c r="J81" i="73"/>
  <c r="J80" i="73"/>
  <c r="J79" i="73"/>
  <c r="J78" i="73"/>
  <c r="J77" i="73"/>
  <c r="J76" i="73"/>
  <c r="J75" i="73"/>
  <c r="J74" i="73"/>
  <c r="J73" i="73"/>
  <c r="J72" i="73"/>
  <c r="J71" i="73"/>
  <c r="J70" i="73"/>
  <c r="J69" i="73"/>
  <c r="J68" i="73"/>
  <c r="J67" i="73"/>
  <c r="J66" i="73"/>
  <c r="J65" i="73"/>
  <c r="J63" i="73"/>
  <c r="J62" i="73"/>
  <c r="J61" i="73"/>
  <c r="J60" i="73"/>
  <c r="J59" i="73"/>
  <c r="J58" i="73"/>
  <c r="J57" i="73"/>
  <c r="J56" i="73"/>
  <c r="J55" i="73"/>
  <c r="J54" i="73"/>
  <c r="J53" i="73"/>
  <c r="J52" i="73"/>
  <c r="J51" i="73"/>
  <c r="J50" i="73"/>
  <c r="J49" i="73"/>
  <c r="J48" i="73"/>
  <c r="J47" i="73"/>
  <c r="J46" i="73"/>
  <c r="J45" i="73"/>
  <c r="J44" i="73"/>
  <c r="J43" i="73"/>
  <c r="J42" i="73"/>
  <c r="J41" i="73"/>
  <c r="J40" i="73"/>
  <c r="J39" i="73"/>
  <c r="J38" i="73"/>
  <c r="J37" i="73"/>
  <c r="J36" i="73"/>
  <c r="J35" i="73"/>
  <c r="J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J11" i="73"/>
  <c r="J10" i="73"/>
  <c r="A2" i="73" a="1"/>
  <c r="A2" i="73" s="1"/>
  <c r="A1" i="73" s="1"/>
  <c r="D59" i="126" s="1" a="1"/>
  <c r="D59" i="126" s="1"/>
  <c r="D4" i="72"/>
  <c r="J208" i="72"/>
  <c r="J207" i="72"/>
  <c r="J206" i="72"/>
  <c r="J205" i="72"/>
  <c r="J204" i="72"/>
  <c r="J203" i="72"/>
  <c r="J202" i="72"/>
  <c r="J201" i="72"/>
  <c r="J200" i="72"/>
  <c r="J199" i="72"/>
  <c r="J198" i="72"/>
  <c r="J197" i="72"/>
  <c r="J196" i="72"/>
  <c r="J195" i="72"/>
  <c r="J194" i="72"/>
  <c r="J193" i="72"/>
  <c r="J192" i="72"/>
  <c r="J191" i="72"/>
  <c r="J190" i="72"/>
  <c r="J189" i="72"/>
  <c r="J188" i="72"/>
  <c r="J187" i="72"/>
  <c r="J186" i="72"/>
  <c r="J185" i="72"/>
  <c r="J184" i="72"/>
  <c r="J183" i="72"/>
  <c r="J182" i="72"/>
  <c r="J181" i="72"/>
  <c r="J180" i="72"/>
  <c r="J179" i="72"/>
  <c r="J178" i="72"/>
  <c r="J177" i="72"/>
  <c r="J176" i="72"/>
  <c r="J175" i="72"/>
  <c r="J174" i="72"/>
  <c r="J173" i="72"/>
  <c r="J172" i="72"/>
  <c r="J171" i="72"/>
  <c r="J170" i="72"/>
  <c r="J169" i="72"/>
  <c r="J168" i="72"/>
  <c r="J167" i="72"/>
  <c r="J166" i="72"/>
  <c r="J165" i="72"/>
  <c r="J164" i="72"/>
  <c r="J163" i="72"/>
  <c r="J162" i="72"/>
  <c r="J161" i="72"/>
  <c r="J160" i="72"/>
  <c r="J159" i="72"/>
  <c r="J158" i="72"/>
  <c r="J157" i="72"/>
  <c r="J156" i="72"/>
  <c r="J155" i="72"/>
  <c r="J154" i="72"/>
  <c r="J153" i="72"/>
  <c r="J152" i="72"/>
  <c r="J151" i="72"/>
  <c r="J150" i="72"/>
  <c r="J149" i="72"/>
  <c r="J148" i="72"/>
  <c r="J147" i="72"/>
  <c r="J146" i="72"/>
  <c r="J145" i="72"/>
  <c r="J144" i="72"/>
  <c r="J143" i="72"/>
  <c r="J142" i="72"/>
  <c r="J141" i="72"/>
  <c r="J140" i="72"/>
  <c r="J139" i="72"/>
  <c r="J138" i="72"/>
  <c r="J137" i="72"/>
  <c r="J136" i="72"/>
  <c r="J135" i="72"/>
  <c r="J134" i="72"/>
  <c r="J133" i="72"/>
  <c r="J132" i="72"/>
  <c r="J131" i="72"/>
  <c r="J130" i="72"/>
  <c r="J129" i="72"/>
  <c r="J128" i="72"/>
  <c r="J127" i="72"/>
  <c r="J126" i="72"/>
  <c r="J125" i="72"/>
  <c r="J124" i="72"/>
  <c r="J123" i="72"/>
  <c r="J122" i="72"/>
  <c r="J121" i="72"/>
  <c r="J120" i="72"/>
  <c r="J119" i="72"/>
  <c r="J118" i="72"/>
  <c r="J117" i="72"/>
  <c r="J116" i="72"/>
  <c r="J115" i="72"/>
  <c r="J114" i="72"/>
  <c r="J113" i="72"/>
  <c r="J112" i="72"/>
  <c r="J111" i="72"/>
  <c r="J110" i="72"/>
  <c r="J109" i="72"/>
  <c r="J108" i="72"/>
  <c r="J107" i="72"/>
  <c r="J106" i="72"/>
  <c r="J105" i="72"/>
  <c r="J104" i="72"/>
  <c r="J103" i="72"/>
  <c r="J102" i="72"/>
  <c r="J101" i="72"/>
  <c r="J100" i="72"/>
  <c r="J99" i="72"/>
  <c r="J98" i="72"/>
  <c r="J97" i="72"/>
  <c r="J96" i="72"/>
  <c r="J95" i="72"/>
  <c r="J94" i="72"/>
  <c r="J93" i="72"/>
  <c r="J92" i="72"/>
  <c r="J91" i="72"/>
  <c r="J90" i="72"/>
  <c r="J89" i="72"/>
  <c r="J88" i="72"/>
  <c r="J87" i="72"/>
  <c r="J86" i="72"/>
  <c r="J85" i="72"/>
  <c r="J84" i="72"/>
  <c r="J83" i="72"/>
  <c r="J82" i="72"/>
  <c r="J81" i="72"/>
  <c r="J80" i="72"/>
  <c r="J79" i="72"/>
  <c r="J78" i="72"/>
  <c r="J77" i="72"/>
  <c r="J76" i="72"/>
  <c r="J75" i="72"/>
  <c r="J74" i="72"/>
  <c r="J73" i="72"/>
  <c r="J72" i="72"/>
  <c r="J71" i="72"/>
  <c r="J70" i="72"/>
  <c r="J69" i="72"/>
  <c r="J68" i="72"/>
  <c r="J67" i="72"/>
  <c r="J66" i="72"/>
  <c r="J65" i="72"/>
  <c r="J64" i="72"/>
  <c r="J63" i="72"/>
  <c r="J62" i="72"/>
  <c r="J61" i="72"/>
  <c r="J60" i="72"/>
  <c r="J59" i="72"/>
  <c r="J58" i="72"/>
  <c r="J57" i="72"/>
  <c r="J56" i="72"/>
  <c r="J55" i="72"/>
  <c r="J54" i="72"/>
  <c r="J53" i="72"/>
  <c r="J52" i="72"/>
  <c r="J51" i="72"/>
  <c r="J50" i="72"/>
  <c r="J49" i="72"/>
  <c r="J48" i="72"/>
  <c r="J47" i="72"/>
  <c r="J46" i="72"/>
  <c r="J45" i="72"/>
  <c r="J44" i="72"/>
  <c r="J43" i="72"/>
  <c r="J42" i="72"/>
  <c r="J41" i="72"/>
  <c r="J40" i="72"/>
  <c r="J39" i="72"/>
  <c r="J38" i="72"/>
  <c r="J37" i="72"/>
  <c r="J36" i="72"/>
  <c r="J35" i="72"/>
  <c r="J34" i="72"/>
  <c r="J33" i="72"/>
  <c r="J32" i="72"/>
  <c r="J31" i="72"/>
  <c r="J30" i="72"/>
  <c r="J29" i="72"/>
  <c r="J28" i="72"/>
  <c r="J27" i="72"/>
  <c r="J26" i="72"/>
  <c r="J25" i="72"/>
  <c r="J24" i="72"/>
  <c r="J23" i="72"/>
  <c r="J22" i="72"/>
  <c r="J21" i="72"/>
  <c r="J20" i="72"/>
  <c r="J19" i="72"/>
  <c r="J18" i="72"/>
  <c r="J17" i="72"/>
  <c r="J16" i="72"/>
  <c r="J15" i="72"/>
  <c r="J14" i="72"/>
  <c r="J13" i="72"/>
  <c r="J12" i="72"/>
  <c r="J11" i="72"/>
  <c r="J10" i="72"/>
  <c r="J9" i="72"/>
  <c r="A2" i="72" a="1"/>
  <c r="A2" i="72" s="1"/>
  <c r="A1" i="72" s="1"/>
  <c r="D58" i="126" s="1" a="1"/>
  <c r="D58" i="126" s="1"/>
  <c r="J10" i="71"/>
  <c r="J11" i="71"/>
  <c r="J12" i="71"/>
  <c r="J13" i="71"/>
  <c r="J14" i="71"/>
  <c r="J15" i="71"/>
  <c r="J16" i="71"/>
  <c r="J17" i="71"/>
  <c r="J18" i="71"/>
  <c r="J19" i="71"/>
  <c r="J20" i="71"/>
  <c r="J21" i="71"/>
  <c r="J22" i="71"/>
  <c r="J23" i="71"/>
  <c r="J24" i="71"/>
  <c r="J25" i="71"/>
  <c r="J26" i="71"/>
  <c r="J27" i="71"/>
  <c r="J28" i="71"/>
  <c r="J29" i="71"/>
  <c r="J30" i="71"/>
  <c r="J31" i="71"/>
  <c r="J32" i="71"/>
  <c r="J33" i="71"/>
  <c r="J34" i="71"/>
  <c r="J35" i="71"/>
  <c r="J36" i="71"/>
  <c r="J37" i="71"/>
  <c r="J38" i="71"/>
  <c r="J39" i="71"/>
  <c r="J40" i="71"/>
  <c r="J41" i="71"/>
  <c r="J42" i="71"/>
  <c r="J43" i="71"/>
  <c r="J44" i="71"/>
  <c r="J45" i="71"/>
  <c r="J46" i="71"/>
  <c r="J47" i="71"/>
  <c r="J48" i="71"/>
  <c r="J49" i="71"/>
  <c r="J50" i="71"/>
  <c r="J51" i="71"/>
  <c r="J52" i="71"/>
  <c r="J53" i="71"/>
  <c r="J54" i="71"/>
  <c r="J55" i="71"/>
  <c r="J56" i="71"/>
  <c r="J57" i="71"/>
  <c r="J58" i="71"/>
  <c r="J59" i="71"/>
  <c r="J60" i="71"/>
  <c r="J61" i="71"/>
  <c r="J62" i="71"/>
  <c r="J63" i="71"/>
  <c r="J64" i="71"/>
  <c r="J65" i="71"/>
  <c r="J66" i="71"/>
  <c r="J67" i="71"/>
  <c r="J68" i="71"/>
  <c r="J70" i="71"/>
  <c r="J71" i="71"/>
  <c r="J72" i="71"/>
  <c r="J73" i="71"/>
  <c r="J74" i="71"/>
  <c r="J75" i="71"/>
  <c r="J76" i="71"/>
  <c r="J77" i="71"/>
  <c r="J78" i="71"/>
  <c r="J79" i="71"/>
  <c r="J80" i="71"/>
  <c r="J81" i="71"/>
  <c r="J82" i="71"/>
  <c r="J83" i="71"/>
  <c r="J84" i="71"/>
  <c r="J85" i="71"/>
  <c r="J86" i="71"/>
  <c r="J87" i="71"/>
  <c r="J88" i="71"/>
  <c r="J89" i="71"/>
  <c r="J90" i="71"/>
  <c r="J91" i="71"/>
  <c r="J92" i="71"/>
  <c r="J93" i="71"/>
  <c r="J94" i="71"/>
  <c r="J95" i="71"/>
  <c r="J96" i="71"/>
  <c r="J97" i="71"/>
  <c r="J98" i="71"/>
  <c r="J99" i="71"/>
  <c r="J100" i="71"/>
  <c r="J101" i="71"/>
  <c r="J102" i="71"/>
  <c r="J103" i="71"/>
  <c r="J104" i="71"/>
  <c r="J105" i="71"/>
  <c r="J106" i="71"/>
  <c r="J107" i="71"/>
  <c r="J108" i="71"/>
  <c r="J109" i="71"/>
  <c r="J110" i="71"/>
  <c r="J111" i="71"/>
  <c r="J112" i="71"/>
  <c r="J113" i="71"/>
  <c r="J114" i="71"/>
  <c r="J115" i="71"/>
  <c r="J116" i="71"/>
  <c r="J117" i="71"/>
  <c r="J118" i="71"/>
  <c r="J119" i="71"/>
  <c r="J120" i="71"/>
  <c r="J121" i="71"/>
  <c r="J122" i="71"/>
  <c r="J123" i="71"/>
  <c r="J124" i="71"/>
  <c r="J125" i="71"/>
  <c r="J126" i="71"/>
  <c r="J127" i="71"/>
  <c r="J128" i="71"/>
  <c r="J129" i="71"/>
  <c r="J130" i="71"/>
  <c r="J131" i="71"/>
  <c r="J132" i="71"/>
  <c r="J133" i="71"/>
  <c r="J134" i="71"/>
  <c r="J135" i="71"/>
  <c r="J136" i="71"/>
  <c r="J137" i="71"/>
  <c r="J138" i="71"/>
  <c r="J139" i="71"/>
  <c r="J140" i="71"/>
  <c r="J141" i="71"/>
  <c r="J142" i="71"/>
  <c r="J143" i="71"/>
  <c r="J144" i="71"/>
  <c r="J145" i="71"/>
  <c r="J146" i="71"/>
  <c r="J147" i="71"/>
  <c r="J148" i="71"/>
  <c r="J149" i="71"/>
  <c r="J150" i="71"/>
  <c r="J151" i="71"/>
  <c r="J152" i="71"/>
  <c r="J153" i="71"/>
  <c r="J154" i="71"/>
  <c r="J155" i="71"/>
  <c r="J156" i="71"/>
  <c r="J157" i="71"/>
  <c r="J158" i="71"/>
  <c r="J159" i="71"/>
  <c r="J160" i="71"/>
  <c r="J161" i="71"/>
  <c r="J162" i="71"/>
  <c r="J163" i="71"/>
  <c r="J164" i="71"/>
  <c r="J165" i="71"/>
  <c r="J166" i="71"/>
  <c r="J167" i="71"/>
  <c r="J168" i="71"/>
  <c r="J169" i="71"/>
  <c r="J170" i="71"/>
  <c r="J171" i="71"/>
  <c r="J172" i="71"/>
  <c r="J173" i="71"/>
  <c r="J174" i="71"/>
  <c r="J175" i="71"/>
  <c r="J176" i="71"/>
  <c r="J177" i="71"/>
  <c r="J178" i="71"/>
  <c r="J179" i="71"/>
  <c r="J180" i="71"/>
  <c r="J181" i="71"/>
  <c r="J182" i="71"/>
  <c r="J183" i="71"/>
  <c r="J184" i="71"/>
  <c r="J185" i="71"/>
  <c r="J186" i="71"/>
  <c r="J187" i="71"/>
  <c r="J188" i="71"/>
  <c r="J189" i="71"/>
  <c r="J190" i="71"/>
  <c r="J191" i="71"/>
  <c r="J192" i="71"/>
  <c r="J193" i="71"/>
  <c r="J194" i="71"/>
  <c r="J195" i="71"/>
  <c r="J196" i="71"/>
  <c r="J197" i="71"/>
  <c r="J198" i="71"/>
  <c r="J199" i="71"/>
  <c r="J200" i="71"/>
  <c r="J201" i="71"/>
  <c r="J202" i="71"/>
  <c r="J203" i="71"/>
  <c r="J204" i="71"/>
  <c r="J205" i="71"/>
  <c r="J206" i="71"/>
  <c r="J207" i="71"/>
  <c r="J208" i="71"/>
  <c r="J9" i="71"/>
  <c r="A2" i="71" a="1"/>
  <c r="A2" i="71" s="1"/>
  <c r="A1" i="71" s="1"/>
  <c r="D57" i="126" s="1" a="1"/>
  <c r="D57" i="126" s="1"/>
  <c r="Q9" i="70"/>
  <c r="Q208" i="70"/>
  <c r="Q207" i="70"/>
  <c r="Q206" i="70"/>
  <c r="Q205" i="70"/>
  <c r="Q204" i="70"/>
  <c r="Q203" i="70"/>
  <c r="Q202" i="70"/>
  <c r="Q201" i="70"/>
  <c r="Q200" i="70"/>
  <c r="Q199" i="70"/>
  <c r="Q198" i="70"/>
  <c r="Q197" i="70"/>
  <c r="Q196" i="70"/>
  <c r="Q195" i="70"/>
  <c r="Q194" i="70"/>
  <c r="Q193" i="70"/>
  <c r="Q192" i="70"/>
  <c r="Q191" i="70"/>
  <c r="Q190" i="70"/>
  <c r="Q189" i="70"/>
  <c r="Q188" i="70"/>
  <c r="Q187" i="70"/>
  <c r="Q186" i="70"/>
  <c r="Q185" i="70"/>
  <c r="Q184" i="70"/>
  <c r="Q183" i="70"/>
  <c r="Q182" i="70"/>
  <c r="Q181" i="70"/>
  <c r="Q180" i="70"/>
  <c r="Q179" i="70"/>
  <c r="Q178" i="70"/>
  <c r="Q177" i="70"/>
  <c r="Q176" i="70"/>
  <c r="Q175" i="70"/>
  <c r="Q174" i="70"/>
  <c r="Q173" i="70"/>
  <c r="Q172" i="70"/>
  <c r="Q171" i="70"/>
  <c r="Q170" i="70"/>
  <c r="Q169" i="70"/>
  <c r="Q168" i="70"/>
  <c r="Q167" i="70"/>
  <c r="Q166" i="70"/>
  <c r="Q165" i="70"/>
  <c r="Q164" i="70"/>
  <c r="Q163" i="70"/>
  <c r="Q162" i="70"/>
  <c r="Q161" i="70"/>
  <c r="Q160" i="70"/>
  <c r="Q159" i="70"/>
  <c r="Q158" i="70"/>
  <c r="Q157" i="70"/>
  <c r="Q156" i="70"/>
  <c r="Q155" i="70"/>
  <c r="Q154" i="70"/>
  <c r="Q153" i="70"/>
  <c r="Q152" i="70"/>
  <c r="Q151" i="70"/>
  <c r="Q150" i="70"/>
  <c r="Q149" i="70"/>
  <c r="Q148" i="70"/>
  <c r="Q147" i="70"/>
  <c r="Q146" i="70"/>
  <c r="Q145" i="70"/>
  <c r="Q144" i="70"/>
  <c r="Q143" i="70"/>
  <c r="Q142" i="70"/>
  <c r="Q141" i="70"/>
  <c r="Q140" i="70"/>
  <c r="Q139" i="70"/>
  <c r="Q138" i="70"/>
  <c r="Q137" i="70"/>
  <c r="Q136" i="70"/>
  <c r="Q135" i="70"/>
  <c r="Q134" i="70"/>
  <c r="Q133" i="70"/>
  <c r="Q132" i="70"/>
  <c r="Q131" i="70"/>
  <c r="Q130" i="70"/>
  <c r="Q129" i="70"/>
  <c r="Q128" i="70"/>
  <c r="Q127" i="70"/>
  <c r="Q126" i="70"/>
  <c r="Q125" i="70"/>
  <c r="Q124" i="70"/>
  <c r="Q123" i="70"/>
  <c r="Q122" i="70"/>
  <c r="Q121" i="70"/>
  <c r="Q120" i="70"/>
  <c r="Q119" i="70"/>
  <c r="Q118" i="70"/>
  <c r="Q117" i="70"/>
  <c r="Q116" i="70"/>
  <c r="Q115" i="70"/>
  <c r="Q114" i="70"/>
  <c r="Q113" i="70"/>
  <c r="Q112" i="70"/>
  <c r="Q111" i="70"/>
  <c r="Q110" i="70"/>
  <c r="Q109" i="70"/>
  <c r="Q108" i="70"/>
  <c r="Q107" i="70"/>
  <c r="Q106" i="70"/>
  <c r="Q105" i="70"/>
  <c r="Q104" i="70"/>
  <c r="Q103" i="70"/>
  <c r="Q102" i="70"/>
  <c r="Q101" i="70"/>
  <c r="Q100" i="70"/>
  <c r="Q99" i="70"/>
  <c r="Q98" i="70"/>
  <c r="Q97" i="70"/>
  <c r="Q96" i="70"/>
  <c r="Q95" i="70"/>
  <c r="Q94" i="70"/>
  <c r="Q93" i="70"/>
  <c r="Q92" i="70"/>
  <c r="Q91" i="70"/>
  <c r="Q90" i="70"/>
  <c r="Q89" i="70"/>
  <c r="Q88" i="70"/>
  <c r="Q87" i="70"/>
  <c r="Q86" i="70"/>
  <c r="Q85" i="70"/>
  <c r="Q84" i="70"/>
  <c r="Q83" i="70"/>
  <c r="Q82" i="70"/>
  <c r="Q81" i="70"/>
  <c r="Q80" i="70"/>
  <c r="Q79" i="70"/>
  <c r="Q78" i="70"/>
  <c r="Q77" i="70"/>
  <c r="Q76" i="70"/>
  <c r="Q75" i="70"/>
  <c r="Q74" i="70"/>
  <c r="Q73" i="70"/>
  <c r="Q72" i="70"/>
  <c r="Q71" i="70"/>
  <c r="Q70" i="70"/>
  <c r="Q69" i="70"/>
  <c r="Q68" i="70"/>
  <c r="Q67" i="70"/>
  <c r="Q66" i="70"/>
  <c r="Q65" i="70"/>
  <c r="Q64" i="70"/>
  <c r="Q63" i="70"/>
  <c r="Q62" i="70"/>
  <c r="Q61" i="70"/>
  <c r="Q60" i="70"/>
  <c r="Q59" i="70"/>
  <c r="Q58" i="70"/>
  <c r="Q57" i="70"/>
  <c r="Q56" i="70"/>
  <c r="Q55" i="70"/>
  <c r="Q54" i="70"/>
  <c r="Q53" i="70"/>
  <c r="Q52" i="70"/>
  <c r="Q51" i="70"/>
  <c r="Q50" i="70"/>
  <c r="Q49" i="70"/>
  <c r="Q48" i="70"/>
  <c r="Q47" i="70"/>
  <c r="Q46" i="70"/>
  <c r="Q45" i="70"/>
  <c r="Q44" i="70"/>
  <c r="Q43" i="70"/>
  <c r="Q42" i="70"/>
  <c r="Q41" i="70"/>
  <c r="Q40" i="70"/>
  <c r="Q39" i="70"/>
  <c r="Q38" i="70"/>
  <c r="Q37" i="70"/>
  <c r="Q36" i="70"/>
  <c r="Q35" i="70"/>
  <c r="R35" i="70"/>
  <c r="S35" i="70"/>
  <c r="Q34" i="70"/>
  <c r="R34" i="70"/>
  <c r="S34" i="70"/>
  <c r="Q33" i="70"/>
  <c r="Q32" i="70"/>
  <c r="Q31" i="70"/>
  <c r="Q30" i="70"/>
  <c r="Q29" i="70"/>
  <c r="Q28" i="70"/>
  <c r="Q27" i="70"/>
  <c r="Q26" i="70"/>
  <c r="Q25" i="70"/>
  <c r="Q24" i="70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A2" i="70" a="1"/>
  <c r="A2" i="70" s="1"/>
  <c r="A1" i="70" s="1"/>
  <c r="D27" i="126" s="1" a="1"/>
  <c r="D27" i="126" s="1"/>
  <c r="Q9" i="10"/>
  <c r="R10" i="10"/>
  <c r="A2" i="10" a="1"/>
  <c r="A2" i="10" s="1"/>
  <c r="A1" i="10" s="1"/>
  <c r="D4" i="126" s="1" a="1"/>
  <c r="D4" i="126" s="1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J8" i="19"/>
  <c r="K12" i="19"/>
  <c r="K9" i="19"/>
  <c r="K10" i="19"/>
  <c r="K11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8" i="19"/>
  <c r="J10" i="19"/>
  <c r="J9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E5" i="126" a="1"/>
  <c r="E5" i="126" s="1"/>
  <c r="E9" i="126" a="1"/>
  <c r="E9" i="126" s="1"/>
  <c r="E17" i="126" a="1"/>
  <c r="E17" i="126" s="1"/>
  <c r="E21" i="126" a="1"/>
  <c r="E21" i="126" s="1"/>
  <c r="E25" i="126" a="1"/>
  <c r="E25" i="126" s="1"/>
  <c r="E33" i="126" a="1"/>
  <c r="E33" i="126" s="1"/>
  <c r="E37" i="126" a="1"/>
  <c r="E37" i="126" s="1"/>
  <c r="E45" i="126" a="1"/>
  <c r="E45" i="126" s="1"/>
  <c r="E49" i="126" a="1"/>
  <c r="E49" i="126" s="1"/>
  <c r="E53" i="126" a="1"/>
  <c r="E53" i="126" s="1"/>
  <c r="E6" i="126" a="1"/>
  <c r="E6" i="126" s="1"/>
  <c r="E14" i="126" a="1"/>
  <c r="E14" i="126" s="1"/>
  <c r="E18" i="126" a="1"/>
  <c r="E18" i="126" s="1"/>
  <c r="E26" i="126" a="1"/>
  <c r="E26" i="126" s="1"/>
  <c r="E34" i="126" a="1"/>
  <c r="E34" i="126" s="1"/>
  <c r="E38" i="126" a="1"/>
  <c r="E38" i="126" s="1"/>
  <c r="E42" i="126" a="1"/>
  <c r="E42" i="126" s="1"/>
  <c r="E46" i="126" a="1"/>
  <c r="E46" i="126" s="1"/>
  <c r="E50" i="126" a="1"/>
  <c r="E50" i="126" s="1"/>
  <c r="E54" i="126" a="1"/>
  <c r="E54" i="126" s="1"/>
  <c r="E58" i="126" a="1"/>
  <c r="E58" i="126" s="1"/>
  <c r="E7" i="126" a="1"/>
  <c r="E7" i="126" s="1"/>
  <c r="E15" i="126" a="1"/>
  <c r="E15" i="126" s="1"/>
  <c r="E19" i="126" a="1"/>
  <c r="E19" i="126" s="1"/>
  <c r="E35" i="126" a="1"/>
  <c r="E35" i="126" s="1"/>
  <c r="E39" i="126" a="1"/>
  <c r="E39" i="126" s="1"/>
  <c r="E43" i="126" a="1"/>
  <c r="E43" i="126" s="1"/>
  <c r="E47" i="126" a="1"/>
  <c r="E47" i="126" s="1"/>
  <c r="E51" i="126" a="1"/>
  <c r="E51" i="126" s="1"/>
  <c r="E55" i="126" a="1"/>
  <c r="E55" i="126" s="1"/>
  <c r="E8" i="126" a="1"/>
  <c r="E8" i="126" s="1"/>
  <c r="E16" i="126" a="1"/>
  <c r="E16" i="126" s="1"/>
  <c r="E20" i="126" a="1"/>
  <c r="E20" i="126" s="1"/>
  <c r="E24" i="126" a="1"/>
  <c r="E24" i="126" s="1"/>
  <c r="E36" i="126" a="1"/>
  <c r="E36" i="126" s="1"/>
  <c r="E44" i="126" a="1"/>
  <c r="E44" i="126" s="1"/>
  <c r="E48" i="126" a="1"/>
  <c r="E48" i="126" s="1"/>
  <c r="E52" i="126" a="1"/>
  <c r="E52" i="126" s="1"/>
  <c r="E56" i="126" a="1"/>
  <c r="E56" i="126" s="1"/>
  <c r="E60" i="126" a="1"/>
  <c r="E60" i="126" s="1"/>
  <c r="E4" i="126" a="1"/>
  <c r="E4" i="126" s="1"/>
  <c r="D4" i="127"/>
  <c r="D4" i="110"/>
  <c r="E41" i="126" a="1"/>
  <c r="E41" i="126" s="1"/>
  <c r="D4" i="81"/>
  <c r="E11" i="126" a="1"/>
  <c r="E11" i="126" s="1"/>
  <c r="D4" i="10"/>
  <c r="D4" i="71"/>
  <c r="E57" i="126" a="1"/>
  <c r="E57" i="126" s="1"/>
  <c r="D4" i="82"/>
  <c r="E12" i="126" a="1"/>
  <c r="E12" i="126" s="1"/>
  <c r="D4" i="128"/>
  <c r="D4" i="73"/>
  <c r="E59" i="126" a="1"/>
  <c r="E59" i="126" s="1"/>
  <c r="D4" i="101"/>
  <c r="E32" i="126" a="1"/>
  <c r="E32" i="126" s="1"/>
  <c r="D4" i="98" l="1"/>
  <c r="E29" i="126" s="1" a="1"/>
  <c r="E29" i="12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<sst xmlns="http://schemas.openxmlformats.org/spreadsheetml/2006/main" count="2594" uniqueCount="293">
  <si>
    <t>Plant</t>
  </si>
  <si>
    <t>Warehouse</t>
  </si>
  <si>
    <t>VendorID</t>
  </si>
  <si>
    <t>Vendor Name</t>
  </si>
  <si>
    <t>V001</t>
  </si>
  <si>
    <t>V002</t>
  </si>
  <si>
    <t>V003</t>
  </si>
  <si>
    <t>V004</t>
  </si>
  <si>
    <t>V005</t>
  </si>
  <si>
    <t>V006</t>
  </si>
  <si>
    <t>V007</t>
  </si>
  <si>
    <t>V008</t>
  </si>
  <si>
    <t>V009</t>
  </si>
  <si>
    <t>V010</t>
  </si>
  <si>
    <t>V011</t>
  </si>
  <si>
    <t>V012</t>
  </si>
  <si>
    <t>V013</t>
  </si>
  <si>
    <t>V014</t>
  </si>
  <si>
    <t>V015</t>
  </si>
  <si>
    <t>V016</t>
  </si>
  <si>
    <t>V017</t>
  </si>
  <si>
    <t>V018</t>
  </si>
  <si>
    <t>V019</t>
  </si>
  <si>
    <t>V020</t>
  </si>
  <si>
    <t>V021</t>
  </si>
  <si>
    <t>V022</t>
  </si>
  <si>
    <t>V023</t>
  </si>
  <si>
    <t>CustomerID</t>
  </si>
  <si>
    <t>Customer Name</t>
  </si>
  <si>
    <t>C001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</si>
  <si>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</si>
  <si>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</si>
  <si>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</si>
  <si>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</si>
  <si>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</si>
  <si>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</si>
  <si>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</si>
  <si>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</si>
  <si>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</si>
  <si>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</si>
  <si>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</si>
  <si>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</si>
  <si>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</si>
  <si>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</si>
  <si>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</si>
  <si>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</si>
  <si>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</si>
  <si>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</si>
  <si>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</si>
  <si>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</si>
  <si>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</si>
  <si>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</si>
  <si>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</si>
  <si>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</si>
  <si>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</si>
  <si>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C027</t>
  </si>
  <si>
    <t>C028</t>
  </si>
  <si>
    <t>C029</t>
  </si>
  <si>
    <t>C030</t>
  </si>
  <si>
    <t>TransporterID</t>
  </si>
  <si>
    <t>Transporter Name</t>
  </si>
  <si>
    <t>T001</t>
  </si>
  <si>
    <t>T002</t>
  </si>
  <si>
    <t>LaborID</t>
  </si>
  <si>
    <t>Labor Name</t>
  </si>
  <si>
    <t>L001</t>
  </si>
  <si>
    <t>L002</t>
  </si>
  <si>
    <t>ProductID</t>
  </si>
  <si>
    <t>Product Name</t>
  </si>
  <si>
    <t>LocationID</t>
  </si>
  <si>
    <t>TxnID</t>
  </si>
  <si>
    <t>Date</t>
  </si>
  <si>
    <t>FromLocation</t>
  </si>
  <si>
    <t>ToLocation</t>
  </si>
  <si>
    <t>Qty (+/-)</t>
  </si>
  <si>
    <t>Transport Cost</t>
  </si>
  <si>
    <t>Location</t>
  </si>
  <si>
    <t>Inventory On Hand (Qty) by Product and Location</t>
  </si>
  <si>
    <t>Product</t>
  </si>
  <si>
    <t>Quantity</t>
  </si>
  <si>
    <t xml:space="preserve">Date </t>
  </si>
  <si>
    <t>Type</t>
  </si>
  <si>
    <t>Purchased</t>
  </si>
  <si>
    <t>Sold</t>
  </si>
  <si>
    <t>Steel drum 200L - brand new </t>
  </si>
  <si>
    <t>Steel drum 200L - with lacquer - once used, inside and outside clean </t>
  </si>
  <si>
    <t>Steel drum 200L - without lacquer - once used, inside and outside clean </t>
  </si>
  <si>
    <t>Steel drum 200L - rusty </t>
  </si>
  <si>
    <t>Steel drum 200L - foam/solution </t>
  </si>
  <si>
    <t>Steel drum 200L - clean - dented - with lacquer</t>
  </si>
  <si>
    <t>Steel drum 200L - dented - with lacquer</t>
  </si>
  <si>
    <t>Steel drum 200L - clean - dented - without lacquer</t>
  </si>
  <si>
    <t>Steel drum 200L - dented - without lacquer</t>
  </si>
  <si>
    <t>Steel drum 200L - damage/cutting/cracked lacquer</t>
  </si>
  <si>
    <t>Steel Drum 200L O/M - Clean </t>
  </si>
  <si>
    <t>Steel Drum 200L O/M - Unclean </t>
  </si>
  <si>
    <t>Steel Drum 120Kg O/M </t>
  </si>
  <si>
    <t>Steel Drum 50kg </t>
  </si>
  <si>
    <t xml:space="preserve">Steel Drum 25kg </t>
  </si>
  <si>
    <t>Plastic drum O/M 200L </t>
  </si>
  <si>
    <t>Plastic drum C/M 200L </t>
  </si>
  <si>
    <t>Plastic drum O/M 120L </t>
  </si>
  <si>
    <t>Plastic drum O/M 150kg </t>
  </si>
  <si>
    <t>Plastic drum O/M 100L </t>
  </si>
  <si>
    <t>Plastic drum C/M 100L </t>
  </si>
  <si>
    <t>Plastic IBCs 1000L</t>
  </si>
  <si>
    <t>Plastic IBCs 1000L - Damage </t>
  </si>
  <si>
    <t>Plastic IBCs 1000L - Binder</t>
  </si>
  <si>
    <t>SD001</t>
  </si>
  <si>
    <t>SD002</t>
  </si>
  <si>
    <t>SD003</t>
  </si>
  <si>
    <t>SD004</t>
  </si>
  <si>
    <t>SD005</t>
  </si>
  <si>
    <t>SD006</t>
  </si>
  <si>
    <t>SD007</t>
  </si>
  <si>
    <t>SD008</t>
  </si>
  <si>
    <t>SD009</t>
  </si>
  <si>
    <t>SD010</t>
  </si>
  <si>
    <t>SD011</t>
  </si>
  <si>
    <t>SD012</t>
  </si>
  <si>
    <t>SD013</t>
  </si>
  <si>
    <t>SD014</t>
  </si>
  <si>
    <t>SD015</t>
  </si>
  <si>
    <t>PD001</t>
  </si>
  <si>
    <t>PD002</t>
  </si>
  <si>
    <t>PD003</t>
  </si>
  <si>
    <t>PD004</t>
  </si>
  <si>
    <t>PD005</t>
  </si>
  <si>
    <t>PD006</t>
  </si>
  <si>
    <t>PB001</t>
  </si>
  <si>
    <t>PB002</t>
  </si>
  <si>
    <t>PB003</t>
  </si>
  <si>
    <t>Naveed</t>
  </si>
  <si>
    <t>Abid Transporter</t>
  </si>
  <si>
    <t>Pehlwaan Transporter</t>
  </si>
  <si>
    <t>Sher Khan</t>
  </si>
  <si>
    <t>Anjum Chemical- Pak petro </t>
  </si>
  <si>
    <t>Anjum Chemical - Pak styrene</t>
  </si>
  <si>
    <t>Polymer international </t>
  </si>
  <si>
    <t>Sika Pakistan </t>
  </si>
  <si>
    <t>Scada </t>
  </si>
  <si>
    <t>HTG Chor </t>
  </si>
  <si>
    <t>Arcroma </t>
  </si>
  <si>
    <t>Clariant Pakistan</t>
  </si>
  <si>
    <t>Iftikhar and company </t>
  </si>
  <si>
    <t>Descon </t>
  </si>
  <si>
    <t>Nimmer Chemical </t>
  </si>
  <si>
    <t>Ultra Chemical Nooriabad (Waqas)  </t>
  </si>
  <si>
    <t>Waseem resin </t>
  </si>
  <si>
    <t>Naveed Resin (Waseem)</t>
  </si>
  <si>
    <t>Mehboob Brothers </t>
  </si>
  <si>
    <t>Zeeshan</t>
  </si>
  <si>
    <t>Basit </t>
  </si>
  <si>
    <t>Arif Zabardast Highway</t>
  </si>
  <si>
    <t>Muhammad Khan Baloch</t>
  </si>
  <si>
    <t>Suleman drum wala </t>
  </si>
  <si>
    <t>Shahid drum wala</t>
  </si>
  <si>
    <t>Anwar Pappoo drum wala </t>
  </si>
  <si>
    <t>Asif Chor drum </t>
  </si>
  <si>
    <t>Yousuf and Zahoor Drum </t>
  </si>
  <si>
    <t>Iqram Drum</t>
  </si>
  <si>
    <t>Noorbuksh drum </t>
  </si>
  <si>
    <t>Haider Drum </t>
  </si>
  <si>
    <t>Abdur Rab Diesel</t>
  </si>
  <si>
    <t>Beltexeco Limited - zone </t>
  </si>
  <si>
    <t>Prime safety - zone </t>
  </si>
  <si>
    <t>Al Nazeer - zone </t>
  </si>
  <si>
    <t>Zahabia chemical - zone </t>
  </si>
  <si>
    <t>Midas safety - zone</t>
  </si>
  <si>
    <t>Malcolm Industries / Arshad Chemical</t>
  </si>
  <si>
    <t>Zahabia Chemical Karachi </t>
  </si>
  <si>
    <t>Razi and sons - seats </t>
  </si>
  <si>
    <t>SCADA Port Qasim </t>
  </si>
  <si>
    <t>Saqib EPA - Port Qasim </t>
  </si>
  <si>
    <t>Tufail Port Qasim</t>
  </si>
  <si>
    <t>Usman Glycerine GSK </t>
  </si>
  <si>
    <t>Master</t>
  </si>
  <si>
    <t>Diamond foam</t>
  </si>
  <si>
    <t>Omer Asghar Durm </t>
  </si>
  <si>
    <t>Baloch drum </t>
  </si>
  <si>
    <t>Faraz bhai zakir </t>
  </si>
  <si>
    <t>Muhammad Ali Sher Shah </t>
  </si>
  <si>
    <t>Sher khan </t>
  </si>
  <si>
    <t>Khalid plastic </t>
  </si>
  <si>
    <t>Tanveer drum </t>
  </si>
  <si>
    <t>Najam chor drum </t>
  </si>
  <si>
    <t>Danish drum </t>
  </si>
  <si>
    <t>M Ali Polymer</t>
  </si>
  <si>
    <t>Product ID</t>
  </si>
  <si>
    <t>Customs/Duty</t>
  </si>
  <si>
    <t>Detention Cost</t>
  </si>
  <si>
    <t>Clearing Agent Cost</t>
  </si>
  <si>
    <t>Speed Money</t>
  </si>
  <si>
    <t>Other Cost</t>
  </si>
  <si>
    <t>Vendor Transport Cost</t>
  </si>
  <si>
    <t xml:space="preserve">SubTotal Product </t>
  </si>
  <si>
    <t>Total</t>
  </si>
  <si>
    <t>Purchase</t>
  </si>
  <si>
    <t>Payment</t>
  </si>
  <si>
    <t>IncomeTax WHT %</t>
  </si>
  <si>
    <t>SalesTax %</t>
  </si>
  <si>
    <t xml:space="preserve">Balance </t>
  </si>
  <si>
    <t>GO BACK TO MASTER SHEET</t>
  </si>
  <si>
    <t>UnitPrice</t>
  </si>
  <si>
    <t xml:space="preserve">UnitCost </t>
  </si>
  <si>
    <t xml:space="preserve">From </t>
  </si>
  <si>
    <t>To</t>
  </si>
  <si>
    <t>Truck Cost</t>
  </si>
  <si>
    <t>Customer</t>
  </si>
  <si>
    <t>Vendor</t>
  </si>
  <si>
    <t xml:space="preserve">Company </t>
  </si>
  <si>
    <t>Amount Paid</t>
  </si>
  <si>
    <t>Unit Cost</t>
  </si>
  <si>
    <t>Go To Sheet</t>
  </si>
  <si>
    <t xml:space="preserve">Vendor </t>
  </si>
  <si>
    <t>Transporter</t>
  </si>
  <si>
    <t xml:space="preserve">Labor </t>
  </si>
  <si>
    <t>Go to Sheet</t>
  </si>
  <si>
    <t>Inventory Sheet</t>
  </si>
  <si>
    <t>Analytics Sheet</t>
  </si>
  <si>
    <t>ID</t>
  </si>
  <si>
    <t>Account Name</t>
  </si>
  <si>
    <t>Labor</t>
  </si>
  <si>
    <t>invoice no</t>
  </si>
  <si>
    <t xml:space="preserve">invoice no. </t>
  </si>
  <si>
    <t xml:space="preserve">advance 24 in stock </t>
  </si>
  <si>
    <t>Total after tax</t>
  </si>
  <si>
    <t>Total After tax</t>
  </si>
  <si>
    <t xml:space="preserve">ADJUST 1% EVERYWHERE </t>
  </si>
  <si>
    <t xml:space="preserve">drum retunred </t>
  </si>
  <si>
    <t xml:space="preserve">drum returned </t>
  </si>
  <si>
    <t>L003</t>
  </si>
  <si>
    <t>Saqib Clearing Agent</t>
  </si>
  <si>
    <t>Commission</t>
  </si>
  <si>
    <t xml:space="preserve">old payable </t>
  </si>
  <si>
    <t xml:space="preserve">Plastic drum </t>
  </si>
  <si>
    <t>SIKA</t>
  </si>
  <si>
    <t>Plastic drum rent</t>
  </si>
  <si>
    <t>POLYMER</t>
  </si>
  <si>
    <t xml:space="preserve">Plastic drum transport </t>
  </si>
  <si>
    <t>IBC</t>
  </si>
  <si>
    <t xml:space="preserve">cheque </t>
  </si>
  <si>
    <t>transfer</t>
  </si>
  <si>
    <t>Steel drum</t>
  </si>
  <si>
    <t>transport</t>
  </si>
  <si>
    <t>ABID Transport</t>
  </si>
  <si>
    <t xml:space="preserve">steel drum </t>
  </si>
  <si>
    <t xml:space="preserve">plastic drum </t>
  </si>
  <si>
    <t xml:space="preserve">transport </t>
  </si>
  <si>
    <t>plastic drum</t>
  </si>
  <si>
    <t>HTG</t>
  </si>
  <si>
    <t xml:space="preserve">ibc </t>
  </si>
  <si>
    <t>SCADA</t>
  </si>
  <si>
    <t>Cash</t>
  </si>
  <si>
    <t xml:space="preserve">half clean </t>
  </si>
  <si>
    <t>transport 10 drums</t>
  </si>
  <si>
    <t>Steel Drums</t>
  </si>
  <si>
    <t xml:space="preserve">transport plastic drum </t>
  </si>
  <si>
    <t xml:space="preserve">Online </t>
  </si>
  <si>
    <t>our own thinner</t>
  </si>
  <si>
    <t>Waseem</t>
  </si>
  <si>
    <t xml:space="preserve">Petrol expense </t>
  </si>
  <si>
    <t>L001 (2)</t>
  </si>
  <si>
    <t>Naveed profit Account</t>
  </si>
  <si>
    <t>plastic drum 120</t>
  </si>
  <si>
    <t>plastic drum 200</t>
  </si>
  <si>
    <t>polymer purchase</t>
  </si>
  <si>
    <t>khalid</t>
  </si>
  <si>
    <t xml:space="preserve">khalid </t>
  </si>
  <si>
    <t xml:space="preserve">polymer 50% profit sharing </t>
  </si>
  <si>
    <t xml:space="preserve">Invoice No. </t>
  </si>
  <si>
    <t xml:space="preserve">online transfer </t>
  </si>
  <si>
    <t>Zain commission</t>
  </si>
  <si>
    <t>per unit</t>
  </si>
  <si>
    <t>qty</t>
  </si>
  <si>
    <t xml:space="preserve">paid </t>
  </si>
  <si>
    <t>APR26TP382026040</t>
  </si>
  <si>
    <t xml:space="preserve">sherkhan </t>
  </si>
  <si>
    <t>tufail</t>
  </si>
  <si>
    <t>scada</t>
  </si>
  <si>
    <t>port qasim</t>
  </si>
  <si>
    <t xml:space="preserve">scada </t>
  </si>
  <si>
    <t>chowrangi</t>
  </si>
  <si>
    <t>port qasim return</t>
  </si>
  <si>
    <t>Invoice Number</t>
  </si>
  <si>
    <t>13/11/2025 - 3/2/2026
Invoice Numbers 150,181,185,195,199,209,234,252 Cleared</t>
  </si>
  <si>
    <t xml:space="preserve">Total Balance </t>
  </si>
  <si>
    <t>Zain</t>
  </si>
  <si>
    <t>Qty</t>
  </si>
  <si>
    <t>Price</t>
  </si>
  <si>
    <t>Amount</t>
  </si>
  <si>
    <t xml:space="preserve">cleared </t>
  </si>
  <si>
    <t xml:space="preserve">returned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</si>
</sst>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-mm\-dd"/>
    <numFmt numFmtId="165" formatCode="#,##0.###;[Red]\(#,##0.###\);&quot;-&quot;"/>
    <numFmt numFmtId="166" formatCode="#,##0.000_);[Red]\(#,##0.000\)"/>
    <numFmt numFmtId="167" formatCode="[$PKR]\ #,##0.00"/>
    <numFmt numFmtId="168" formatCode="d/m/yy;@"/>
    <numFmt numFmtId="169" formatCode="dd/mm/yy;@"/>
    <numFmt numFmtId="170" formatCode="dd/mm/yyyy;@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FFFF"/>
      <name val="Calibri"/>
      <family val="2"/>
    </font>
    <font>
      <sz val="11"/>
      <color rgb="FF0000FF"/>
      <name val="Calibri"/>
      <family val="2"/>
    </font>
    <font>
      <b/>
      <sz val="11"/>
      <color rgb="FFFFFFFF"/>
      <name val="Calibri"/>
      <family val="2"/>
    </font>
    <font>
      <i/>
      <sz val="11"/>
      <color rgb="FF555555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i/>
      <sz val="14"/>
      <color rgb="FF555555"/>
      <name val="Calibri"/>
      <family val="2"/>
    </font>
    <font>
      <b/>
      <sz val="18"/>
      <color rgb="FFFFFFFF"/>
      <name val="Calibri"/>
      <family val="2"/>
    </font>
    <font>
      <u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" fillId="5" borderId="0" applyNumberFormat="0" applyBorder="0" applyAlignment="0" applyProtection="0"/>
  </cellStyleXfs>
  <cellXfs count="105"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5" fillId="0" borderId="0" xfId="0" applyFont="1"/>
    <xf numFmtId="0" fontId="0" fillId="0" borderId="1" xfId="0" applyBorder="1" applyAlignment="1">
      <alignment horizontal="center" vertical="center" wrapText="1"/>
    </xf>
    <xf numFmtId="164" fontId="3" fillId="0" borderId="1" xfId="0" applyNumberFormat="1" applyFont="1" applyBorder="1"/>
    <xf numFmtId="0" fontId="3" fillId="0" borderId="1" xfId="0" applyFont="1" applyBorder="1"/>
    <xf numFmtId="4" fontId="3" fillId="0" borderId="1" xfId="0" applyNumberFormat="1" applyFont="1" applyBorder="1"/>
    <xf numFmtId="165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4" fillId="2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4" xfId="0" applyBorder="1"/>
    <xf numFmtId="0" fontId="0" fillId="0" borderId="13" xfId="0" applyBorder="1"/>
    <xf numFmtId="0" fontId="4" fillId="2" borderId="13" xfId="0" applyFont="1" applyFill="1" applyBorder="1" applyAlignment="1">
      <alignment horizontal="center" vertical="center" wrapText="1"/>
    </xf>
    <xf numFmtId="2" fontId="0" fillId="0" borderId="1" xfId="0" applyNumberFormat="1" applyBorder="1"/>
    <xf numFmtId="2" fontId="0" fillId="0" borderId="0" xfId="0" applyNumberFormat="1"/>
    <xf numFmtId="166" fontId="0" fillId="0" borderId="0" xfId="0" applyNumberFormat="1"/>
    <xf numFmtId="166" fontId="0" fillId="0" borderId="15" xfId="0" applyNumberFormat="1" applyBorder="1"/>
    <xf numFmtId="166" fontId="0" fillId="0" borderId="11" xfId="0" applyNumberFormat="1" applyBorder="1"/>
    <xf numFmtId="166" fontId="0" fillId="0" borderId="16" xfId="0" applyNumberFormat="1" applyBorder="1"/>
    <xf numFmtId="0" fontId="8" fillId="0" borderId="15" xfId="0" applyFont="1" applyBorder="1"/>
    <xf numFmtId="0" fontId="0" fillId="0" borderId="17" xfId="0" applyBorder="1"/>
    <xf numFmtId="0" fontId="0" fillId="0" borderId="18" xfId="0" applyBorder="1"/>
    <xf numFmtId="0" fontId="4" fillId="2" borderId="19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4" fillId="2" borderId="2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left" vertical="center"/>
    </xf>
    <xf numFmtId="0" fontId="4" fillId="2" borderId="14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left" vertical="center"/>
    </xf>
    <xf numFmtId="0" fontId="8" fillId="0" borderId="12" xfId="0" applyFont="1" applyBorder="1"/>
    <xf numFmtId="0" fontId="0" fillId="0" borderId="2" xfId="0" applyBorder="1" applyAlignment="1">
      <alignment horizontal="left" vertical="center"/>
    </xf>
    <xf numFmtId="10" fontId="3" fillId="0" borderId="1" xfId="0" applyNumberFormat="1" applyFont="1" applyBorder="1"/>
    <xf numFmtId="10" fontId="0" fillId="0" borderId="0" xfId="0" applyNumberFormat="1"/>
    <xf numFmtId="167" fontId="3" fillId="0" borderId="1" xfId="0" applyNumberFormat="1" applyFont="1" applyBorder="1"/>
    <xf numFmtId="167" fontId="0" fillId="0" borderId="0" xfId="0" applyNumberFormat="1"/>
    <xf numFmtId="0" fontId="0" fillId="0" borderId="19" xfId="0" applyBorder="1"/>
    <xf numFmtId="0" fontId="0" fillId="0" borderId="21" xfId="0" applyBorder="1"/>
    <xf numFmtId="0" fontId="0" fillId="0" borderId="16" xfId="0" applyBorder="1"/>
    <xf numFmtId="9" fontId="3" fillId="0" borderId="1" xfId="1" applyFont="1" applyBorder="1"/>
    <xf numFmtId="9" fontId="0" fillId="0" borderId="0" xfId="1" applyFont="1"/>
    <xf numFmtId="0" fontId="10" fillId="0" borderId="0" xfId="0" applyFont="1"/>
    <xf numFmtId="0" fontId="11" fillId="2" borderId="0" xfId="0" applyFont="1" applyFill="1" applyAlignment="1">
      <alignment horizontal="center" vertical="center"/>
    </xf>
    <xf numFmtId="167" fontId="0" fillId="0" borderId="13" xfId="0" applyNumberFormat="1" applyBorder="1"/>
    <xf numFmtId="167" fontId="0" fillId="0" borderId="22" xfId="0" applyNumberFormat="1" applyBorder="1"/>
    <xf numFmtId="0" fontId="0" fillId="0" borderId="15" xfId="0" applyBorder="1" applyAlignment="1">
      <alignment horizontal="left" vertical="center"/>
    </xf>
    <xf numFmtId="0" fontId="8" fillId="0" borderId="16" xfId="0" applyFont="1" applyBorder="1"/>
    <xf numFmtId="0" fontId="7" fillId="0" borderId="12" xfId="2" applyBorder="1"/>
    <xf numFmtId="0" fontId="7" fillId="0" borderId="2" xfId="2" applyBorder="1"/>
    <xf numFmtId="0" fontId="4" fillId="2" borderId="22" xfId="0" applyFont="1" applyFill="1" applyBorder="1" applyAlignment="1">
      <alignment horizontal="center" vertical="center" wrapText="1"/>
    </xf>
    <xf numFmtId="0" fontId="1" fillId="5" borderId="15" xfId="4" applyBorder="1"/>
    <xf numFmtId="0" fontId="1" fillId="5" borderId="16" xfId="4" applyBorder="1"/>
    <xf numFmtId="0" fontId="1" fillId="5" borderId="12" xfId="4" applyBorder="1"/>
    <xf numFmtId="0" fontId="1" fillId="5" borderId="2" xfId="4" applyBorder="1"/>
    <xf numFmtId="0" fontId="13" fillId="4" borderId="13" xfId="3" applyBorder="1"/>
    <xf numFmtId="0" fontId="13" fillId="4" borderId="22" xfId="3" applyBorder="1"/>
    <xf numFmtId="0" fontId="1" fillId="5" borderId="14" xfId="4" applyBorder="1"/>
    <xf numFmtId="0" fontId="1" fillId="5" borderId="21" xfId="4" applyBorder="1"/>
    <xf numFmtId="14" fontId="0" fillId="0" borderId="0" xfId="0" applyNumberFormat="1"/>
    <xf numFmtId="14" fontId="4" fillId="2" borderId="1" xfId="0" applyNumberFormat="1" applyFont="1" applyFill="1" applyBorder="1" applyAlignment="1">
      <alignment horizontal="center" vertical="center" wrapText="1"/>
    </xf>
    <xf numFmtId="14" fontId="3" fillId="0" borderId="1" xfId="0" applyNumberFormat="1" applyFont="1" applyBorder="1"/>
    <xf numFmtId="0" fontId="4" fillId="2" borderId="25" xfId="0" applyFont="1" applyFill="1" applyBorder="1" applyAlignment="1">
      <alignment horizontal="center" vertical="center" wrapText="1"/>
    </xf>
    <xf numFmtId="0" fontId="15" fillId="0" borderId="1" xfId="0" applyFont="1" applyBorder="1"/>
    <xf numFmtId="0" fontId="15" fillId="0" borderId="26" xfId="0" applyFont="1" applyBorder="1"/>
    <xf numFmtId="4" fontId="15" fillId="0" borderId="26" xfId="0" applyNumberFormat="1" applyFont="1" applyBorder="1"/>
    <xf numFmtId="167" fontId="15" fillId="0" borderId="26" xfId="0" applyNumberFormat="1" applyFont="1" applyBorder="1"/>
    <xf numFmtId="9" fontId="15" fillId="0" borderId="26" xfId="0" applyNumberFormat="1" applyFont="1" applyBorder="1"/>
    <xf numFmtId="10" fontId="15" fillId="0" borderId="26" xfId="0" applyNumberFormat="1" applyFont="1" applyBorder="1"/>
    <xf numFmtId="168" fontId="0" fillId="0" borderId="0" xfId="0" applyNumberFormat="1"/>
    <xf numFmtId="168" fontId="4" fillId="2" borderId="1" xfId="0" applyNumberFormat="1" applyFont="1" applyFill="1" applyBorder="1" applyAlignment="1">
      <alignment horizontal="center" vertical="center" wrapText="1"/>
    </xf>
    <xf numFmtId="168" fontId="3" fillId="0" borderId="1" xfId="0" applyNumberFormat="1" applyFont="1" applyBorder="1"/>
    <xf numFmtId="14" fontId="0" fillId="0" borderId="1" xfId="0" applyNumberFormat="1" applyBorder="1"/>
    <xf numFmtId="169" fontId="0" fillId="0" borderId="0" xfId="0" applyNumberFormat="1"/>
    <xf numFmtId="169" fontId="4" fillId="2" borderId="1" xfId="0" applyNumberFormat="1" applyFont="1" applyFill="1" applyBorder="1" applyAlignment="1">
      <alignment horizontal="center" vertical="center" wrapText="1"/>
    </xf>
    <xf numFmtId="169" fontId="3" fillId="0" borderId="1" xfId="0" applyNumberFormat="1" applyFont="1" applyBorder="1"/>
    <xf numFmtId="4" fontId="3" fillId="0" borderId="25" xfId="0" applyNumberFormat="1" applyFont="1" applyBorder="1"/>
    <xf numFmtId="170" fontId="0" fillId="0" borderId="0" xfId="0" applyNumberFormat="1"/>
    <xf numFmtId="170" fontId="4" fillId="2" borderId="1" xfId="0" applyNumberFormat="1" applyFont="1" applyFill="1" applyBorder="1" applyAlignment="1">
      <alignment horizontal="center" vertical="center" wrapText="1"/>
    </xf>
    <xf numFmtId="170" fontId="3" fillId="0" borderId="1" xfId="0" applyNumberFormat="1" applyFont="1" applyBorder="1"/>
    <xf numFmtId="0" fontId="11" fillId="2" borderId="0" xfId="0" applyFont="1" applyFill="1" applyAlignment="1">
      <alignment horizontal="center" vertical="center"/>
    </xf>
    <xf numFmtId="0" fontId="12" fillId="3" borderId="0" xfId="2" applyFont="1" applyFill="1" applyAlignment="1">
      <alignment horizontal="center" vertical="center" wrapText="1"/>
    </xf>
    <xf numFmtId="0" fontId="16" fillId="7" borderId="0" xfId="0" applyFont="1" applyFill="1" applyAlignment="1">
      <alignment horizontal="center" vertical="center" wrapText="1"/>
    </xf>
    <xf numFmtId="0" fontId="7" fillId="0" borderId="12" xfId="2" applyBorder="1" applyAlignment="1">
      <alignment horizontal="center" vertical="center" wrapText="1"/>
    </xf>
    <xf numFmtId="0" fontId="7" fillId="0" borderId="2" xfId="2" applyBorder="1" applyAlignment="1">
      <alignment horizontal="center" vertical="center" wrapText="1"/>
    </xf>
    <xf numFmtId="0" fontId="7" fillId="0" borderId="15" xfId="2" applyBorder="1" applyAlignment="1">
      <alignment horizontal="center" vertical="center" wrapText="1"/>
    </xf>
    <xf numFmtId="0" fontId="7" fillId="0" borderId="16" xfId="2" applyBorder="1" applyAlignment="1">
      <alignment horizontal="center" vertical="center" wrapText="1"/>
    </xf>
    <xf numFmtId="0" fontId="14" fillId="6" borderId="23" xfId="0" applyFont="1" applyFill="1" applyBorder="1" applyAlignment="1">
      <alignment horizontal="center" wrapText="1"/>
    </xf>
    <xf numFmtId="0" fontId="14" fillId="6" borderId="24" xfId="0" applyFont="1" applyFill="1" applyBorder="1" applyAlignment="1">
      <alignment horizontal="center" wrapText="1"/>
    </xf>
    <xf numFmtId="0" fontId="14" fillId="6" borderId="22" xfId="0" applyFont="1" applyFill="1" applyBorder="1" applyAlignment="1">
      <alignment horizontal="center" wrapText="1"/>
    </xf>
    <xf numFmtId="0" fontId="14" fillId="6" borderId="23" xfId="0" applyFont="1" applyFill="1" applyBorder="1" applyAlignment="1">
      <alignment horizontal="center" vertical="center" wrapText="1"/>
    </xf>
    <xf numFmtId="0" fontId="14" fillId="6" borderId="2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167" fontId="0" fillId="0" borderId="19" xfId="0" applyNumberFormat="1" applyBorder="1" applyAlignment="1">
      <alignment horizontal="center" wrapText="1"/>
    </xf>
    <xf numFmtId="167" fontId="0" fillId="0" borderId="21" xfId="0" applyNumberFormat="1" applyBorder="1" applyAlignment="1">
      <alignment horizontal="center" wrapText="1"/>
    </xf>
    <xf numFmtId="167" fontId="0" fillId="0" borderId="17" xfId="0" applyNumberFormat="1" applyBorder="1" applyAlignment="1">
      <alignment horizontal="center" wrapText="1"/>
    </xf>
    <xf numFmtId="167" fontId="0" fillId="0" borderId="15" xfId="0" applyNumberFormat="1" applyBorder="1" applyAlignment="1">
      <alignment horizontal="center" wrapText="1"/>
    </xf>
    <xf numFmtId="167" fontId="0" fillId="0" borderId="18" xfId="0" applyNumberFormat="1" applyBorder="1" applyAlignment="1">
      <alignment horizontal="center" wrapText="1"/>
    </xf>
    <xf numFmtId="167" fontId="0" fillId="0" borderId="16" xfId="0" applyNumberFormat="1" applyBorder="1" applyAlignment="1">
      <alignment horizontal="center" wrapText="1"/>
    </xf>
  </cellXfs>
  <cellStyles count="5">
    <cellStyle name="20% - Accent1" xfId="4" builtinId="30"/>
    <cellStyle name="Accent1" xfId="3" builtinId="29"/>
    <cellStyle name="Hyperlink" xfId="2" builtinId="8"/>
    <cellStyle name="Normal" xfId="0" builtinId="0"/>
    <cellStyle name="Percent" xfId="1" builtinId="5"/>
  </cellStyles>
  <dxfs count="19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1A66C-8E50-9F46-A63F-B86E94E6ECCF}">
  <sheetPr codeName="Sheet1"/>
  <dimension ref="B2:AT59"/>
  <sheetViews>
    <sheetView topLeftCell="B2" zoomScale="104" workbookViewId="0">
      <selection activeCell="L18" sqref="L18"/>
    </sheetView>
  </sheetViews>
  <sheetFormatPr baseColWidth="10" defaultColWidth="10.83203125" defaultRowHeight="15" x14ac:dyDescent="0.2"/>
  <cols>
    <col min="2" max="2" width="19.33203125" customWidth="1"/>
    <col min="3" max="3" width="19" customWidth="1"/>
    <col min="6" max="6" width="24.33203125" customWidth="1"/>
    <col min="7" max="7" width="23.5" customWidth="1"/>
    <col min="11" max="11" width="34.33203125" bestFit="1" customWidth="1"/>
    <col min="12" max="12" width="30" bestFit="1" customWidth="1"/>
    <col min="16" max="17" width="17.83203125" bestFit="1" customWidth="1"/>
    <col min="20" max="20" width="7.1640625" bestFit="1" customWidth="1"/>
    <col min="21" max="21" width="18.1640625" bestFit="1" customWidth="1"/>
    <col min="22" max="22" width="13.6640625" customWidth="1"/>
    <col min="30" max="30" width="9" bestFit="1" customWidth="1"/>
    <col min="31" max="31" width="65" customWidth="1"/>
    <col min="46" max="46" width="32.33203125" bestFit="1" customWidth="1"/>
  </cols>
  <sheetData>
    <row r="2" spans="2:46" ht="16" thickBot="1" x14ac:dyDescent="0.25"/>
    <row r="3" spans="2:46" ht="25" thickBot="1" x14ac:dyDescent="0.35">
      <c r="B3" s="96" t="s">
        <v>217</v>
      </c>
      <c r="C3" s="97"/>
      <c r="E3" s="93" t="s">
        <v>214</v>
      </c>
      <c r="F3" s="94"/>
      <c r="G3" s="95"/>
      <c r="J3" s="93" t="s">
        <v>208</v>
      </c>
      <c r="K3" s="94"/>
      <c r="L3" s="95"/>
      <c r="O3" s="93" t="s">
        <v>215</v>
      </c>
      <c r="P3" s="94"/>
      <c r="Q3" s="95"/>
      <c r="T3" s="93" t="s">
        <v>216</v>
      </c>
      <c r="U3" s="94"/>
      <c r="V3" s="95"/>
    </row>
    <row r="4" spans="2:46" ht="33" thickBot="1" x14ac:dyDescent="0.25">
      <c r="B4" s="21" t="s">
        <v>218</v>
      </c>
      <c r="C4" s="56" t="s">
        <v>219</v>
      </c>
      <c r="E4" s="11" t="s">
        <v>2</v>
      </c>
      <c r="F4" s="12" t="s">
        <v>3</v>
      </c>
      <c r="G4" s="17" t="s">
        <v>213</v>
      </c>
      <c r="J4" s="11" t="s">
        <v>27</v>
      </c>
      <c r="K4" s="12" t="s">
        <v>28</v>
      </c>
      <c r="L4" s="17" t="s">
        <v>213</v>
      </c>
      <c r="O4" s="11" t="s">
        <v>59</v>
      </c>
      <c r="P4" s="12" t="s">
        <v>60</v>
      </c>
      <c r="Q4" s="17" t="s">
        <v>213</v>
      </c>
      <c r="T4" s="11" t="s">
        <v>63</v>
      </c>
      <c r="U4" s="12" t="s">
        <v>64</v>
      </c>
      <c r="V4" s="17" t="s">
        <v>213</v>
      </c>
      <c r="AD4" s="11" t="s">
        <v>67</v>
      </c>
      <c r="AE4" s="12" t="s">
        <v>68</v>
      </c>
      <c r="AI4" s="11" t="s">
        <v>69</v>
      </c>
      <c r="AJ4" s="12" t="s">
        <v>76</v>
      </c>
      <c r="AL4" s="21" t="s">
        <v>81</v>
      </c>
      <c r="AS4" s="31" t="s">
        <v>69</v>
      </c>
      <c r="AT4" s="33" t="s">
        <v>76</v>
      </c>
    </row>
    <row r="5" spans="2:46" ht="15" customHeight="1" x14ac:dyDescent="0.2">
      <c r="B5" s="89" t="s">
        <v>218</v>
      </c>
      <c r="C5" s="91" t="s">
        <v>219</v>
      </c>
      <c r="E5" s="13" t="s">
        <v>4</v>
      </c>
      <c r="F5" s="28" t="s">
        <v>164</v>
      </c>
      <c r="G5" s="54" t="str">
        <f>HYPERLINK("#'" &amp; E5 &amp; "'!A1", F5)</f>
        <v>Beltexeco Limited - zone </v>
      </c>
      <c r="J5" s="13" t="s">
        <v>29</v>
      </c>
      <c r="K5" s="28" t="s">
        <v>136</v>
      </c>
      <c r="L5" s="54" t="str">
        <f>HYPERLINK("#'" &amp; J5 &amp; "'!A1", K5)</f>
        <v>Anjum Chemical- Pak petro </v>
      </c>
      <c r="O5" s="13" t="s">
        <v>61</v>
      </c>
      <c r="P5" s="14" t="s">
        <v>133</v>
      </c>
      <c r="Q5" s="54" t="str">
        <f>HYPERLINK("#'" &amp; O5 &amp; "'!A1", P5)</f>
        <v>Abid Transporter</v>
      </c>
      <c r="T5" s="13" t="s">
        <v>65</v>
      </c>
      <c r="U5" s="14" t="s">
        <v>132</v>
      </c>
      <c r="V5" s="54" t="str">
        <f>HYPERLINK("#'" &amp; T5 &amp; "'!A1", U5)</f>
        <v>Naveed</v>
      </c>
      <c r="AD5" s="13" t="s">
        <v>108</v>
      </c>
      <c r="AE5" s="28" t="s">
        <v>84</v>
      </c>
      <c r="AI5" s="13" t="s">
        <v>65</v>
      </c>
      <c r="AJ5" s="14" t="s">
        <v>0</v>
      </c>
      <c r="AL5" s="19" t="s">
        <v>83</v>
      </c>
      <c r="AS5" s="34"/>
      <c r="AT5" s="52" t="s">
        <v>0</v>
      </c>
    </row>
    <row r="6" spans="2:46" ht="16" thickBot="1" x14ac:dyDescent="0.25">
      <c r="B6" s="90"/>
      <c r="C6" s="92"/>
      <c r="E6" s="13" t="s">
        <v>5</v>
      </c>
      <c r="F6" s="28" t="s">
        <v>165</v>
      </c>
      <c r="G6" s="54" t="str">
        <f t="shared" ref="G6:G27" si="0">HYPERLINK("#'" &amp; E6 &amp; "'!A1", F6)</f>
        <v>Prime safety - zone </v>
      </c>
      <c r="J6" s="13" t="s">
        <v>30</v>
      </c>
      <c r="K6" s="28" t="s">
        <v>137</v>
      </c>
      <c r="L6" s="54" t="str">
        <f t="shared" ref="L6:L34" si="1">HYPERLINK("#'" &amp; J6 &amp; "'!A1", K6)</f>
        <v>Anjum Chemical - Pak styrene</v>
      </c>
      <c r="O6" s="15" t="s">
        <v>62</v>
      </c>
      <c r="P6" s="16" t="s">
        <v>134</v>
      </c>
      <c r="Q6" s="55" t="str">
        <f>HYPERLINK("#'" &amp; O6 &amp; "'!A1", P6)</f>
        <v>Pehlwaan Transporter</v>
      </c>
      <c r="T6" t="s">
        <v>262</v>
      </c>
      <c r="U6" t="s">
        <v>263</v>
      </c>
      <c r="V6" s="54" t="str">
        <f>HYPERLINK("#'" &amp; T6 &amp; "'!A1", U6)</f>
        <v>Naveed profit Account</v>
      </c>
      <c r="AD6" s="13" t="s">
        <v>109</v>
      </c>
      <c r="AE6" s="28" t="s">
        <v>85</v>
      </c>
      <c r="AI6" s="15" t="s">
        <v>66</v>
      </c>
      <c r="AJ6" s="16" t="s">
        <v>1</v>
      </c>
      <c r="AL6" s="9" t="s">
        <v>82</v>
      </c>
      <c r="AS6" s="34"/>
      <c r="AT6" s="52" t="s">
        <v>1</v>
      </c>
    </row>
    <row r="7" spans="2:46" ht="16" thickBot="1" x14ac:dyDescent="0.25">
      <c r="E7" s="13" t="s">
        <v>6</v>
      </c>
      <c r="F7" s="28" t="s">
        <v>166</v>
      </c>
      <c r="G7" s="54" t="str">
        <f t="shared" si="0"/>
        <v>Al Nazeer - zone </v>
      </c>
      <c r="J7" s="13" t="s">
        <v>31</v>
      </c>
      <c r="K7" s="28" t="s">
        <v>138</v>
      </c>
      <c r="L7" s="54" t="str">
        <f t="shared" si="1"/>
        <v>Polymer international </v>
      </c>
      <c r="O7" s="10"/>
      <c r="P7" s="10"/>
      <c r="T7" s="15" t="s">
        <v>66</v>
      </c>
      <c r="U7" s="16" t="s">
        <v>135</v>
      </c>
      <c r="V7" s="55" t="str">
        <f>HYPERLINK("#'" &amp; T7 &amp; "'!A1", U7)</f>
        <v>Sher Khan</v>
      </c>
      <c r="AD7" s="13" t="s">
        <v>110</v>
      </c>
      <c r="AE7" s="28" t="s">
        <v>86</v>
      </c>
      <c r="AS7" s="29"/>
      <c r="AT7" s="28" t="s">
        <v>136</v>
      </c>
    </row>
    <row r="8" spans="2:46" x14ac:dyDescent="0.2">
      <c r="E8" s="13" t="s">
        <v>7</v>
      </c>
      <c r="F8" s="28" t="s">
        <v>167</v>
      </c>
      <c r="G8" s="54" t="str">
        <f t="shared" si="0"/>
        <v>Zahabia chemical - zone </v>
      </c>
      <c r="J8" s="13" t="s">
        <v>32</v>
      </c>
      <c r="K8" s="28" t="s">
        <v>139</v>
      </c>
      <c r="L8" s="54" t="str">
        <f t="shared" si="1"/>
        <v>Sika Pakistan </v>
      </c>
      <c r="O8" s="2"/>
      <c r="P8" s="2"/>
      <c r="T8" s="13" t="s">
        <v>231</v>
      </c>
      <c r="U8" s="14" t="s">
        <v>232</v>
      </c>
      <c r="V8" s="54" t="str">
        <f>HYPERLINK("#'" &amp; T8 &amp; "'!A1", U8)</f>
        <v>Saqib Clearing Agent</v>
      </c>
      <c r="AD8" s="13" t="s">
        <v>111</v>
      </c>
      <c r="AE8" s="28" t="s">
        <v>87</v>
      </c>
      <c r="AS8" s="29"/>
      <c r="AT8" s="28" t="s">
        <v>137</v>
      </c>
    </row>
    <row r="9" spans="2:46" x14ac:dyDescent="0.2">
      <c r="E9" s="13" t="s">
        <v>8</v>
      </c>
      <c r="F9" s="28" t="s">
        <v>168</v>
      </c>
      <c r="G9" s="54" t="str">
        <f t="shared" si="0"/>
        <v>Midas safety - zone</v>
      </c>
      <c r="J9" s="13" t="s">
        <v>33</v>
      </c>
      <c r="K9" s="28" t="s">
        <v>140</v>
      </c>
      <c r="L9" s="54" t="str">
        <f t="shared" si="1"/>
        <v>Scada </v>
      </c>
      <c r="AD9" s="13" t="s">
        <v>112</v>
      </c>
      <c r="AE9" s="28" t="s">
        <v>88</v>
      </c>
      <c r="AS9" s="29"/>
      <c r="AT9" s="28" t="s">
        <v>138</v>
      </c>
    </row>
    <row r="10" spans="2:46" x14ac:dyDescent="0.2">
      <c r="E10" s="13" t="s">
        <v>9</v>
      </c>
      <c r="F10" s="28" t="s">
        <v>170</v>
      </c>
      <c r="G10" s="54" t="str">
        <f t="shared" si="0"/>
        <v>Zahabia Chemical Karachi </v>
      </c>
      <c r="J10" s="13" t="s">
        <v>34</v>
      </c>
      <c r="K10" s="28" t="s">
        <v>141</v>
      </c>
      <c r="L10" s="54" t="str">
        <f t="shared" si="1"/>
        <v>HTG Chor </v>
      </c>
      <c r="AD10" s="13" t="s">
        <v>113</v>
      </c>
      <c r="AE10" s="28" t="s">
        <v>89</v>
      </c>
      <c r="AS10" s="29"/>
      <c r="AT10" s="28" t="s">
        <v>139</v>
      </c>
    </row>
    <row r="11" spans="2:46" x14ac:dyDescent="0.2">
      <c r="E11" s="13" t="s">
        <v>10</v>
      </c>
      <c r="F11" s="28" t="s">
        <v>171</v>
      </c>
      <c r="G11" s="54" t="str">
        <f t="shared" si="0"/>
        <v>Razi and sons - seats </v>
      </c>
      <c r="J11" s="13" t="s">
        <v>35</v>
      </c>
      <c r="K11" s="28" t="s">
        <v>142</v>
      </c>
      <c r="L11" s="54" t="str">
        <f t="shared" si="1"/>
        <v>Arcroma </v>
      </c>
      <c r="AD11" s="13" t="s">
        <v>114</v>
      </c>
      <c r="AE11" s="28" t="s">
        <v>90</v>
      </c>
      <c r="AS11" s="29"/>
      <c r="AT11" s="28" t="s">
        <v>140</v>
      </c>
    </row>
    <row r="12" spans="2:46" x14ac:dyDescent="0.2">
      <c r="E12" s="13" t="s">
        <v>11</v>
      </c>
      <c r="F12" s="28" t="s">
        <v>172</v>
      </c>
      <c r="G12" s="54" t="str">
        <f t="shared" si="0"/>
        <v>SCADA Port Qasim </v>
      </c>
      <c r="J12" s="13" t="s">
        <v>36</v>
      </c>
      <c r="K12" s="28" t="s">
        <v>143</v>
      </c>
      <c r="L12" s="54" t="str">
        <f t="shared" si="1"/>
        <v>Clariant Pakistan</v>
      </c>
      <c r="AD12" s="13" t="s">
        <v>115</v>
      </c>
      <c r="AE12" s="28" t="s">
        <v>91</v>
      </c>
      <c r="AS12" s="29"/>
      <c r="AT12" s="28" t="s">
        <v>141</v>
      </c>
    </row>
    <row r="13" spans="2:46" x14ac:dyDescent="0.2">
      <c r="E13" s="13" t="s">
        <v>12</v>
      </c>
      <c r="F13" s="28" t="s">
        <v>173</v>
      </c>
      <c r="G13" s="54" t="str">
        <f t="shared" si="0"/>
        <v>Saqib EPA - Port Qasim </v>
      </c>
      <c r="J13" s="13" t="s">
        <v>37</v>
      </c>
      <c r="K13" s="28" t="s">
        <v>144</v>
      </c>
      <c r="L13" s="54" t="str">
        <f t="shared" si="1"/>
        <v>Iftikhar and company </v>
      </c>
      <c r="AD13" s="13" t="s">
        <v>116</v>
      </c>
      <c r="AE13" s="28" t="s">
        <v>92</v>
      </c>
      <c r="AS13" s="29"/>
      <c r="AT13" s="28" t="s">
        <v>142</v>
      </c>
    </row>
    <row r="14" spans="2:46" ht="26" x14ac:dyDescent="0.2">
      <c r="B14" s="88" t="s">
        <v>228</v>
      </c>
      <c r="C14" s="88"/>
      <c r="E14" s="13" t="s">
        <v>13</v>
      </c>
      <c r="F14" s="28" t="s">
        <v>174</v>
      </c>
      <c r="G14" s="54" t="str">
        <f t="shared" si="0"/>
        <v>Tufail Port Qasim</v>
      </c>
      <c r="J14" s="13" t="s">
        <v>38</v>
      </c>
      <c r="K14" s="28" t="s">
        <v>145</v>
      </c>
      <c r="L14" s="54" t="str">
        <f t="shared" si="1"/>
        <v>Descon </v>
      </c>
      <c r="AD14" s="13" t="s">
        <v>117</v>
      </c>
      <c r="AE14" s="28" t="s">
        <v>93</v>
      </c>
      <c r="AS14" s="29"/>
      <c r="AT14" s="28" t="s">
        <v>143</v>
      </c>
    </row>
    <row r="15" spans="2:46" x14ac:dyDescent="0.2">
      <c r="E15" s="13" t="s">
        <v>14</v>
      </c>
      <c r="F15" s="28" t="s">
        <v>175</v>
      </c>
      <c r="G15" s="54" t="str">
        <f t="shared" si="0"/>
        <v>Usman Glycerine GSK </v>
      </c>
      <c r="J15" s="13" t="s">
        <v>39</v>
      </c>
      <c r="K15" s="28" t="s">
        <v>146</v>
      </c>
      <c r="L15" s="54" t="str">
        <f t="shared" si="1"/>
        <v>Nimmer Chemical </v>
      </c>
      <c r="AD15" s="13" t="s">
        <v>118</v>
      </c>
      <c r="AE15" s="28" t="s">
        <v>94</v>
      </c>
      <c r="AS15" s="29"/>
      <c r="AT15" s="28" t="s">
        <v>144</v>
      </c>
    </row>
    <row r="16" spans="2:46" x14ac:dyDescent="0.2">
      <c r="E16" s="13" t="s">
        <v>15</v>
      </c>
      <c r="F16" s="28" t="s">
        <v>176</v>
      </c>
      <c r="G16" s="54" t="str">
        <f t="shared" si="0"/>
        <v>Master</v>
      </c>
      <c r="J16" s="13" t="s">
        <v>40</v>
      </c>
      <c r="K16" s="28" t="s">
        <v>169</v>
      </c>
      <c r="L16" s="54" t="str">
        <f t="shared" si="1"/>
        <v>Malcolm Industries / Arshad Chemical</v>
      </c>
      <c r="AD16" s="13" t="s">
        <v>119</v>
      </c>
      <c r="AE16" s="28" t="s">
        <v>95</v>
      </c>
      <c r="AS16" s="29"/>
      <c r="AT16" s="28" t="s">
        <v>145</v>
      </c>
    </row>
    <row r="17" spans="5:46" x14ac:dyDescent="0.2">
      <c r="E17" s="13" t="s">
        <v>16</v>
      </c>
      <c r="F17" s="28" t="s">
        <v>177</v>
      </c>
      <c r="G17" s="54" t="str">
        <f t="shared" si="0"/>
        <v>Diamond foam</v>
      </c>
      <c r="J17" s="13" t="s">
        <v>41</v>
      </c>
      <c r="K17" s="28" t="s">
        <v>147</v>
      </c>
      <c r="L17" s="54" t="str">
        <f t="shared" si="1"/>
        <v>Ultra Chemical Nooriabad (Waqas)  </v>
      </c>
      <c r="AD17" s="13" t="s">
        <v>120</v>
      </c>
      <c r="AE17" s="28" t="s">
        <v>96</v>
      </c>
      <c r="AS17" s="29"/>
      <c r="AT17" s="28" t="s">
        <v>146</v>
      </c>
    </row>
    <row r="18" spans="5:46" x14ac:dyDescent="0.2">
      <c r="E18" s="13" t="s">
        <v>17</v>
      </c>
      <c r="F18" s="28" t="s">
        <v>178</v>
      </c>
      <c r="G18" s="54" t="str">
        <f t="shared" si="0"/>
        <v>Omer Asghar Durm </v>
      </c>
      <c r="J18" s="13" t="s">
        <v>42</v>
      </c>
      <c r="K18" s="28" t="s">
        <v>148</v>
      </c>
      <c r="L18" s="54" t="str">
        <f t="shared" si="1"/>
        <v>Waseem resin </v>
      </c>
      <c r="AD18" s="13" t="s">
        <v>121</v>
      </c>
      <c r="AE18" s="28" t="s">
        <v>97</v>
      </c>
      <c r="AS18" s="29"/>
      <c r="AT18" s="28" t="s">
        <v>169</v>
      </c>
    </row>
    <row r="19" spans="5:46" x14ac:dyDescent="0.2">
      <c r="E19" s="13" t="s">
        <v>18</v>
      </c>
      <c r="F19" s="28" t="s">
        <v>179</v>
      </c>
      <c r="G19" s="54" t="str">
        <f t="shared" si="0"/>
        <v>Baloch drum </v>
      </c>
      <c r="J19" s="13" t="s">
        <v>43</v>
      </c>
      <c r="K19" s="28" t="s">
        <v>149</v>
      </c>
      <c r="L19" s="54" t="str">
        <f t="shared" si="1"/>
        <v>Naveed Resin (Waseem)</v>
      </c>
      <c r="AD19" s="13" t="s">
        <v>122</v>
      </c>
      <c r="AE19" s="28" t="s">
        <v>98</v>
      </c>
      <c r="AS19" s="29"/>
      <c r="AT19" s="28" t="s">
        <v>147</v>
      </c>
    </row>
    <row r="20" spans="5:46" x14ac:dyDescent="0.2">
      <c r="E20" s="13" t="s">
        <v>19</v>
      </c>
      <c r="F20" s="28" t="s">
        <v>180</v>
      </c>
      <c r="G20" s="54" t="str">
        <f t="shared" si="0"/>
        <v>Faraz bhai zakir </v>
      </c>
      <c r="J20" s="13" t="s">
        <v>44</v>
      </c>
      <c r="K20" s="28" t="s">
        <v>141</v>
      </c>
      <c r="L20" s="54" t="str">
        <f t="shared" si="1"/>
        <v>HTG Chor </v>
      </c>
      <c r="AD20" s="13" t="s">
        <v>123</v>
      </c>
      <c r="AE20" s="28" t="s">
        <v>99</v>
      </c>
      <c r="AS20" s="29"/>
      <c r="AT20" s="28" t="s">
        <v>148</v>
      </c>
    </row>
    <row r="21" spans="5:46" x14ac:dyDescent="0.2">
      <c r="E21" s="13" t="s">
        <v>20</v>
      </c>
      <c r="F21" s="28" t="s">
        <v>181</v>
      </c>
      <c r="G21" s="54" t="str">
        <f t="shared" si="0"/>
        <v>Muhammad Ali Sher Shah </v>
      </c>
      <c r="J21" s="13" t="s">
        <v>45</v>
      </c>
      <c r="K21" s="28" t="s">
        <v>150</v>
      </c>
      <c r="L21" s="54" t="str">
        <f t="shared" si="1"/>
        <v>Mehboob Brothers </v>
      </c>
      <c r="AD21" s="13" t="s">
        <v>124</v>
      </c>
      <c r="AE21" s="28" t="s">
        <v>100</v>
      </c>
      <c r="AS21" s="29"/>
      <c r="AT21" s="28" t="s">
        <v>149</v>
      </c>
    </row>
    <row r="22" spans="5:46" x14ac:dyDescent="0.2">
      <c r="E22" s="13" t="s">
        <v>21</v>
      </c>
      <c r="F22" s="28" t="s">
        <v>182</v>
      </c>
      <c r="G22" s="54" t="str">
        <f t="shared" si="0"/>
        <v>Sher khan </v>
      </c>
      <c r="J22" s="13" t="s">
        <v>46</v>
      </c>
      <c r="K22" s="28" t="s">
        <v>151</v>
      </c>
      <c r="L22" s="54" t="str">
        <f t="shared" si="1"/>
        <v>Zeeshan</v>
      </c>
      <c r="AD22" s="13" t="s">
        <v>125</v>
      </c>
      <c r="AE22" s="28" t="s">
        <v>101</v>
      </c>
      <c r="AS22" s="29"/>
      <c r="AT22" s="28" t="s">
        <v>141</v>
      </c>
    </row>
    <row r="23" spans="5:46" x14ac:dyDescent="0.2">
      <c r="E23" s="13" t="s">
        <v>22</v>
      </c>
      <c r="F23" s="28" t="s">
        <v>183</v>
      </c>
      <c r="G23" s="54" t="str">
        <f t="shared" si="0"/>
        <v>Khalid plastic </v>
      </c>
      <c r="J23" s="13" t="s">
        <v>47</v>
      </c>
      <c r="K23" s="28" t="s">
        <v>152</v>
      </c>
      <c r="L23" s="54" t="str">
        <f t="shared" si="1"/>
        <v>Basit </v>
      </c>
      <c r="AD23" s="13" t="s">
        <v>126</v>
      </c>
      <c r="AE23" s="28" t="s">
        <v>102</v>
      </c>
      <c r="AS23" s="29"/>
      <c r="AT23" s="28" t="s">
        <v>150</v>
      </c>
    </row>
    <row r="24" spans="5:46" x14ac:dyDescent="0.2">
      <c r="E24" s="13" t="s">
        <v>23</v>
      </c>
      <c r="F24" s="28" t="s">
        <v>184</v>
      </c>
      <c r="G24" s="54" t="str">
        <f t="shared" si="0"/>
        <v>Tanveer drum </v>
      </c>
      <c r="J24" s="13" t="s">
        <v>48</v>
      </c>
      <c r="K24" s="28" t="s">
        <v>153</v>
      </c>
      <c r="L24" s="54" t="str">
        <f t="shared" si="1"/>
        <v>Arif Zabardast Highway</v>
      </c>
      <c r="AD24" s="13" t="s">
        <v>127</v>
      </c>
      <c r="AE24" s="28" t="s">
        <v>103</v>
      </c>
      <c r="AS24" s="29"/>
      <c r="AT24" s="28" t="s">
        <v>151</v>
      </c>
    </row>
    <row r="25" spans="5:46" x14ac:dyDescent="0.2">
      <c r="E25" s="13" t="s">
        <v>24</v>
      </c>
      <c r="F25" s="28" t="s">
        <v>185</v>
      </c>
      <c r="G25" s="54" t="str">
        <f t="shared" si="0"/>
        <v>Najam chor drum </v>
      </c>
      <c r="J25" s="13" t="s">
        <v>49</v>
      </c>
      <c r="K25" s="28" t="s">
        <v>154</v>
      </c>
      <c r="L25" s="54" t="str">
        <f t="shared" si="1"/>
        <v>Muhammad Khan Baloch</v>
      </c>
      <c r="AD25" s="13" t="s">
        <v>128</v>
      </c>
      <c r="AE25" s="28" t="s">
        <v>104</v>
      </c>
      <c r="AS25" s="29"/>
      <c r="AT25" s="28" t="s">
        <v>152</v>
      </c>
    </row>
    <row r="26" spans="5:46" x14ac:dyDescent="0.2">
      <c r="E26" s="13" t="s">
        <v>25</v>
      </c>
      <c r="F26" s="28" t="s">
        <v>186</v>
      </c>
      <c r="G26" s="54" t="str">
        <f t="shared" si="0"/>
        <v>Danish drum </v>
      </c>
      <c r="J26" s="13" t="s">
        <v>50</v>
      </c>
      <c r="K26" s="28" t="s">
        <v>155</v>
      </c>
      <c r="L26" s="54" t="str">
        <f t="shared" si="1"/>
        <v>Suleman drum wala </v>
      </c>
      <c r="AD26" s="13" t="s">
        <v>129</v>
      </c>
      <c r="AE26" s="28" t="s">
        <v>105</v>
      </c>
      <c r="AS26" s="29"/>
      <c r="AT26" s="28" t="s">
        <v>153</v>
      </c>
    </row>
    <row r="27" spans="5:46" x14ac:dyDescent="0.2">
      <c r="E27" s="13" t="s">
        <v>26</v>
      </c>
      <c r="F27" s="28" t="s">
        <v>187</v>
      </c>
      <c r="G27" s="54" t="str">
        <f t="shared" si="0"/>
        <v>M Ali Polymer</v>
      </c>
      <c r="J27" s="13" t="s">
        <v>51</v>
      </c>
      <c r="K27" s="28" t="s">
        <v>156</v>
      </c>
      <c r="L27" s="54" t="str">
        <f t="shared" si="1"/>
        <v>Shahid drum wala</v>
      </c>
      <c r="AD27" s="13" t="s">
        <v>130</v>
      </c>
      <c r="AE27" s="28" t="s">
        <v>106</v>
      </c>
      <c r="AS27" s="29"/>
      <c r="AT27" s="28" t="s">
        <v>154</v>
      </c>
    </row>
    <row r="28" spans="5:46" x14ac:dyDescent="0.2">
      <c r="E28" s="13"/>
      <c r="F28" s="14"/>
      <c r="G28" s="18"/>
      <c r="J28" s="13" t="s">
        <v>52</v>
      </c>
      <c r="K28" s="28" t="s">
        <v>157</v>
      </c>
      <c r="L28" s="54" t="str">
        <f t="shared" si="1"/>
        <v>Anwar Pappoo drum wala </v>
      </c>
      <c r="AD28" s="13" t="s">
        <v>131</v>
      </c>
      <c r="AE28" s="28" t="s">
        <v>107</v>
      </c>
      <c r="AS28" s="29"/>
      <c r="AT28" s="28" t="s">
        <v>155</v>
      </c>
    </row>
    <row r="29" spans="5:46" ht="16" thickBot="1" x14ac:dyDescent="0.25">
      <c r="E29" s="15"/>
      <c r="F29" s="16"/>
      <c r="G29" s="9"/>
      <c r="J29" s="13" t="s">
        <v>53</v>
      </c>
      <c r="K29" s="28" t="s">
        <v>158</v>
      </c>
      <c r="L29" s="54" t="str">
        <f t="shared" si="1"/>
        <v>Asif Chor drum </v>
      </c>
      <c r="AD29" s="13"/>
      <c r="AE29" s="14"/>
      <c r="AS29" s="29"/>
      <c r="AT29" s="28" t="s">
        <v>156</v>
      </c>
    </row>
    <row r="30" spans="5:46" x14ac:dyDescent="0.2">
      <c r="E30" s="10"/>
      <c r="F30" s="10"/>
      <c r="J30" s="13" t="s">
        <v>54</v>
      </c>
      <c r="K30" s="28" t="s">
        <v>159</v>
      </c>
      <c r="L30" s="54" t="str">
        <f t="shared" si="1"/>
        <v>Yousuf and Zahoor Drum </v>
      </c>
      <c r="AD30" s="13"/>
      <c r="AE30" s="14"/>
      <c r="AS30" s="29"/>
      <c r="AT30" s="28" t="s">
        <v>157</v>
      </c>
    </row>
    <row r="31" spans="5:46" x14ac:dyDescent="0.2">
      <c r="E31" s="2"/>
      <c r="F31" s="2"/>
      <c r="J31" s="13" t="s">
        <v>55</v>
      </c>
      <c r="K31" s="28" t="s">
        <v>160</v>
      </c>
      <c r="L31" s="54" t="str">
        <f t="shared" si="1"/>
        <v>Iqram Drum</v>
      </c>
      <c r="AD31" s="13"/>
      <c r="AE31" s="14"/>
      <c r="AS31" s="29"/>
      <c r="AT31" s="28" t="s">
        <v>158</v>
      </c>
    </row>
    <row r="32" spans="5:46" x14ac:dyDescent="0.2">
      <c r="J32" s="13" t="s">
        <v>56</v>
      </c>
      <c r="K32" s="28" t="s">
        <v>161</v>
      </c>
      <c r="L32" s="54" t="str">
        <f t="shared" si="1"/>
        <v>Noorbuksh drum </v>
      </c>
      <c r="AD32" s="13"/>
      <c r="AE32" s="14"/>
      <c r="AS32" s="29"/>
      <c r="AT32" s="28" t="s">
        <v>159</v>
      </c>
    </row>
    <row r="33" spans="10:46" x14ac:dyDescent="0.2">
      <c r="J33" s="13" t="s">
        <v>57</v>
      </c>
      <c r="K33" s="28" t="s">
        <v>162</v>
      </c>
      <c r="L33" s="54" t="str">
        <f t="shared" si="1"/>
        <v>Haider Drum </v>
      </c>
      <c r="AD33" s="13"/>
      <c r="AE33" s="14"/>
      <c r="AS33" s="29"/>
      <c r="AT33" s="28" t="s">
        <v>160</v>
      </c>
    </row>
    <row r="34" spans="10:46" ht="16" thickBot="1" x14ac:dyDescent="0.25">
      <c r="J34" s="13" t="s">
        <v>58</v>
      </c>
      <c r="K34" s="28" t="s">
        <v>163</v>
      </c>
      <c r="L34" s="54" t="str">
        <f t="shared" si="1"/>
        <v>Abdur Rab Diesel</v>
      </c>
      <c r="AD34" s="15"/>
      <c r="AE34" s="16"/>
      <c r="AS34" s="29"/>
      <c r="AT34" s="28" t="s">
        <v>161</v>
      </c>
    </row>
    <row r="35" spans="10:46" x14ac:dyDescent="0.2">
      <c r="J35" s="13"/>
      <c r="K35" s="14"/>
      <c r="L35" s="18"/>
      <c r="AS35" s="29"/>
      <c r="AT35" s="28" t="s">
        <v>162</v>
      </c>
    </row>
    <row r="36" spans="10:46" x14ac:dyDescent="0.2">
      <c r="J36" s="13"/>
      <c r="K36" s="14"/>
      <c r="L36" s="18"/>
      <c r="AS36" s="29"/>
      <c r="AT36" s="28" t="s">
        <v>163</v>
      </c>
    </row>
    <row r="37" spans="10:46" x14ac:dyDescent="0.2">
      <c r="J37" s="13"/>
      <c r="K37" s="14"/>
      <c r="L37" s="18"/>
      <c r="AS37" s="29"/>
      <c r="AT37" s="28" t="s">
        <v>164</v>
      </c>
    </row>
    <row r="38" spans="10:46" x14ac:dyDescent="0.2">
      <c r="J38" s="13"/>
      <c r="K38" s="14"/>
      <c r="L38" s="18"/>
      <c r="AS38" s="29"/>
      <c r="AT38" s="28" t="s">
        <v>165</v>
      </c>
    </row>
    <row r="39" spans="10:46" ht="16" thickBot="1" x14ac:dyDescent="0.25">
      <c r="J39" s="15"/>
      <c r="K39" s="16"/>
      <c r="L39" s="9"/>
      <c r="AS39" s="29"/>
      <c r="AT39" s="28" t="s">
        <v>166</v>
      </c>
    </row>
    <row r="40" spans="10:46" x14ac:dyDescent="0.2">
      <c r="AS40" s="29"/>
      <c r="AT40" s="28" t="s">
        <v>167</v>
      </c>
    </row>
    <row r="41" spans="10:46" x14ac:dyDescent="0.2">
      <c r="AS41" s="29"/>
      <c r="AT41" s="28" t="s">
        <v>168</v>
      </c>
    </row>
    <row r="42" spans="10:46" x14ac:dyDescent="0.2">
      <c r="AS42" s="29"/>
      <c r="AT42" s="28" t="s">
        <v>170</v>
      </c>
    </row>
    <row r="43" spans="10:46" x14ac:dyDescent="0.2">
      <c r="AS43" s="29"/>
      <c r="AT43" s="28" t="s">
        <v>171</v>
      </c>
    </row>
    <row r="44" spans="10:46" x14ac:dyDescent="0.2">
      <c r="AS44" s="29"/>
      <c r="AT44" s="28" t="s">
        <v>172</v>
      </c>
    </row>
    <row r="45" spans="10:46" x14ac:dyDescent="0.2">
      <c r="AS45" s="29"/>
      <c r="AT45" s="28" t="s">
        <v>173</v>
      </c>
    </row>
    <row r="46" spans="10:46" x14ac:dyDescent="0.2">
      <c r="AS46" s="29"/>
      <c r="AT46" s="28" t="s">
        <v>174</v>
      </c>
    </row>
    <row r="47" spans="10:46" x14ac:dyDescent="0.2">
      <c r="AS47" s="29"/>
      <c r="AT47" s="28" t="s">
        <v>175</v>
      </c>
    </row>
    <row r="48" spans="10:46" x14ac:dyDescent="0.2">
      <c r="AS48" s="29"/>
      <c r="AT48" s="28" t="s">
        <v>176</v>
      </c>
    </row>
    <row r="49" spans="45:46" x14ac:dyDescent="0.2">
      <c r="AS49" s="29"/>
      <c r="AT49" s="28" t="s">
        <v>177</v>
      </c>
    </row>
    <row r="50" spans="45:46" x14ac:dyDescent="0.2">
      <c r="AS50" s="29"/>
      <c r="AT50" s="28" t="s">
        <v>178</v>
      </c>
    </row>
    <row r="51" spans="45:46" x14ac:dyDescent="0.2">
      <c r="AS51" s="29"/>
      <c r="AT51" s="28" t="s">
        <v>179</v>
      </c>
    </row>
    <row r="52" spans="45:46" x14ac:dyDescent="0.2">
      <c r="AS52" s="29"/>
      <c r="AT52" s="28" t="s">
        <v>180</v>
      </c>
    </row>
    <row r="53" spans="45:46" x14ac:dyDescent="0.2">
      <c r="AS53" s="29"/>
      <c r="AT53" s="28" t="s">
        <v>181</v>
      </c>
    </row>
    <row r="54" spans="45:46" x14ac:dyDescent="0.2">
      <c r="AS54" s="29"/>
      <c r="AT54" s="28" t="s">
        <v>182</v>
      </c>
    </row>
    <row r="55" spans="45:46" x14ac:dyDescent="0.2">
      <c r="AS55" s="29"/>
      <c r="AT55" s="28" t="s">
        <v>183</v>
      </c>
    </row>
    <row r="56" spans="45:46" x14ac:dyDescent="0.2">
      <c r="AS56" s="29"/>
      <c r="AT56" s="28" t="s">
        <v>184</v>
      </c>
    </row>
    <row r="57" spans="45:46" x14ac:dyDescent="0.2">
      <c r="AS57" s="29"/>
      <c r="AT57" s="28" t="s">
        <v>185</v>
      </c>
    </row>
    <row r="58" spans="45:46" x14ac:dyDescent="0.2">
      <c r="AS58" s="29"/>
      <c r="AT58" s="28" t="s">
        <v>186</v>
      </c>
    </row>
    <row r="59" spans="45:46" ht="16" thickBot="1" x14ac:dyDescent="0.25">
      <c r="AS59" s="30"/>
      <c r="AT59" s="53" t="s">
        <v>187</v>
      </c>
    </row>
  </sheetData>
  <mergeCells count="8">
    <mergeCell ref="B14:C14"/>
    <mergeCell ref="B5:B6"/>
    <mergeCell ref="C5:C6"/>
    <mergeCell ref="T3:V3"/>
    <mergeCell ref="O3:Q3"/>
    <mergeCell ref="J3:L3"/>
    <mergeCell ref="E3:G3"/>
    <mergeCell ref="B3:C3"/>
  </mergeCells>
  <phoneticPr fontId="9" type="noConversion"/>
  <hyperlinks>
    <hyperlink ref="C5:C6" location="Analytics!A1" display="Analytics Sheet" xr:uid="{FCD218A0-BFC1-B14E-96DE-355A81CD3E77}"/>
    <hyperlink ref="B5:B6" location="Inventory!A1" display="Inventory Sheet" xr:uid="{E49925C8-CAD0-D24B-87A8-E11C2B0FD85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EF434-6AAE-E049-BC53-4340526AB632}">
  <dimension ref="B1:H60"/>
  <sheetViews>
    <sheetView zoomScale="75" workbookViewId="0">
      <selection activeCell="F1" sqref="F1:H1"/>
    </sheetView>
  </sheetViews>
  <sheetFormatPr baseColWidth="10" defaultColWidth="10.83203125" defaultRowHeight="15" x14ac:dyDescent="0.2"/>
  <cols>
    <col min="3" max="3" width="15.83203125" customWidth="1"/>
    <col min="4" max="4" width="43.1640625" customWidth="1"/>
    <col min="5" max="5" width="17.33203125" customWidth="1"/>
  </cols>
  <sheetData>
    <row r="1" spans="2:8" ht="19" x14ac:dyDescent="0.2">
      <c r="B1" s="98" t="s">
        <v>219</v>
      </c>
      <c r="C1" s="98"/>
      <c r="D1" s="98"/>
      <c r="F1" s="87" t="s">
        <v>202</v>
      </c>
      <c r="G1" s="87"/>
      <c r="H1" s="87"/>
    </row>
    <row r="2" spans="2:8" ht="16" thickBot="1" x14ac:dyDescent="0.25"/>
    <row r="3" spans="2:8" ht="17" thickBot="1" x14ac:dyDescent="0.25">
      <c r="B3" s="61" t="s">
        <v>81</v>
      </c>
      <c r="C3" s="61" t="s">
        <v>220</v>
      </c>
      <c r="D3" s="61" t="s">
        <v>221</v>
      </c>
      <c r="E3" s="62" t="s">
        <v>201</v>
      </c>
    </row>
    <row r="4" spans="2:8" ht="16" x14ac:dyDescent="0.2">
      <c r="B4" s="63" t="s">
        <v>209</v>
      </c>
      <c r="C4" s="63" t="str" cm="1">
        <f t="array" ref="C4:C60">_xlfn.VSTACK(
 "V"&amp;TEXT(_xlfn.SEQUENCE(23), "000"),
 "C"&amp;TEXT(_xlfn.SEQUENCE(30), "000"),
 "T"&amp;TEXT(_xlfn.SEQUENCE(2), "000"),
 "L"&amp;TEXT(_xlfn.SEQUENCE(2), "000")
)</f>
        <v>V001</v>
      </c>
      <c r="D4" s="63" t="str" cm="1">
        <f t="array" aca="1" ref="D4" ca="1">IFERROR(INDIRECT("'"&amp;C4&amp;"'!A1"), "")</f>
        <v>Beltexeco Limited - zone </v>
      </c>
      <c r="E4" s="64" cm="1">
        <f t="array" aca="1" ref="E4" ca="1">IFERROR(INDIRECT("'"&amp;C4&amp;"'!D4"), "")</f>
        <v>0</v>
      </c>
    </row>
    <row r="5" spans="2:8" ht="16" x14ac:dyDescent="0.2">
      <c r="B5" s="59" t="s">
        <v>209</v>
      </c>
      <c r="C5" s="59" t="str">
        <v>V002</v>
      </c>
      <c r="D5" s="59" t="str" cm="1">
        <f t="array" aca="1" ref="D5" ca="1">IFERROR(INDIRECT("'"&amp;C5&amp;"'!A1"), "")</f>
        <v>Prime safety - zone </v>
      </c>
      <c r="E5" s="57" cm="1">
        <f t="array" aca="1" ref="E5" ca="1">IFERROR(INDIRECT("'"&amp;C5&amp;"'!D4"), "")</f>
        <v>0</v>
      </c>
    </row>
    <row r="6" spans="2:8" ht="16" x14ac:dyDescent="0.2">
      <c r="B6" s="59" t="s">
        <v>209</v>
      </c>
      <c r="C6" s="59" t="str">
        <v>V003</v>
      </c>
      <c r="D6" s="59" t="str" cm="1">
        <f t="array" aca="1" ref="D6" ca="1">IFERROR(INDIRECT("'"&amp;C6&amp;"'!A1"), "")</f>
        <v>Al Nazeer - zone </v>
      </c>
      <c r="E6" s="57" cm="1">
        <f t="array" aca="1" ref="E6" ca="1">IFERROR(INDIRECT("'"&amp;C6&amp;"'!D4"), "")</f>
        <v>0</v>
      </c>
    </row>
    <row r="7" spans="2:8" ht="16" x14ac:dyDescent="0.2">
      <c r="B7" s="59" t="s">
        <v>209</v>
      </c>
      <c r="C7" s="59" t="str">
        <v>V004</v>
      </c>
      <c r="D7" s="59" t="str" cm="1">
        <f t="array" aca="1" ref="D7" ca="1">IFERROR(INDIRECT("'"&amp;C7&amp;"'!A1"), "")</f>
        <v>Zahabia chemical - zone </v>
      </c>
      <c r="E7" s="57" cm="1">
        <f t="array" aca="1" ref="E7" ca="1">IFERROR(INDIRECT("'"&amp;C7&amp;"'!D4"), "")</f>
        <v>0</v>
      </c>
    </row>
    <row r="8" spans="2:8" ht="16" x14ac:dyDescent="0.2">
      <c r="B8" s="59" t="s">
        <v>209</v>
      </c>
      <c r="C8" s="59" t="str">
        <v>V005</v>
      </c>
      <c r="D8" s="59" t="str" cm="1">
        <f t="array" aca="1" ref="D8" ca="1">IFERROR(INDIRECT("'"&amp;C8&amp;"'!A1"), "")</f>
        <v>Midas safety - zone</v>
      </c>
      <c r="E8" s="57" cm="1">
        <f t="array" aca="1" ref="E8" ca="1">IFERROR(INDIRECT("'"&amp;C8&amp;"'!D4"), "")</f>
        <v>0</v>
      </c>
    </row>
    <row r="9" spans="2:8" ht="16" x14ac:dyDescent="0.2">
      <c r="B9" s="59" t="s">
        <v>209</v>
      </c>
      <c r="C9" s="59" t="str">
        <v>V006</v>
      </c>
      <c r="D9" s="59" t="str" cm="1">
        <f t="array" aca="1" ref="D9" ca="1">IFERROR(INDIRECT("'"&amp;C9&amp;"'!A1"), "")</f>
        <v>Zahabia Chemical Karachi </v>
      </c>
      <c r="E9" s="57" cm="1">
        <f t="array" aca="1" ref="E9" ca="1">IFERROR(INDIRECT("'"&amp;C9&amp;"'!D4"), "")</f>
        <v>0</v>
      </c>
    </row>
    <row r="10" spans="2:8" ht="16" x14ac:dyDescent="0.2">
      <c r="B10" s="59" t="s">
        <v>209</v>
      </c>
      <c r="C10" s="59" t="str">
        <v>V007</v>
      </c>
      <c r="D10" s="59" t="str" cm="1">
        <f t="array" aca="1" ref="D10" ca="1">IFERROR(INDIRECT("'"&amp;C10&amp;"'!A1"), "")</f>
        <v>Razi and sons - seats </v>
      </c>
      <c r="E10" s="57" cm="1">
        <f t="array" aca="1" ref="E10" ca="1">IFERROR(INDIRECT("'"&amp;C10&amp;"'!D4"), "")</f>
        <v>630000</v>
      </c>
    </row>
    <row r="11" spans="2:8" ht="16" x14ac:dyDescent="0.2">
      <c r="B11" s="59" t="s">
        <v>209</v>
      </c>
      <c r="C11" s="59" t="str">
        <v>V008</v>
      </c>
      <c r="D11" s="59" t="str" cm="1">
        <f t="array" aca="1" ref="D11" ca="1">IFERROR(INDIRECT("'"&amp;C11&amp;"'!A1"), "")</f>
        <v>SCADA Port Qasim </v>
      </c>
      <c r="E11" s="57" cm="1">
        <f t="array" aca="1" ref="E11" ca="1">IFERROR(INDIRECT("'"&amp;C11&amp;"'!D4"), "")</f>
        <v>0</v>
      </c>
    </row>
    <row r="12" spans="2:8" ht="16" x14ac:dyDescent="0.2">
      <c r="B12" s="59" t="s">
        <v>209</v>
      </c>
      <c r="C12" s="59" t="str">
        <v>V009</v>
      </c>
      <c r="D12" s="59" t="str" cm="1">
        <f t="array" aca="1" ref="D12" ca="1">IFERROR(INDIRECT("'"&amp;C12&amp;"'!A1"), "")</f>
        <v>Saqib EPA - Port Qasim </v>
      </c>
      <c r="E12" s="57" cm="1">
        <f t="array" aca="1" ref="E12" ca="1">IFERROR(INDIRECT("'"&amp;C12&amp;"'!D4"), "")</f>
        <v>0</v>
      </c>
    </row>
    <row r="13" spans="2:8" ht="16" x14ac:dyDescent="0.2">
      <c r="B13" s="59" t="s">
        <v>209</v>
      </c>
      <c r="C13" s="59" t="str">
        <v>V010</v>
      </c>
      <c r="D13" s="59" t="str" cm="1">
        <f t="array" aca="1" ref="D13" ca="1">IFERROR(INDIRECT("'"&amp;C13&amp;"'!A1"), "")</f>
        <v>Tufail Port Qasim</v>
      </c>
      <c r="E13" s="57" cm="1">
        <f t="array" aca="1" ref="E13" ca="1">IFERROR(INDIRECT("'"&amp;C13&amp;"'!D4"), "")</f>
        <v>-345000</v>
      </c>
    </row>
    <row r="14" spans="2:8" ht="16" x14ac:dyDescent="0.2">
      <c r="B14" s="59" t="s">
        <v>209</v>
      </c>
      <c r="C14" s="59" t="str">
        <v>V011</v>
      </c>
      <c r="D14" s="59" t="str" cm="1">
        <f t="array" aca="1" ref="D14" ca="1">IFERROR(INDIRECT("'"&amp;C14&amp;"'!A1"), "")</f>
        <v>Usman Glycerine GSK </v>
      </c>
      <c r="E14" s="57" cm="1">
        <f t="array" aca="1" ref="E14" ca="1">IFERROR(INDIRECT("'"&amp;C14&amp;"'!D4"), "")</f>
        <v>0</v>
      </c>
    </row>
    <row r="15" spans="2:8" ht="16" x14ac:dyDescent="0.2">
      <c r="B15" s="59" t="s">
        <v>209</v>
      </c>
      <c r="C15" s="59" t="str">
        <v>V012</v>
      </c>
      <c r="D15" s="59" t="str" cm="1">
        <f t="array" aca="1" ref="D15" ca="1">IFERROR(INDIRECT("'"&amp;C15&amp;"'!A1"), "")</f>
        <v>Master</v>
      </c>
      <c r="E15" s="57" cm="1">
        <f t="array" aca="1" ref="E15" ca="1">IFERROR(INDIRECT("'"&amp;C15&amp;"'!D4"), "")</f>
        <v>0</v>
      </c>
    </row>
    <row r="16" spans="2:8" ht="16" x14ac:dyDescent="0.2">
      <c r="B16" s="59" t="s">
        <v>209</v>
      </c>
      <c r="C16" s="59" t="str">
        <v>V013</v>
      </c>
      <c r="D16" s="59" t="str" cm="1">
        <f t="array" aca="1" ref="D16" ca="1">IFERROR(INDIRECT("'"&amp;C16&amp;"'!A1"), "")</f>
        <v>Diamond foam</v>
      </c>
      <c r="E16" s="57" cm="1">
        <f t="array" aca="1" ref="E16" ca="1">IFERROR(INDIRECT("'"&amp;C16&amp;"'!D4"), "")</f>
        <v>0</v>
      </c>
    </row>
    <row r="17" spans="2:5" ht="16" x14ac:dyDescent="0.2">
      <c r="B17" s="59" t="s">
        <v>209</v>
      </c>
      <c r="C17" s="59" t="str">
        <v>V014</v>
      </c>
      <c r="D17" s="59" t="str" cm="1">
        <f t="array" aca="1" ref="D17" ca="1">IFERROR(INDIRECT("'"&amp;C17&amp;"'!A1"), "")</f>
        <v>Omer Asghar Durm </v>
      </c>
      <c r="E17" s="57" cm="1">
        <f t="array" aca="1" ref="E17" ca="1">IFERROR(INDIRECT("'"&amp;C17&amp;"'!D4"), "")</f>
        <v>0</v>
      </c>
    </row>
    <row r="18" spans="2:5" ht="16" x14ac:dyDescent="0.2">
      <c r="B18" s="59" t="s">
        <v>209</v>
      </c>
      <c r="C18" s="59" t="str">
        <v>V015</v>
      </c>
      <c r="D18" s="59" t="str" cm="1">
        <f t="array" aca="1" ref="D18" ca="1">IFERROR(INDIRECT("'"&amp;C18&amp;"'!A1"), "")</f>
        <v>Baloch drum </v>
      </c>
      <c r="E18" s="57" cm="1">
        <f t="array" aca="1" ref="E18" ca="1">IFERROR(INDIRECT("'"&amp;C18&amp;"'!D4"), "")</f>
        <v>0</v>
      </c>
    </row>
    <row r="19" spans="2:5" ht="16" x14ac:dyDescent="0.2">
      <c r="B19" s="59" t="s">
        <v>209</v>
      </c>
      <c r="C19" s="59" t="str">
        <v>V016</v>
      </c>
      <c r="D19" s="59" t="str" cm="1">
        <f t="array" aca="1" ref="D19" ca="1">IFERROR(INDIRECT("'"&amp;C19&amp;"'!A1"), "")</f>
        <v>Faraz bhai zakir </v>
      </c>
      <c r="E19" s="57" cm="1">
        <f t="array" aca="1" ref="E19" ca="1">IFERROR(INDIRECT("'"&amp;C19&amp;"'!D4"), "")</f>
        <v>0</v>
      </c>
    </row>
    <row r="20" spans="2:5" ht="16" x14ac:dyDescent="0.2">
      <c r="B20" s="59" t="s">
        <v>209</v>
      </c>
      <c r="C20" s="59" t="str">
        <v>V017</v>
      </c>
      <c r="D20" s="59" t="str" cm="1">
        <f t="array" aca="1" ref="D20" ca="1">IFERROR(INDIRECT("'"&amp;C20&amp;"'!A1"), "")</f>
        <v>Muhammad Ali Sher Shah </v>
      </c>
      <c r="E20" s="57" cm="1">
        <f t="array" aca="1" ref="E20" ca="1">IFERROR(INDIRECT("'"&amp;C20&amp;"'!D4"), "")</f>
        <v>0</v>
      </c>
    </row>
    <row r="21" spans="2:5" ht="16" x14ac:dyDescent="0.2">
      <c r="B21" s="59" t="s">
        <v>209</v>
      </c>
      <c r="C21" s="59" t="str">
        <v>V018</v>
      </c>
      <c r="D21" s="59" t="str" cm="1">
        <f t="array" aca="1" ref="D21" ca="1">IFERROR(INDIRECT("'"&amp;C21&amp;"'!A1"), "")</f>
        <v>Sher khan </v>
      </c>
      <c r="E21" s="57" cm="1">
        <f t="array" aca="1" ref="E21" ca="1">IFERROR(INDIRECT("'"&amp;C21&amp;"'!D4"), "")</f>
        <v>0</v>
      </c>
    </row>
    <row r="22" spans="2:5" ht="16" x14ac:dyDescent="0.2">
      <c r="B22" s="59" t="s">
        <v>209</v>
      </c>
      <c r="C22" s="59" t="str">
        <v>V019</v>
      </c>
      <c r="D22" s="59" t="str" cm="1">
        <f t="array" aca="1" ref="D22" ca="1">IFERROR(INDIRECT("'"&amp;C22&amp;"'!A1"), "")</f>
        <v>Khalid plastic </v>
      </c>
      <c r="E22" s="57" cm="1">
        <f t="array" aca="1" ref="E22" ca="1">IFERROR(INDIRECT("'"&amp;C22&amp;"'!D4"), "")</f>
        <v>475700</v>
      </c>
    </row>
    <row r="23" spans="2:5" ht="16" x14ac:dyDescent="0.2">
      <c r="B23" s="59" t="s">
        <v>209</v>
      </c>
      <c r="C23" s="59" t="str">
        <v>V020</v>
      </c>
      <c r="D23" s="59" t="str" cm="1">
        <f t="array" aca="1" ref="D23" ca="1">IFERROR(INDIRECT("'"&amp;C23&amp;"'!A1"), "")</f>
        <v>Tanveer drum </v>
      </c>
      <c r="E23" s="57" cm="1">
        <f t="array" aca="1" ref="E23" ca="1">IFERROR(INDIRECT("'"&amp;C23&amp;"'!D4"), "")</f>
        <v>0</v>
      </c>
    </row>
    <row r="24" spans="2:5" ht="16" x14ac:dyDescent="0.2">
      <c r="B24" s="59" t="s">
        <v>209</v>
      </c>
      <c r="C24" s="59" t="str">
        <v>V021</v>
      </c>
      <c r="D24" s="59" t="str" cm="1">
        <f t="array" aca="1" ref="D24" ca="1">IFERROR(INDIRECT("'"&amp;C24&amp;"'!A1"), "")</f>
        <v>Najam chor drum </v>
      </c>
      <c r="E24" s="57" cm="1">
        <f t="array" aca="1" ref="E24" ca="1">IFERROR(INDIRECT("'"&amp;C24&amp;"'!D4"), "")</f>
        <v>0</v>
      </c>
    </row>
    <row r="25" spans="2:5" ht="16" x14ac:dyDescent="0.2">
      <c r="B25" s="59" t="s">
        <v>209</v>
      </c>
      <c r="C25" s="59" t="str">
        <v>V022</v>
      </c>
      <c r="D25" s="59" t="str" cm="1">
        <f t="array" aca="1" ref="D25" ca="1">IFERROR(INDIRECT("'"&amp;C25&amp;"'!A1"), "")</f>
        <v>Danish drum </v>
      </c>
      <c r="E25" s="57" cm="1">
        <f t="array" aca="1" ref="E25" ca="1">IFERROR(INDIRECT("'"&amp;C25&amp;"'!D4"), "")</f>
        <v>0</v>
      </c>
    </row>
    <row r="26" spans="2:5" ht="17" thickBot="1" x14ac:dyDescent="0.25">
      <c r="B26" s="59" t="s">
        <v>209</v>
      </c>
      <c r="C26" s="60" t="str">
        <v>V023</v>
      </c>
      <c r="D26" s="60" t="str" cm="1">
        <f t="array" aca="1" ref="D26" ca="1">IFERROR(INDIRECT("'"&amp;C26&amp;"'!A1"), "")</f>
        <v>M Ali Polymer</v>
      </c>
      <c r="E26" s="58" cm="1">
        <f t="array" aca="1" ref="E26" ca="1">IFERROR(INDIRECT("'"&amp;C26&amp;"'!D4"), "")</f>
        <v>0</v>
      </c>
    </row>
    <row r="27" spans="2:5" ht="16" x14ac:dyDescent="0.2">
      <c r="B27" s="63" t="s">
        <v>208</v>
      </c>
      <c r="C27" s="63" t="str">
        <v>C001</v>
      </c>
      <c r="D27" s="63" t="str" cm="1">
        <f t="array" aca="1" ref="D27" ca="1">IFERROR(INDIRECT("'"&amp;C27&amp;"'!A1"), "")</f>
        <v>Anjum Chemical- Pak petro </v>
      </c>
      <c r="E27" s="64" cm="1">
        <f t="array" aca="1" ref="E27" ca="1">IFERROR(INDIRECT("'"&amp;C27&amp;"'!D4"), "")</f>
        <v>0</v>
      </c>
    </row>
    <row r="28" spans="2:5" ht="16" x14ac:dyDescent="0.2">
      <c r="B28" s="59" t="s">
        <v>208</v>
      </c>
      <c r="C28" s="59" t="str">
        <v>C002</v>
      </c>
      <c r="D28" s="59" t="str" cm="1">
        <f t="array" aca="1" ref="D28" ca="1">IFERROR(INDIRECT("'"&amp;C28&amp;"'!A1"), "")</f>
        <v>Anjum Chemical - Pak styrene</v>
      </c>
      <c r="E28" s="57" cm="1">
        <f t="array" aca="1" ref="E28" ca="1">IFERROR(INDIRECT("'"&amp;C28&amp;"'!D4"), "")</f>
        <v>0</v>
      </c>
    </row>
    <row r="29" spans="2:5" ht="16" x14ac:dyDescent="0.2">
      <c r="B29" s="59" t="s">
        <v>208</v>
      </c>
      <c r="C29" s="59" t="str">
        <v>C003</v>
      </c>
      <c r="D29" s="59" t="str" cm="1">
        <f t="array" aca="1" ref="D29" ca="1">IFERROR(INDIRECT("'"&amp;C29&amp;"'!A1"), "")</f>
        <v>Polymer international </v>
      </c>
      <c r="E29" s="57" cm="1">
        <f t="array" aca="1" ref="E29" ca="1">IFERROR(INDIRECT("'"&amp;C29&amp;"'!D4"), "")</f>
        <v>5497024.5099999998</v>
      </c>
    </row>
    <row r="30" spans="2:5" ht="16" x14ac:dyDescent="0.2">
      <c r="B30" s="59" t="s">
        <v>208</v>
      </c>
      <c r="C30" s="59" t="str">
        <v>C004</v>
      </c>
      <c r="D30" s="59" t="str" cm="1">
        <f t="array" aca="1" ref="D30" ca="1">IFERROR(INDIRECT("'"&amp;C30&amp;"'!A1"), "")</f>
        <v>Sika Pakistan </v>
      </c>
      <c r="E30" s="57" cm="1">
        <f t="array" aca="1" ref="E30" ca="1">IFERROR(INDIRECT("'"&amp;C30&amp;"'!D4"), "")</f>
        <v>6833386</v>
      </c>
    </row>
    <row r="31" spans="2:5" ht="16" x14ac:dyDescent="0.2">
      <c r="B31" s="59" t="s">
        <v>208</v>
      </c>
      <c r="C31" s="59" t="str">
        <v>C005</v>
      </c>
      <c r="D31" s="59" t="str" cm="1">
        <f t="array" aca="1" ref="D31" ca="1">IFERROR(INDIRECT("'"&amp;C31&amp;"'!A1"), "")</f>
        <v>Scada </v>
      </c>
      <c r="E31" s="57" cm="1">
        <f t="array" aca="1" ref="E31" ca="1">IFERROR(INDIRECT("'"&amp;C31&amp;"'!D4"), "")</f>
        <v>3679830</v>
      </c>
    </row>
    <row r="32" spans="2:5" ht="16" x14ac:dyDescent="0.2">
      <c r="B32" s="59" t="s">
        <v>208</v>
      </c>
      <c r="C32" s="59" t="str">
        <v>C006</v>
      </c>
      <c r="D32" s="59" t="str" cm="1">
        <f t="array" aca="1" ref="D32" ca="1">IFERROR(INDIRECT("'"&amp;C32&amp;"'!A1"), "")</f>
        <v>HTG Chor </v>
      </c>
      <c r="E32" s="57" cm="1">
        <f t="array" aca="1" ref="E32" ca="1">IFERROR(INDIRECT("'"&amp;C32&amp;"'!D4"), "")</f>
        <v>274320.39999999991</v>
      </c>
    </row>
    <row r="33" spans="2:5" ht="16" x14ac:dyDescent="0.2">
      <c r="B33" s="59" t="s">
        <v>208</v>
      </c>
      <c r="C33" s="59" t="str">
        <v>C007</v>
      </c>
      <c r="D33" s="59" t="str" cm="1">
        <f t="array" aca="1" ref="D33" ca="1">IFERROR(INDIRECT("'"&amp;C33&amp;"'!A1"), "")</f>
        <v>Arcroma </v>
      </c>
      <c r="E33" s="57" cm="1">
        <f t="array" aca="1" ref="E33" ca="1">IFERROR(INDIRECT("'"&amp;C33&amp;"'!D4"), "")</f>
        <v>0</v>
      </c>
    </row>
    <row r="34" spans="2:5" ht="16" x14ac:dyDescent="0.2">
      <c r="B34" s="59" t="s">
        <v>208</v>
      </c>
      <c r="C34" s="59" t="str">
        <v>C008</v>
      </c>
      <c r="D34" s="59" t="str" cm="1">
        <f t="array" aca="1" ref="D34" ca="1">IFERROR(INDIRECT("'"&amp;C34&amp;"'!A1"), "")</f>
        <v>Clariant Pakistan</v>
      </c>
      <c r="E34" s="57" cm="1">
        <f t="array" aca="1" ref="E34" ca="1">IFERROR(INDIRECT("'"&amp;C34&amp;"'!D4"), "")</f>
        <v>0</v>
      </c>
    </row>
    <row r="35" spans="2:5" ht="16" x14ac:dyDescent="0.2">
      <c r="B35" s="59" t="s">
        <v>208</v>
      </c>
      <c r="C35" s="59" t="str">
        <v>C009</v>
      </c>
      <c r="D35" s="59" t="str" cm="1">
        <f t="array" aca="1" ref="D35" ca="1">IFERROR(INDIRECT("'"&amp;C35&amp;"'!A1"), "")</f>
        <v>Iftikhar and company </v>
      </c>
      <c r="E35" s="57" cm="1">
        <f t="array" aca="1" ref="E35" ca="1">IFERROR(INDIRECT("'"&amp;C35&amp;"'!D4"), "")</f>
        <v>0</v>
      </c>
    </row>
    <row r="36" spans="2:5" ht="16" x14ac:dyDescent="0.2">
      <c r="B36" s="59" t="s">
        <v>208</v>
      </c>
      <c r="C36" s="59" t="str">
        <v>C010</v>
      </c>
      <c r="D36" s="59" t="str" cm="1">
        <f t="array" aca="1" ref="D36" ca="1">IFERROR(INDIRECT("'"&amp;C36&amp;"'!A1"), "")</f>
        <v>Descon </v>
      </c>
      <c r="E36" s="57" cm="1">
        <f t="array" aca="1" ref="E36" ca="1">IFERROR(INDIRECT("'"&amp;C36&amp;"'!D4"), "")</f>
        <v>0</v>
      </c>
    </row>
    <row r="37" spans="2:5" ht="16" x14ac:dyDescent="0.2">
      <c r="B37" s="59" t="s">
        <v>208</v>
      </c>
      <c r="C37" s="59" t="str">
        <v>C011</v>
      </c>
      <c r="D37" s="59" t="str" cm="1">
        <f t="array" aca="1" ref="D37" ca="1">IFERROR(INDIRECT("'"&amp;C37&amp;"'!A1"), "")</f>
        <v>Nimmer Chemical </v>
      </c>
      <c r="E37" s="57" cm="1">
        <f t="array" aca="1" ref="E37" ca="1">IFERROR(INDIRECT("'"&amp;C37&amp;"'!D4"), "")</f>
        <v>0</v>
      </c>
    </row>
    <row r="38" spans="2:5" ht="16" x14ac:dyDescent="0.2">
      <c r="B38" s="59" t="s">
        <v>208</v>
      </c>
      <c r="C38" s="59" t="str">
        <v>C012</v>
      </c>
      <c r="D38" s="59" t="str" cm="1">
        <f t="array" aca="1" ref="D38" ca="1">IFERROR(INDIRECT("'"&amp;C38&amp;"'!A1"), "")</f>
        <v>Malcolm Industries / Arshad Chemical</v>
      </c>
      <c r="E38" s="57" cm="1">
        <f t="array" aca="1" ref="E38" ca="1">IFERROR(INDIRECT("'"&amp;C38&amp;"'!D4"), "")</f>
        <v>0</v>
      </c>
    </row>
    <row r="39" spans="2:5" ht="16" x14ac:dyDescent="0.2">
      <c r="B39" s="59" t="s">
        <v>208</v>
      </c>
      <c r="C39" s="59" t="str">
        <v>C013</v>
      </c>
      <c r="D39" s="59" t="str" cm="1">
        <f t="array" aca="1" ref="D39" ca="1">IFERROR(INDIRECT("'"&amp;C39&amp;"'!A1"), "")</f>
        <v>Ultra Chemical Nooriabad (Waqas)  </v>
      </c>
      <c r="E39" s="57" cm="1">
        <f t="array" aca="1" ref="E39" ca="1">IFERROR(INDIRECT("'"&amp;C39&amp;"'!D4"), "")</f>
        <v>0</v>
      </c>
    </row>
    <row r="40" spans="2:5" ht="16" x14ac:dyDescent="0.2">
      <c r="B40" s="59" t="s">
        <v>208</v>
      </c>
      <c r="C40" s="59" t="str">
        <v>C014</v>
      </c>
      <c r="D40" s="59" t="str" cm="1">
        <f t="array" aca="1" ref="D40" ca="1">IFERROR(INDIRECT("'"&amp;C40&amp;"'!A1"), "")</f>
        <v>Waseem resin </v>
      </c>
      <c r="E40" s="57" cm="1">
        <f t="array" aca="1" ref="E40" ca="1">IFERROR(INDIRECT("'"&amp;C40&amp;"'!D4"), "")</f>
        <v>-1390330</v>
      </c>
    </row>
    <row r="41" spans="2:5" ht="16" x14ac:dyDescent="0.2">
      <c r="B41" s="59" t="s">
        <v>208</v>
      </c>
      <c r="C41" s="59" t="str">
        <v>C015</v>
      </c>
      <c r="D41" s="59" t="str" cm="1">
        <f t="array" aca="1" ref="D41" ca="1">IFERROR(INDIRECT("'"&amp;C41&amp;"'!A1"), "")</f>
        <v>Naveed Resin (Waseem)</v>
      </c>
      <c r="E41" s="57" cm="1">
        <f t="array" aca="1" ref="E41" ca="1">IFERROR(INDIRECT("'"&amp;C41&amp;"'!D4"), "")</f>
        <v>-7150</v>
      </c>
    </row>
    <row r="42" spans="2:5" ht="16" x14ac:dyDescent="0.2">
      <c r="B42" s="59" t="s">
        <v>208</v>
      </c>
      <c r="C42" s="59" t="str">
        <v>C016</v>
      </c>
      <c r="D42" s="59" t="str" cm="1">
        <f t="array" aca="1" ref="D42" ca="1">IFERROR(INDIRECT("'"&amp;C42&amp;"'!A1"), "")</f>
        <v>HTG Chor </v>
      </c>
      <c r="E42" s="57" cm="1">
        <f t="array" aca="1" ref="E42" ca="1">IFERROR(INDIRECT("'"&amp;C42&amp;"'!D4"), "")</f>
        <v>0</v>
      </c>
    </row>
    <row r="43" spans="2:5" ht="16" x14ac:dyDescent="0.2">
      <c r="B43" s="59" t="s">
        <v>208</v>
      </c>
      <c r="C43" s="59" t="str">
        <v>C017</v>
      </c>
      <c r="D43" s="59" t="str" cm="1">
        <f t="array" aca="1" ref="D43" ca="1">IFERROR(INDIRECT("'"&amp;C43&amp;"'!A1"), "")</f>
        <v>Mehboob Brothers </v>
      </c>
      <c r="E43" s="57" cm="1">
        <f t="array" aca="1" ref="E43" ca="1">IFERROR(INDIRECT("'"&amp;C43&amp;"'!D4"), "")</f>
        <v>0</v>
      </c>
    </row>
    <row r="44" spans="2:5" ht="16" x14ac:dyDescent="0.2">
      <c r="B44" s="59" t="s">
        <v>208</v>
      </c>
      <c r="C44" s="59" t="str">
        <v>C018</v>
      </c>
      <c r="D44" s="59" t="str" cm="1">
        <f t="array" aca="1" ref="D44" ca="1">IFERROR(INDIRECT("'"&amp;C44&amp;"'!A1"), "")</f>
        <v>Zeeshan</v>
      </c>
      <c r="E44" s="57" cm="1">
        <f t="array" aca="1" ref="E44" ca="1">IFERROR(INDIRECT("'"&amp;C44&amp;"'!D4"), "")</f>
        <v>0</v>
      </c>
    </row>
    <row r="45" spans="2:5" ht="16" x14ac:dyDescent="0.2">
      <c r="B45" s="59" t="s">
        <v>208</v>
      </c>
      <c r="C45" s="59" t="str">
        <v>C019</v>
      </c>
      <c r="D45" s="59" t="str" cm="1">
        <f t="array" aca="1" ref="D45" ca="1">IFERROR(INDIRECT("'"&amp;C45&amp;"'!A1"), "")</f>
        <v>Basit </v>
      </c>
      <c r="E45" s="57" cm="1">
        <f t="array" aca="1" ref="E45" ca="1">IFERROR(INDIRECT("'"&amp;C45&amp;"'!D4"), "")</f>
        <v>0</v>
      </c>
    </row>
    <row r="46" spans="2:5" ht="16" x14ac:dyDescent="0.2">
      <c r="B46" s="59" t="s">
        <v>208</v>
      </c>
      <c r="C46" s="59" t="str">
        <v>C020</v>
      </c>
      <c r="D46" s="59" t="str" cm="1">
        <f t="array" aca="1" ref="D46" ca="1">IFERROR(INDIRECT("'"&amp;C46&amp;"'!A1"), "")</f>
        <v>Arif Zabardast Highway</v>
      </c>
      <c r="E46" s="57" cm="1">
        <f t="array" aca="1" ref="E46" ca="1">IFERROR(INDIRECT("'"&amp;C46&amp;"'!D4"), "")</f>
        <v>0</v>
      </c>
    </row>
    <row r="47" spans="2:5" ht="16" x14ac:dyDescent="0.2">
      <c r="B47" s="59" t="s">
        <v>208</v>
      </c>
      <c r="C47" s="59" t="str">
        <v>C021</v>
      </c>
      <c r="D47" s="59" t="str" cm="1">
        <f t="array" aca="1" ref="D47" ca="1">IFERROR(INDIRECT("'"&amp;C47&amp;"'!A1"), "")</f>
        <v>Muhammad Khan Baloch</v>
      </c>
      <c r="E47" s="57" cm="1">
        <f t="array" aca="1" ref="E47" ca="1">IFERROR(INDIRECT("'"&amp;C47&amp;"'!D4"), "")</f>
        <v>0</v>
      </c>
    </row>
    <row r="48" spans="2:5" ht="16" x14ac:dyDescent="0.2">
      <c r="B48" s="59" t="s">
        <v>208</v>
      </c>
      <c r="C48" s="59" t="str">
        <v>C022</v>
      </c>
      <c r="D48" s="59" t="str" cm="1">
        <f t="array" aca="1" ref="D48" ca="1">IFERROR(INDIRECT("'"&amp;C48&amp;"'!A1"), "")</f>
        <v>Suleman drum wala </v>
      </c>
      <c r="E48" s="57" cm="1">
        <f t="array" aca="1" ref="E48" ca="1">IFERROR(INDIRECT("'"&amp;C48&amp;"'!D4"), "")</f>
        <v>0</v>
      </c>
    </row>
    <row r="49" spans="2:5" ht="16" x14ac:dyDescent="0.2">
      <c r="B49" s="59" t="s">
        <v>208</v>
      </c>
      <c r="C49" s="59" t="str">
        <v>C023</v>
      </c>
      <c r="D49" s="59" t="str" cm="1">
        <f t="array" aca="1" ref="D49" ca="1">IFERROR(INDIRECT("'"&amp;C49&amp;"'!A1"), "")</f>
        <v>Shahid drum wala</v>
      </c>
      <c r="E49" s="57" cm="1">
        <f t="array" aca="1" ref="E49" ca="1">IFERROR(INDIRECT("'"&amp;C49&amp;"'!D4"), "")</f>
        <v>0</v>
      </c>
    </row>
    <row r="50" spans="2:5" ht="16" x14ac:dyDescent="0.2">
      <c r="B50" s="59" t="s">
        <v>208</v>
      </c>
      <c r="C50" s="59" t="str">
        <v>C024</v>
      </c>
      <c r="D50" s="59" t="str" cm="1">
        <f t="array" aca="1" ref="D50" ca="1">IFERROR(INDIRECT("'"&amp;C50&amp;"'!A1"), "")</f>
        <v>Anwar Pappoo drum wala </v>
      </c>
      <c r="E50" s="57" cm="1">
        <f t="array" aca="1" ref="E50" ca="1">IFERROR(INDIRECT("'"&amp;C50&amp;"'!D4"), "")</f>
        <v>0</v>
      </c>
    </row>
    <row r="51" spans="2:5" ht="16" x14ac:dyDescent="0.2">
      <c r="B51" s="59" t="s">
        <v>208</v>
      </c>
      <c r="C51" s="59" t="str">
        <v>C025</v>
      </c>
      <c r="D51" s="59" t="str" cm="1">
        <f t="array" aca="1" ref="D51" ca="1">IFERROR(INDIRECT("'"&amp;C51&amp;"'!A1"), "")</f>
        <v>Asif Chor drum </v>
      </c>
      <c r="E51" s="57" cm="1">
        <f t="array" aca="1" ref="E51" ca="1">IFERROR(INDIRECT("'"&amp;C51&amp;"'!D4"), "")</f>
        <v>0</v>
      </c>
    </row>
    <row r="52" spans="2:5" ht="16" x14ac:dyDescent="0.2">
      <c r="B52" s="59" t="s">
        <v>208</v>
      </c>
      <c r="C52" s="59" t="str">
        <v>C026</v>
      </c>
      <c r="D52" s="59" t="str" cm="1">
        <f t="array" aca="1" ref="D52" ca="1">IFERROR(INDIRECT("'"&amp;C52&amp;"'!A1"), "")</f>
        <v>Yousuf and Zahoor Drum </v>
      </c>
      <c r="E52" s="57" cm="1">
        <f t="array" aca="1" ref="E52" ca="1">IFERROR(INDIRECT("'"&amp;C52&amp;"'!D4"), "")</f>
        <v>0</v>
      </c>
    </row>
    <row r="53" spans="2:5" ht="16" x14ac:dyDescent="0.2">
      <c r="B53" s="59" t="s">
        <v>208</v>
      </c>
      <c r="C53" s="59" t="str">
        <v>C027</v>
      </c>
      <c r="D53" s="59" t="str" cm="1">
        <f t="array" aca="1" ref="D53" ca="1">IFERROR(INDIRECT("'"&amp;C53&amp;"'!A1"), "")</f>
        <v>Iqram Drum</v>
      </c>
      <c r="E53" s="57" cm="1">
        <f t="array" aca="1" ref="E53" ca="1">IFERROR(INDIRECT("'"&amp;C53&amp;"'!D4"), "")</f>
        <v>0</v>
      </c>
    </row>
    <row r="54" spans="2:5" ht="16" x14ac:dyDescent="0.2">
      <c r="B54" s="59" t="s">
        <v>208</v>
      </c>
      <c r="C54" s="59" t="str">
        <v>C028</v>
      </c>
      <c r="D54" s="59" t="str" cm="1">
        <f t="array" aca="1" ref="D54" ca="1">IFERROR(INDIRECT("'"&amp;C54&amp;"'!A1"), "")</f>
        <v>Noorbuksh drum </v>
      </c>
      <c r="E54" s="57" cm="1">
        <f t="array" aca="1" ref="E54" ca="1">IFERROR(INDIRECT("'"&amp;C54&amp;"'!D4"), "")</f>
        <v>0</v>
      </c>
    </row>
    <row r="55" spans="2:5" ht="16" x14ac:dyDescent="0.2">
      <c r="B55" s="59" t="s">
        <v>208</v>
      </c>
      <c r="C55" s="59" t="str">
        <v>C029</v>
      </c>
      <c r="D55" s="59" t="str" cm="1">
        <f t="array" aca="1" ref="D55" ca="1">IFERROR(INDIRECT("'"&amp;C55&amp;"'!A1"), "")</f>
        <v>Haider Drum </v>
      </c>
      <c r="E55" s="57" cm="1">
        <f t="array" aca="1" ref="E55" ca="1">IFERROR(INDIRECT("'"&amp;C55&amp;"'!D4"), "")</f>
        <v>0</v>
      </c>
    </row>
    <row r="56" spans="2:5" ht="17" thickBot="1" x14ac:dyDescent="0.25">
      <c r="B56" s="59" t="s">
        <v>208</v>
      </c>
      <c r="C56" s="60" t="str">
        <v>C030</v>
      </c>
      <c r="D56" s="60" t="str" cm="1">
        <f t="array" aca="1" ref="D56" ca="1">IFERROR(INDIRECT("'"&amp;C56&amp;"'!A1"), "")</f>
        <v>Abdur Rab Diesel</v>
      </c>
      <c r="E56" s="58" cm="1">
        <f t="array" aca="1" ref="E56" ca="1">IFERROR(INDIRECT("'"&amp;C56&amp;"'!D4"), "")</f>
        <v>0</v>
      </c>
    </row>
    <row r="57" spans="2:5" ht="16" x14ac:dyDescent="0.2">
      <c r="B57" s="63" t="s">
        <v>215</v>
      </c>
      <c r="C57" s="63" t="str">
        <v>T001</v>
      </c>
      <c r="D57" s="63" t="str" cm="1">
        <f t="array" aca="1" ref="D57" ca="1">IFERROR(INDIRECT("'"&amp;C57&amp;"'!A1"), "")</f>
        <v>Abid Transporter</v>
      </c>
      <c r="E57" s="64" cm="1">
        <f t="array" aca="1" ref="E57" ca="1">IFERROR(INDIRECT("'"&amp;C57&amp;"'!D4"), "")</f>
        <v>220000</v>
      </c>
    </row>
    <row r="58" spans="2:5" ht="17" thickBot="1" x14ac:dyDescent="0.25">
      <c r="B58" s="60" t="s">
        <v>215</v>
      </c>
      <c r="C58" s="60" t="str">
        <v>T002</v>
      </c>
      <c r="D58" s="60" t="str" cm="1">
        <f t="array" aca="1" ref="D58" ca="1">IFERROR(INDIRECT("'"&amp;C58&amp;"'!A1"), "")</f>
        <v>Pehlwaan Transporter</v>
      </c>
      <c r="E58" s="58" cm="1">
        <f t="array" aca="1" ref="E58" ca="1">IFERROR(INDIRECT("'"&amp;C58&amp;"'!D4"), "")</f>
        <v>0</v>
      </c>
    </row>
    <row r="59" spans="2:5" ht="16" x14ac:dyDescent="0.2">
      <c r="B59" s="59" t="s">
        <v>222</v>
      </c>
      <c r="C59" s="59" t="str">
        <v>L001</v>
      </c>
      <c r="D59" s="59" t="str" cm="1">
        <f t="array" aca="1" ref="D59" ca="1">IFERROR(INDIRECT("'"&amp;C59&amp;"'!A1"), "")</f>
        <v>Naveed</v>
      </c>
      <c r="E59" s="57" cm="1">
        <f t="array" aca="1" ref="E59" ca="1">IFERROR(INDIRECT("'"&amp;C59&amp;"'!D4"), "")</f>
        <v>0</v>
      </c>
    </row>
    <row r="60" spans="2:5" ht="17" thickBot="1" x14ac:dyDescent="0.25">
      <c r="B60" s="60" t="s">
        <v>222</v>
      </c>
      <c r="C60" s="60" t="str">
        <v>L002</v>
      </c>
      <c r="D60" s="60" t="str" cm="1">
        <f t="array" aca="1" ref="D60" ca="1">IFERROR(INDIRECT("'"&amp;C60&amp;"'!A1"), "")</f>
        <v>Sher Khan</v>
      </c>
      <c r="E60" s="58" cm="1">
        <f t="array" aca="1" ref="E60" ca="1">IFERROR(INDIRECT("'"&amp;C60&amp;"'!D4"), "")</f>
        <v>0</v>
      </c>
    </row>
  </sheetData>
  <autoFilter ref="B3:E60" xr:uid="{848EF434-6AAE-E049-BC53-4340526AB632}"/>
  <mergeCells count="2">
    <mergeCell ref="F1:H1"/>
    <mergeCell ref="B1:D1"/>
  </mergeCells>
  <conditionalFormatting sqref="E4:E60">
    <cfRule type="cellIs" dxfId="188" priority="1" operator="equal">
      <formula>0</formula>
    </cfRule>
    <cfRule type="cellIs" dxfId="187" priority="2" operator="lessThan">
      <formula>0</formula>
    </cfRule>
    <cfRule type="cellIs" dxfId="186" priority="3" operator="greaterThan">
      <formula>0</formula>
    </cfRule>
    <cfRule type="cellIs" dxfId="185" priority="7" operator="lessThanOrEqual">
      <formula>0</formula>
    </cfRule>
    <cfRule type="cellIs" dxfId="184" priority="9" operator="greaterThan">
      <formula>0</formula>
    </cfRule>
  </conditionalFormatting>
  <conditionalFormatting sqref="E4:E26">
    <cfRule type="cellIs" dxfId="183" priority="4" operator="equal">
      <formula>0</formula>
    </cfRule>
    <cfRule type="cellIs" dxfId="182" priority="5" operator="greaterThan">
      <formula>0</formula>
    </cfRule>
    <cfRule type="cellIs" dxfId="181" priority="6" operator="lessThan">
      <formula>0</formula>
    </cfRule>
  </conditionalFormatting>
  <hyperlinks>
    <hyperlink ref="F1:H1" location="'Master Sheet'!A1" display="GO BACK TO MASTER SHEET" xr:uid="{3827DB2C-2CC6-0D4A-A598-04BB81F8073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"/>
  <dimension ref="A1:K207"/>
  <sheetViews>
    <sheetView showGridLines="0" workbookViewId="0">
      <pane ySplit="7" topLeftCell="A8" activePane="bottomLeft" state="frozen"/>
      <selection sqref="A1:F1"/>
      <selection pane="bottomLeft" activeCell="E1" sqref="E1:G1"/>
    </sheetView>
  </sheetViews>
  <sheetFormatPr baseColWidth="10" defaultColWidth="8.83203125" defaultRowHeight="15" x14ac:dyDescent="0.2"/>
  <cols>
    <col min="1" max="1" width="12" style="65" customWidth="1"/>
    <col min="2" max="2" width="34" customWidth="1"/>
    <col min="3" max="4" width="14" customWidth="1"/>
    <col min="5" max="5" width="14" style="23" customWidth="1"/>
    <col min="6" max="7" width="18" customWidth="1"/>
    <col min="9" max="9" width="61.33203125" bestFit="1" customWidth="1"/>
    <col min="10" max="10" width="12" customWidth="1"/>
    <col min="11" max="11" width="12.1640625" customWidth="1"/>
  </cols>
  <sheetData>
    <row r="1" spans="1:11" ht="24" customHeight="1" x14ac:dyDescent="0.2">
      <c r="A1" s="98" t="s">
        <v>77</v>
      </c>
      <c r="B1" s="98"/>
      <c r="C1" s="98"/>
      <c r="E1" s="87" t="s">
        <v>202</v>
      </c>
      <c r="F1" s="87"/>
      <c r="G1" s="87"/>
    </row>
    <row r="2" spans="1:11" x14ac:dyDescent="0.2">
      <c r="A2"/>
      <c r="E2"/>
    </row>
    <row r="3" spans="1:11" x14ac:dyDescent="0.2">
      <c r="A3"/>
      <c r="E3"/>
    </row>
    <row r="4" spans="1:11" x14ac:dyDescent="0.2">
      <c r="A4"/>
      <c r="E4"/>
    </row>
    <row r="5" spans="1:11" x14ac:dyDescent="0.2">
      <c r="A5" s="3"/>
      <c r="E5"/>
    </row>
    <row r="6" spans="1:11" ht="16" thickBot="1" x14ac:dyDescent="0.25">
      <c r="A6"/>
      <c r="E6"/>
    </row>
    <row r="7" spans="1:11" ht="36" customHeight="1" x14ac:dyDescent="0.2">
      <c r="A7" s="1" t="s">
        <v>80</v>
      </c>
      <c r="B7" s="1" t="s">
        <v>78</v>
      </c>
      <c r="C7" s="1" t="s">
        <v>76</v>
      </c>
      <c r="D7" s="1" t="s">
        <v>81</v>
      </c>
      <c r="E7" s="1" t="s">
        <v>79</v>
      </c>
      <c r="H7" s="35" t="s">
        <v>188</v>
      </c>
      <c r="I7" s="35" t="s">
        <v>68</v>
      </c>
      <c r="J7" s="32" t="s">
        <v>0</v>
      </c>
      <c r="K7" s="33" t="s">
        <v>1</v>
      </c>
    </row>
    <row r="8" spans="1:11" x14ac:dyDescent="0.2">
      <c r="A8" s="78">
        <v>46097</v>
      </c>
      <c r="B8" s="2" t="s">
        <v>86</v>
      </c>
      <c r="C8" s="8" t="s">
        <v>0</v>
      </c>
      <c r="D8" s="8" t="s">
        <v>82</v>
      </c>
      <c r="E8" s="22">
        <v>1655</v>
      </c>
      <c r="H8" s="36" t="s">
        <v>108</v>
      </c>
      <c r="I8" s="37" t="s">
        <v>84</v>
      </c>
      <c r="J8" s="24">
        <f>SUMIFS($E$8:$E$1048576,$B$8:$B$1048576,$I8,$C$8:$C$1048576,$J$7,$D$8:$D$1048576,"Purchased")
-
SUMIFS($E$8:$E$1048576,$B$8:$B$1048576,$I8,$C$8:$C$1048576,$J$7,$D$8:$D$1048576,"Sold")</f>
        <v>0</v>
      </c>
      <c r="K8" s="25">
        <f>SUMIFS($E$8:$E$1048576,$B$8:$B$1048576,$I8,$C$8:$C$1048576,$K$7,$D$8:$D$1048576,"Purchased")
-
SUMIFS($E$8:$E$1048576,$B$8:$B$1048576,$I8,$C$8:$C$1048576,$K$7,$D$8:$D$1048576,"Sold")</f>
        <v>0</v>
      </c>
    </row>
    <row r="9" spans="1:11" x14ac:dyDescent="0.2">
      <c r="A9" s="78">
        <v>46097</v>
      </c>
      <c r="B9" s="2" t="s">
        <v>100</v>
      </c>
      <c r="C9" s="8" t="s">
        <v>0</v>
      </c>
      <c r="D9" s="8" t="s">
        <v>82</v>
      </c>
      <c r="E9" s="22">
        <v>148</v>
      </c>
      <c r="H9" s="36" t="s">
        <v>109</v>
      </c>
      <c r="I9" s="37" t="s">
        <v>85</v>
      </c>
      <c r="J9" s="24">
        <f t="shared" ref="J9:J31" si="0">SUMIFS($E$8:$E$1048576,$B$8:$B$1048576,$I9,$C$8:$C$1048576,$J$7,$D$8:$D$1048576,"Purchased")
-
SUMIFS($E$8:$E$1048576,$B$8:$B$1048576,$I9,$C$8:$C$1048576,$J$7,$D$8:$D$1048576,"Sold")</f>
        <v>0</v>
      </c>
      <c r="K9" s="25">
        <f t="shared" ref="K9:K31" si="1">SUMIFS($E$8:$E$1048576,$B$8:$B$1048576,$I9,$C$8:$C$1048576,$K$7,$D$8:$D$1048576,"Purchased")
-
SUMIFS($E$8:$E$1048576,$B$8:$B$1048576,$I9,$C$8:$C$1048576,$K$7,$D$8:$D$1048576,"Sold")</f>
        <v>0</v>
      </c>
    </row>
    <row r="10" spans="1:11" x14ac:dyDescent="0.2">
      <c r="A10" s="78">
        <v>46097</v>
      </c>
      <c r="B10" s="2" t="s">
        <v>105</v>
      </c>
      <c r="C10" s="8" t="s">
        <v>1</v>
      </c>
      <c r="D10" s="8" t="s">
        <v>82</v>
      </c>
      <c r="E10" s="22">
        <v>156</v>
      </c>
      <c r="H10" s="36" t="s">
        <v>110</v>
      </c>
      <c r="I10" s="37" t="s">
        <v>86</v>
      </c>
      <c r="J10" s="24">
        <f>SUMIFS($E$8:$E$1048576,$B$8:$B$1048576,$I10,$C$8:$C$1048576,$J$7,$D$8:$D$1048576,"Purchased")
-
SUMIFS($E$8:$E$1048576,$B$8:$B$1048576,$I10,$C$8:$C$1048576,$J$7,$D$8:$D$1048576,"Sold")</f>
        <v>2150</v>
      </c>
      <c r="K10" s="25">
        <f t="shared" si="1"/>
        <v>0</v>
      </c>
    </row>
    <row r="11" spans="1:11" x14ac:dyDescent="0.2">
      <c r="A11" s="78">
        <v>46097</v>
      </c>
      <c r="B11" s="2" t="s">
        <v>101</v>
      </c>
      <c r="C11" s="8" t="s">
        <v>0</v>
      </c>
      <c r="D11" s="8" t="s">
        <v>82</v>
      </c>
      <c r="E11" s="22">
        <v>515</v>
      </c>
      <c r="H11" s="36" t="s">
        <v>111</v>
      </c>
      <c r="I11" s="37" t="s">
        <v>87</v>
      </c>
      <c r="J11" s="24">
        <f t="shared" si="0"/>
        <v>0</v>
      </c>
      <c r="K11" s="25">
        <f t="shared" si="1"/>
        <v>0</v>
      </c>
    </row>
    <row r="12" spans="1:11" x14ac:dyDescent="0.2">
      <c r="A12" s="78">
        <v>46098</v>
      </c>
      <c r="B12" s="2" t="s">
        <v>86</v>
      </c>
      <c r="C12" s="8" t="s">
        <v>0</v>
      </c>
      <c r="D12" s="8" t="s">
        <v>82</v>
      </c>
      <c r="E12" s="22">
        <v>660</v>
      </c>
      <c r="H12" s="36" t="s">
        <v>112</v>
      </c>
      <c r="I12" s="37" t="s">
        <v>88</v>
      </c>
      <c r="J12" s="24">
        <f t="shared" si="0"/>
        <v>0</v>
      </c>
      <c r="K12" s="25">
        <f>SUMIFS($E$8:$E$1048576,$B$8:$B$1048576,$I12,$C$8:$C$1048576,$K$7,$D$8:$D$1048576,"Purchased")
-
SUMIFS($E$8:$E$1048576,$B$8:$B$1048576,$I12,$C$8:$C$1048576,$K$7,$D$8:$D$1048576,"Sold")</f>
        <v>0</v>
      </c>
    </row>
    <row r="13" spans="1:11" x14ac:dyDescent="0.2">
      <c r="A13" s="78">
        <v>46098</v>
      </c>
      <c r="B13" s="2" t="s">
        <v>86</v>
      </c>
      <c r="C13" s="8" t="s">
        <v>0</v>
      </c>
      <c r="D13" s="8" t="s">
        <v>83</v>
      </c>
      <c r="E13" s="22">
        <v>165</v>
      </c>
      <c r="H13" s="36" t="s">
        <v>113</v>
      </c>
      <c r="I13" s="37" t="s">
        <v>89</v>
      </c>
      <c r="J13" s="24">
        <f t="shared" si="0"/>
        <v>0</v>
      </c>
      <c r="K13" s="25">
        <f t="shared" si="1"/>
        <v>0</v>
      </c>
    </row>
    <row r="14" spans="1:11" x14ac:dyDescent="0.2">
      <c r="A14" s="78"/>
      <c r="B14" s="2"/>
      <c r="C14" s="8"/>
      <c r="D14" s="8"/>
      <c r="E14" s="22"/>
      <c r="H14" s="36" t="s">
        <v>114</v>
      </c>
      <c r="I14" s="37" t="s">
        <v>90</v>
      </c>
      <c r="J14" s="24">
        <f t="shared" si="0"/>
        <v>0</v>
      </c>
      <c r="K14" s="25">
        <f t="shared" si="1"/>
        <v>0</v>
      </c>
    </row>
    <row r="15" spans="1:11" x14ac:dyDescent="0.2">
      <c r="A15" s="78"/>
      <c r="B15" s="2"/>
      <c r="C15" s="8"/>
      <c r="D15" s="8"/>
      <c r="E15" s="22"/>
      <c r="H15" s="36" t="s">
        <v>115</v>
      </c>
      <c r="I15" s="37" t="s">
        <v>91</v>
      </c>
      <c r="J15" s="24">
        <f t="shared" si="0"/>
        <v>0</v>
      </c>
      <c r="K15" s="25">
        <f t="shared" si="1"/>
        <v>0</v>
      </c>
    </row>
    <row r="16" spans="1:11" x14ac:dyDescent="0.2">
      <c r="A16" s="78"/>
      <c r="B16" s="2"/>
      <c r="C16" s="8"/>
      <c r="D16" s="8"/>
      <c r="E16" s="22"/>
      <c r="H16" s="36" t="s">
        <v>116</v>
      </c>
      <c r="I16" s="37" t="s">
        <v>92</v>
      </c>
      <c r="J16" s="24">
        <f t="shared" si="0"/>
        <v>0</v>
      </c>
      <c r="K16" s="25">
        <f t="shared" si="1"/>
        <v>0</v>
      </c>
    </row>
    <row r="17" spans="1:11" x14ac:dyDescent="0.2">
      <c r="A17" s="78"/>
      <c r="B17" s="2"/>
      <c r="C17" s="8"/>
      <c r="D17" s="8"/>
      <c r="E17" s="22"/>
      <c r="H17" s="36" t="s">
        <v>117</v>
      </c>
      <c r="I17" s="37" t="s">
        <v>93</v>
      </c>
      <c r="J17" s="24">
        <f t="shared" si="0"/>
        <v>0</v>
      </c>
      <c r="K17" s="25">
        <f t="shared" si="1"/>
        <v>0</v>
      </c>
    </row>
    <row r="18" spans="1:11" x14ac:dyDescent="0.2">
      <c r="A18" s="78"/>
      <c r="B18" s="2"/>
      <c r="C18" s="8"/>
      <c r="D18" s="8"/>
      <c r="E18" s="22"/>
      <c r="H18" s="36" t="s">
        <v>118</v>
      </c>
      <c r="I18" s="37" t="s">
        <v>94</v>
      </c>
      <c r="J18" s="24">
        <f t="shared" si="0"/>
        <v>0</v>
      </c>
      <c r="K18" s="25">
        <f t="shared" si="1"/>
        <v>0</v>
      </c>
    </row>
    <row r="19" spans="1:11" x14ac:dyDescent="0.2">
      <c r="A19" s="78"/>
      <c r="B19" s="2"/>
      <c r="C19" s="8"/>
      <c r="D19" s="8"/>
      <c r="E19" s="22"/>
      <c r="H19" s="36" t="s">
        <v>119</v>
      </c>
      <c r="I19" s="37" t="s">
        <v>95</v>
      </c>
      <c r="J19" s="24">
        <f t="shared" si="0"/>
        <v>0</v>
      </c>
      <c r="K19" s="25">
        <f t="shared" si="1"/>
        <v>0</v>
      </c>
    </row>
    <row r="20" spans="1:11" x14ac:dyDescent="0.2">
      <c r="A20" s="78"/>
      <c r="B20" s="2"/>
      <c r="C20" s="8"/>
      <c r="D20" s="8"/>
      <c r="E20" s="22"/>
      <c r="H20" s="36" t="s">
        <v>120</v>
      </c>
      <c r="I20" s="37" t="s">
        <v>96</v>
      </c>
      <c r="J20" s="24">
        <f t="shared" si="0"/>
        <v>0</v>
      </c>
      <c r="K20" s="25">
        <f t="shared" si="1"/>
        <v>0</v>
      </c>
    </row>
    <row r="21" spans="1:11" x14ac:dyDescent="0.2">
      <c r="A21" s="78"/>
      <c r="B21" s="2"/>
      <c r="C21" s="8"/>
      <c r="D21" s="8"/>
      <c r="E21" s="22"/>
      <c r="H21" s="36" t="s">
        <v>121</v>
      </c>
      <c r="I21" s="37" t="s">
        <v>97</v>
      </c>
      <c r="J21" s="24">
        <f t="shared" si="0"/>
        <v>0</v>
      </c>
      <c r="K21" s="25">
        <f t="shared" si="1"/>
        <v>0</v>
      </c>
    </row>
    <row r="22" spans="1:11" x14ac:dyDescent="0.2">
      <c r="A22" s="78"/>
      <c r="B22" s="2"/>
      <c r="C22" s="8"/>
      <c r="D22" s="8"/>
      <c r="E22" s="22"/>
      <c r="H22" s="36" t="s">
        <v>122</v>
      </c>
      <c r="I22" s="37" t="s">
        <v>98</v>
      </c>
      <c r="J22" s="24">
        <f t="shared" si="0"/>
        <v>0</v>
      </c>
      <c r="K22" s="25">
        <f t="shared" si="1"/>
        <v>0</v>
      </c>
    </row>
    <row r="23" spans="1:11" x14ac:dyDescent="0.2">
      <c r="A23" s="78"/>
      <c r="B23" s="2"/>
      <c r="C23" s="8"/>
      <c r="D23" s="8"/>
      <c r="E23" s="22"/>
      <c r="H23" s="36" t="s">
        <v>123</v>
      </c>
      <c r="I23" s="37" t="s">
        <v>99</v>
      </c>
      <c r="J23" s="24">
        <f t="shared" si="0"/>
        <v>0</v>
      </c>
      <c r="K23" s="25">
        <f t="shared" si="1"/>
        <v>0</v>
      </c>
    </row>
    <row r="24" spans="1:11" x14ac:dyDescent="0.2">
      <c r="A24" s="78"/>
      <c r="B24" s="2"/>
      <c r="C24" s="8"/>
      <c r="D24" s="8"/>
      <c r="E24" s="22"/>
      <c r="H24" s="36" t="s">
        <v>124</v>
      </c>
      <c r="I24" s="37" t="s">
        <v>100</v>
      </c>
      <c r="J24" s="24">
        <f t="shared" si="0"/>
        <v>148</v>
      </c>
      <c r="K24" s="25">
        <f t="shared" si="1"/>
        <v>0</v>
      </c>
    </row>
    <row r="25" spans="1:11" x14ac:dyDescent="0.2">
      <c r="A25" s="78"/>
      <c r="B25" s="2"/>
      <c r="C25" s="8"/>
      <c r="D25" s="8"/>
      <c r="E25" s="22"/>
      <c r="H25" s="36" t="s">
        <v>125</v>
      </c>
      <c r="I25" s="37" t="s">
        <v>101</v>
      </c>
      <c r="J25" s="24">
        <f t="shared" si="0"/>
        <v>515</v>
      </c>
      <c r="K25" s="25">
        <f t="shared" si="1"/>
        <v>0</v>
      </c>
    </row>
    <row r="26" spans="1:11" x14ac:dyDescent="0.2">
      <c r="A26" s="78"/>
      <c r="B26" s="2"/>
      <c r="C26" s="8"/>
      <c r="D26" s="8"/>
      <c r="E26" s="22"/>
      <c r="H26" s="36" t="s">
        <v>126</v>
      </c>
      <c r="I26" s="37" t="s">
        <v>102</v>
      </c>
      <c r="J26" s="24">
        <f t="shared" si="0"/>
        <v>0</v>
      </c>
      <c r="K26" s="25">
        <f t="shared" si="1"/>
        <v>0</v>
      </c>
    </row>
    <row r="27" spans="1:11" x14ac:dyDescent="0.2">
      <c r="A27" s="78"/>
      <c r="B27" s="2"/>
      <c r="C27" s="8"/>
      <c r="D27" s="8"/>
      <c r="E27" s="22"/>
      <c r="H27" s="36" t="s">
        <v>127</v>
      </c>
      <c r="I27" s="37" t="s">
        <v>103</v>
      </c>
      <c r="J27" s="24">
        <f t="shared" si="0"/>
        <v>0</v>
      </c>
      <c r="K27" s="25">
        <f t="shared" si="1"/>
        <v>0</v>
      </c>
    </row>
    <row r="28" spans="1:11" x14ac:dyDescent="0.2">
      <c r="A28" s="78"/>
      <c r="B28" s="2"/>
      <c r="C28" s="8"/>
      <c r="D28" s="8"/>
      <c r="E28" s="22"/>
      <c r="H28" s="36" t="s">
        <v>128</v>
      </c>
      <c r="I28" s="37" t="s">
        <v>104</v>
      </c>
      <c r="J28" s="24">
        <f t="shared" si="0"/>
        <v>0</v>
      </c>
      <c r="K28" s="25">
        <f t="shared" si="1"/>
        <v>0</v>
      </c>
    </row>
    <row r="29" spans="1:11" x14ac:dyDescent="0.2">
      <c r="A29" s="78"/>
      <c r="B29" s="2"/>
      <c r="C29" s="8"/>
      <c r="D29" s="8"/>
      <c r="E29" s="22"/>
      <c r="H29" s="36" t="s">
        <v>129</v>
      </c>
      <c r="I29" s="37" t="s">
        <v>105</v>
      </c>
      <c r="J29" s="24">
        <f t="shared" si="0"/>
        <v>0</v>
      </c>
      <c r="K29" s="25">
        <f t="shared" si="1"/>
        <v>156</v>
      </c>
    </row>
    <row r="30" spans="1:11" x14ac:dyDescent="0.2">
      <c r="A30" s="78"/>
      <c r="B30" s="2"/>
      <c r="C30" s="8"/>
      <c r="D30" s="8"/>
      <c r="E30" s="22"/>
      <c r="H30" s="36" t="s">
        <v>130</v>
      </c>
      <c r="I30" s="37" t="s">
        <v>106</v>
      </c>
      <c r="J30" s="24">
        <f t="shared" si="0"/>
        <v>0</v>
      </c>
      <c r="K30" s="25">
        <f t="shared" si="1"/>
        <v>0</v>
      </c>
    </row>
    <row r="31" spans="1:11" x14ac:dyDescent="0.2">
      <c r="A31" s="78"/>
      <c r="B31" s="2"/>
      <c r="C31" s="8"/>
      <c r="D31" s="8"/>
      <c r="E31" s="22"/>
      <c r="H31" s="36" t="s">
        <v>131</v>
      </c>
      <c r="I31" s="37" t="s">
        <v>107</v>
      </c>
      <c r="J31" s="24">
        <f t="shared" si="0"/>
        <v>0</v>
      </c>
      <c r="K31" s="25">
        <f t="shared" si="1"/>
        <v>0</v>
      </c>
    </row>
    <row r="32" spans="1:11" x14ac:dyDescent="0.2">
      <c r="A32" s="78"/>
      <c r="B32" s="2"/>
      <c r="C32" s="8"/>
      <c r="D32" s="8"/>
      <c r="E32" s="22"/>
      <c r="H32" s="18"/>
      <c r="I32" s="36"/>
      <c r="J32" s="24"/>
      <c r="K32" s="25"/>
    </row>
    <row r="33" spans="1:11" x14ac:dyDescent="0.2">
      <c r="A33" s="78"/>
      <c r="B33" s="2"/>
      <c r="C33" s="8"/>
      <c r="D33" s="8"/>
      <c r="E33" s="22"/>
      <c r="H33" s="18"/>
      <c r="I33" s="36"/>
      <c r="J33" s="24"/>
      <c r="K33" s="25"/>
    </row>
    <row r="34" spans="1:11" x14ac:dyDescent="0.2">
      <c r="A34" s="78"/>
      <c r="B34" s="2"/>
      <c r="C34" s="8"/>
      <c r="D34" s="8"/>
      <c r="E34" s="22"/>
      <c r="H34" s="18"/>
      <c r="I34" s="36"/>
      <c r="J34" s="24"/>
      <c r="K34" s="25"/>
    </row>
    <row r="35" spans="1:11" x14ac:dyDescent="0.2">
      <c r="A35" s="78"/>
      <c r="B35" s="2"/>
      <c r="C35" s="8"/>
      <c r="D35" s="8"/>
      <c r="E35" s="22"/>
      <c r="H35" s="18"/>
      <c r="I35" s="36"/>
      <c r="J35" s="24"/>
      <c r="K35" s="25"/>
    </row>
    <row r="36" spans="1:11" x14ac:dyDescent="0.2">
      <c r="A36" s="78"/>
      <c r="B36" s="2"/>
      <c r="C36" s="8"/>
      <c r="D36" s="8"/>
      <c r="E36" s="22"/>
      <c r="H36" s="18"/>
      <c r="I36" s="36"/>
      <c r="J36" s="24"/>
      <c r="K36" s="25"/>
    </row>
    <row r="37" spans="1:11" ht="16" thickBot="1" x14ac:dyDescent="0.25">
      <c r="A37" s="78"/>
      <c r="B37" s="2"/>
      <c r="C37" s="8"/>
      <c r="D37" s="8"/>
      <c r="E37" s="22"/>
      <c r="H37" s="9"/>
      <c r="I37" s="38"/>
      <c r="J37" s="26"/>
      <c r="K37" s="27"/>
    </row>
    <row r="38" spans="1:11" x14ac:dyDescent="0.2">
      <c r="A38" s="78"/>
      <c r="B38" s="2"/>
      <c r="C38" s="8"/>
      <c r="D38" s="8"/>
      <c r="E38" s="22"/>
    </row>
    <row r="39" spans="1:11" x14ac:dyDescent="0.2">
      <c r="A39" s="78"/>
      <c r="B39" s="2"/>
      <c r="C39" s="8"/>
      <c r="D39" s="8"/>
      <c r="E39" s="22"/>
    </row>
    <row r="40" spans="1:11" x14ac:dyDescent="0.2">
      <c r="A40" s="78"/>
      <c r="B40" s="2"/>
      <c r="C40" s="8"/>
      <c r="D40" s="8"/>
      <c r="E40" s="22"/>
    </row>
    <row r="41" spans="1:11" x14ac:dyDescent="0.2">
      <c r="A41" s="78"/>
      <c r="B41" s="2"/>
      <c r="C41" s="8"/>
      <c r="D41" s="8"/>
      <c r="E41" s="22"/>
    </row>
    <row r="42" spans="1:11" x14ac:dyDescent="0.2">
      <c r="A42" s="78"/>
      <c r="B42" s="2"/>
      <c r="C42" s="8"/>
      <c r="D42" s="8"/>
      <c r="E42" s="22"/>
    </row>
    <row r="43" spans="1:11" x14ac:dyDescent="0.2">
      <c r="A43" s="78"/>
      <c r="B43" s="2"/>
      <c r="C43" s="8"/>
      <c r="D43" s="8"/>
      <c r="E43" s="22"/>
    </row>
    <row r="44" spans="1:11" x14ac:dyDescent="0.2">
      <c r="A44" s="78"/>
      <c r="B44" s="2"/>
      <c r="C44" s="8"/>
      <c r="D44" s="8"/>
      <c r="E44" s="22"/>
    </row>
    <row r="45" spans="1:11" x14ac:dyDescent="0.2">
      <c r="A45" s="78"/>
      <c r="B45" s="2"/>
      <c r="C45" s="8"/>
      <c r="D45" s="8"/>
      <c r="E45" s="22"/>
    </row>
    <row r="46" spans="1:11" x14ac:dyDescent="0.2">
      <c r="A46" s="78"/>
      <c r="B46" s="2"/>
      <c r="C46" s="8"/>
      <c r="D46" s="8"/>
      <c r="E46" s="22"/>
    </row>
    <row r="47" spans="1:11" x14ac:dyDescent="0.2">
      <c r="A47" s="78"/>
      <c r="B47" s="2"/>
      <c r="C47" s="8"/>
      <c r="D47" s="8"/>
      <c r="E47" s="22"/>
    </row>
    <row r="48" spans="1:11" x14ac:dyDescent="0.2">
      <c r="A48" s="78"/>
      <c r="B48" s="2"/>
      <c r="C48" s="8"/>
      <c r="D48" s="8"/>
      <c r="E48" s="22"/>
    </row>
    <row r="49" spans="1:5" x14ac:dyDescent="0.2">
      <c r="A49" s="78"/>
      <c r="B49" s="2"/>
      <c r="C49" s="8"/>
      <c r="D49" s="8"/>
      <c r="E49" s="22"/>
    </row>
    <row r="50" spans="1:5" x14ac:dyDescent="0.2">
      <c r="A50" s="78"/>
      <c r="B50" s="2"/>
      <c r="C50" s="8"/>
      <c r="D50" s="8"/>
      <c r="E50" s="22"/>
    </row>
    <row r="51" spans="1:5" x14ac:dyDescent="0.2">
      <c r="A51" s="78"/>
      <c r="B51" s="2"/>
      <c r="C51" s="8"/>
      <c r="D51" s="8"/>
      <c r="E51" s="22"/>
    </row>
    <row r="52" spans="1:5" x14ac:dyDescent="0.2">
      <c r="A52" s="78"/>
      <c r="B52" s="2"/>
      <c r="C52" s="8"/>
      <c r="D52" s="8"/>
      <c r="E52" s="22"/>
    </row>
    <row r="53" spans="1:5" x14ac:dyDescent="0.2">
      <c r="A53" s="78"/>
      <c r="B53" s="2"/>
      <c r="C53" s="8"/>
      <c r="D53" s="8"/>
      <c r="E53" s="22"/>
    </row>
    <row r="54" spans="1:5" x14ac:dyDescent="0.2">
      <c r="A54" s="78"/>
      <c r="B54" s="2"/>
      <c r="C54" s="8"/>
      <c r="D54" s="8"/>
      <c r="E54" s="22"/>
    </row>
    <row r="55" spans="1:5" x14ac:dyDescent="0.2">
      <c r="A55" s="78"/>
      <c r="B55" s="2"/>
      <c r="C55" s="8"/>
      <c r="D55" s="8"/>
      <c r="E55" s="22"/>
    </row>
    <row r="56" spans="1:5" x14ac:dyDescent="0.2">
      <c r="A56" s="78"/>
      <c r="B56" s="2"/>
      <c r="C56" s="8"/>
      <c r="D56" s="8"/>
      <c r="E56" s="22"/>
    </row>
    <row r="57" spans="1:5" x14ac:dyDescent="0.2">
      <c r="A57" s="78"/>
      <c r="B57" s="2"/>
      <c r="C57" s="8"/>
      <c r="D57" s="8"/>
      <c r="E57" s="22"/>
    </row>
    <row r="58" spans="1:5" x14ac:dyDescent="0.2">
      <c r="A58" s="78"/>
      <c r="B58" s="2"/>
      <c r="C58" s="8"/>
      <c r="D58" s="8"/>
      <c r="E58" s="22"/>
    </row>
    <row r="59" spans="1:5" x14ac:dyDescent="0.2">
      <c r="A59" s="78"/>
      <c r="B59" s="2"/>
      <c r="C59" s="8"/>
      <c r="D59" s="8"/>
      <c r="E59" s="22"/>
    </row>
    <row r="60" spans="1:5" x14ac:dyDescent="0.2">
      <c r="A60" s="78"/>
      <c r="B60" s="2"/>
      <c r="C60" s="8"/>
      <c r="D60" s="8"/>
      <c r="E60" s="22"/>
    </row>
    <row r="61" spans="1:5" x14ac:dyDescent="0.2">
      <c r="A61" s="78"/>
      <c r="B61" s="2"/>
      <c r="C61" s="8"/>
      <c r="D61" s="8"/>
      <c r="E61" s="22"/>
    </row>
    <row r="62" spans="1:5" x14ac:dyDescent="0.2">
      <c r="A62" s="78"/>
      <c r="B62" s="2"/>
      <c r="C62" s="8"/>
      <c r="D62" s="8"/>
      <c r="E62" s="22"/>
    </row>
    <row r="63" spans="1:5" x14ac:dyDescent="0.2">
      <c r="A63" s="78"/>
      <c r="B63" s="2"/>
      <c r="C63" s="8"/>
      <c r="D63" s="8"/>
      <c r="E63" s="22"/>
    </row>
    <row r="64" spans="1:5" x14ac:dyDescent="0.2">
      <c r="A64" s="78"/>
      <c r="B64" s="2"/>
      <c r="C64" s="8"/>
      <c r="D64" s="8"/>
      <c r="E64" s="22"/>
    </row>
    <row r="65" spans="1:5" x14ac:dyDescent="0.2">
      <c r="A65" s="78"/>
      <c r="B65" s="2"/>
      <c r="C65" s="8"/>
      <c r="D65" s="8"/>
      <c r="E65" s="22"/>
    </row>
    <row r="66" spans="1:5" x14ac:dyDescent="0.2">
      <c r="A66" s="78"/>
      <c r="B66" s="2"/>
      <c r="C66" s="8"/>
      <c r="D66" s="8"/>
      <c r="E66" s="22"/>
    </row>
    <row r="67" spans="1:5" x14ac:dyDescent="0.2">
      <c r="A67" s="78"/>
      <c r="B67" s="2"/>
      <c r="C67" s="8"/>
      <c r="D67" s="8"/>
      <c r="E67" s="22"/>
    </row>
    <row r="68" spans="1:5" x14ac:dyDescent="0.2">
      <c r="A68" s="78"/>
      <c r="B68" s="2"/>
      <c r="C68" s="8"/>
      <c r="D68" s="8"/>
      <c r="E68" s="22"/>
    </row>
    <row r="69" spans="1:5" x14ac:dyDescent="0.2">
      <c r="A69" s="78"/>
      <c r="B69" s="2"/>
      <c r="C69" s="8"/>
      <c r="D69" s="8"/>
      <c r="E69" s="22"/>
    </row>
    <row r="70" spans="1:5" x14ac:dyDescent="0.2">
      <c r="A70" s="78"/>
      <c r="B70" s="2"/>
      <c r="C70" s="8"/>
      <c r="D70" s="8"/>
      <c r="E70" s="22"/>
    </row>
    <row r="71" spans="1:5" x14ac:dyDescent="0.2">
      <c r="A71" s="78"/>
      <c r="B71" s="2"/>
      <c r="C71" s="8"/>
      <c r="D71" s="8"/>
      <c r="E71" s="22"/>
    </row>
    <row r="72" spans="1:5" x14ac:dyDescent="0.2">
      <c r="A72" s="78"/>
      <c r="B72" s="2"/>
      <c r="C72" s="8"/>
      <c r="D72" s="8"/>
      <c r="E72" s="22"/>
    </row>
    <row r="73" spans="1:5" x14ac:dyDescent="0.2">
      <c r="A73" s="78"/>
      <c r="B73" s="2"/>
      <c r="C73" s="8"/>
      <c r="D73" s="8"/>
      <c r="E73" s="22"/>
    </row>
    <row r="74" spans="1:5" x14ac:dyDescent="0.2">
      <c r="A74" s="78"/>
      <c r="B74" s="2"/>
      <c r="C74" s="8"/>
      <c r="D74" s="8"/>
      <c r="E74" s="22"/>
    </row>
    <row r="75" spans="1:5" x14ac:dyDescent="0.2">
      <c r="A75" s="78"/>
      <c r="B75" s="2"/>
      <c r="C75" s="8"/>
      <c r="D75" s="8"/>
      <c r="E75" s="22"/>
    </row>
    <row r="76" spans="1:5" x14ac:dyDescent="0.2">
      <c r="A76" s="78"/>
      <c r="B76" s="2"/>
      <c r="C76" s="8"/>
      <c r="D76" s="8"/>
      <c r="E76" s="22"/>
    </row>
    <row r="77" spans="1:5" x14ac:dyDescent="0.2">
      <c r="A77" s="78"/>
      <c r="B77" s="2"/>
      <c r="C77" s="8"/>
      <c r="D77" s="8"/>
      <c r="E77" s="22"/>
    </row>
    <row r="78" spans="1:5" x14ac:dyDescent="0.2">
      <c r="A78" s="78"/>
      <c r="B78" s="2"/>
      <c r="C78" s="8"/>
      <c r="D78" s="8"/>
      <c r="E78" s="22"/>
    </row>
    <row r="79" spans="1:5" x14ac:dyDescent="0.2">
      <c r="A79" s="78"/>
      <c r="B79" s="2"/>
      <c r="C79" s="8"/>
      <c r="D79" s="8"/>
      <c r="E79" s="22"/>
    </row>
    <row r="80" spans="1:5" x14ac:dyDescent="0.2">
      <c r="A80" s="78"/>
      <c r="B80" s="2"/>
      <c r="C80" s="8"/>
      <c r="D80" s="8"/>
      <c r="E80" s="22"/>
    </row>
    <row r="81" spans="1:5" x14ac:dyDescent="0.2">
      <c r="A81" s="78"/>
      <c r="B81" s="2"/>
      <c r="C81" s="8"/>
      <c r="D81" s="8"/>
      <c r="E81" s="22"/>
    </row>
    <row r="82" spans="1:5" x14ac:dyDescent="0.2">
      <c r="A82" s="78"/>
      <c r="B82" s="2"/>
      <c r="C82" s="8"/>
      <c r="D82" s="8"/>
      <c r="E82" s="22"/>
    </row>
    <row r="83" spans="1:5" x14ac:dyDescent="0.2">
      <c r="A83" s="78"/>
      <c r="B83" s="2"/>
      <c r="C83" s="8"/>
      <c r="D83" s="8"/>
      <c r="E83" s="22"/>
    </row>
    <row r="84" spans="1:5" x14ac:dyDescent="0.2">
      <c r="A84" s="78"/>
      <c r="B84" s="2"/>
      <c r="C84" s="8"/>
      <c r="D84" s="8"/>
      <c r="E84" s="22"/>
    </row>
    <row r="85" spans="1:5" x14ac:dyDescent="0.2">
      <c r="A85" s="78"/>
      <c r="B85" s="2"/>
      <c r="C85" s="8"/>
      <c r="D85" s="8"/>
      <c r="E85" s="22"/>
    </row>
    <row r="86" spans="1:5" x14ac:dyDescent="0.2">
      <c r="A86" s="78"/>
      <c r="B86" s="2"/>
      <c r="C86" s="8"/>
      <c r="D86" s="8"/>
      <c r="E86" s="22"/>
    </row>
    <row r="87" spans="1:5" x14ac:dyDescent="0.2">
      <c r="A87" s="78"/>
      <c r="B87" s="2"/>
      <c r="C87" s="8"/>
      <c r="D87" s="8"/>
      <c r="E87" s="22"/>
    </row>
    <row r="88" spans="1:5" x14ac:dyDescent="0.2">
      <c r="A88" s="78"/>
      <c r="B88" s="2"/>
      <c r="C88" s="8"/>
      <c r="D88" s="8"/>
      <c r="E88" s="22"/>
    </row>
    <row r="89" spans="1:5" x14ac:dyDescent="0.2">
      <c r="A89" s="78"/>
      <c r="B89" s="2"/>
      <c r="C89" s="8"/>
      <c r="D89" s="8"/>
      <c r="E89" s="22"/>
    </row>
    <row r="90" spans="1:5" x14ac:dyDescent="0.2">
      <c r="A90" s="78"/>
      <c r="B90" s="2"/>
      <c r="C90" s="8"/>
      <c r="D90" s="8"/>
      <c r="E90" s="22"/>
    </row>
    <row r="91" spans="1:5" x14ac:dyDescent="0.2">
      <c r="A91" s="78"/>
      <c r="B91" s="2"/>
      <c r="C91" s="8"/>
      <c r="D91" s="8"/>
      <c r="E91" s="22"/>
    </row>
    <row r="92" spans="1:5" x14ac:dyDescent="0.2">
      <c r="A92" s="78"/>
      <c r="B92" s="2"/>
      <c r="C92" s="8"/>
      <c r="D92" s="8"/>
      <c r="E92" s="22"/>
    </row>
    <row r="93" spans="1:5" x14ac:dyDescent="0.2">
      <c r="A93" s="78"/>
      <c r="B93" s="2"/>
      <c r="C93" s="8"/>
      <c r="D93" s="8"/>
      <c r="E93" s="22"/>
    </row>
    <row r="94" spans="1:5" x14ac:dyDescent="0.2">
      <c r="A94" s="78"/>
      <c r="B94" s="2"/>
      <c r="C94" s="8"/>
      <c r="D94" s="8"/>
      <c r="E94" s="22"/>
    </row>
    <row r="95" spans="1:5" x14ac:dyDescent="0.2">
      <c r="A95" s="78"/>
      <c r="B95" s="2"/>
      <c r="C95" s="8"/>
      <c r="D95" s="8"/>
      <c r="E95" s="22"/>
    </row>
    <row r="96" spans="1:5" x14ac:dyDescent="0.2">
      <c r="A96" s="78"/>
      <c r="B96" s="2"/>
      <c r="C96" s="8"/>
      <c r="D96" s="8"/>
      <c r="E96" s="22"/>
    </row>
    <row r="97" spans="1:5" x14ac:dyDescent="0.2">
      <c r="A97" s="78"/>
      <c r="B97" s="2"/>
      <c r="C97" s="8"/>
      <c r="D97" s="8"/>
      <c r="E97" s="22"/>
    </row>
    <row r="98" spans="1:5" x14ac:dyDescent="0.2">
      <c r="A98" s="78"/>
      <c r="B98" s="2"/>
      <c r="C98" s="8"/>
      <c r="D98" s="8"/>
      <c r="E98" s="22"/>
    </row>
    <row r="99" spans="1:5" x14ac:dyDescent="0.2">
      <c r="A99" s="78"/>
      <c r="B99" s="2"/>
      <c r="C99" s="8"/>
      <c r="D99" s="8"/>
      <c r="E99" s="22"/>
    </row>
    <row r="100" spans="1:5" x14ac:dyDescent="0.2">
      <c r="A100" s="78"/>
      <c r="B100" s="2"/>
      <c r="C100" s="8"/>
      <c r="D100" s="8"/>
      <c r="E100" s="22"/>
    </row>
    <row r="101" spans="1:5" x14ac:dyDescent="0.2">
      <c r="A101" s="78"/>
      <c r="B101" s="2"/>
      <c r="C101" s="8"/>
      <c r="D101" s="8"/>
      <c r="E101" s="22"/>
    </row>
    <row r="102" spans="1:5" x14ac:dyDescent="0.2">
      <c r="A102" s="78"/>
      <c r="B102" s="2"/>
      <c r="C102" s="8"/>
      <c r="D102" s="8"/>
      <c r="E102" s="22"/>
    </row>
    <row r="103" spans="1:5" x14ac:dyDescent="0.2">
      <c r="A103" s="78"/>
      <c r="B103" s="2"/>
      <c r="C103" s="8"/>
      <c r="D103" s="8"/>
      <c r="E103" s="22"/>
    </row>
    <row r="104" spans="1:5" x14ac:dyDescent="0.2">
      <c r="A104" s="78"/>
      <c r="B104" s="2"/>
      <c r="C104" s="8"/>
      <c r="D104" s="8"/>
      <c r="E104" s="22"/>
    </row>
    <row r="105" spans="1:5" x14ac:dyDescent="0.2">
      <c r="A105" s="78"/>
      <c r="B105" s="2"/>
      <c r="C105" s="8"/>
      <c r="D105" s="8"/>
      <c r="E105" s="22"/>
    </row>
    <row r="106" spans="1:5" x14ac:dyDescent="0.2">
      <c r="A106" s="78"/>
      <c r="B106" s="2"/>
      <c r="C106" s="8"/>
      <c r="D106" s="8"/>
      <c r="E106" s="22"/>
    </row>
    <row r="107" spans="1:5" x14ac:dyDescent="0.2">
      <c r="A107" s="78"/>
      <c r="B107" s="2"/>
      <c r="C107" s="8"/>
      <c r="D107" s="8"/>
      <c r="E107" s="22"/>
    </row>
    <row r="108" spans="1:5" x14ac:dyDescent="0.2">
      <c r="A108" s="78"/>
      <c r="B108" s="2"/>
      <c r="C108" s="8"/>
      <c r="D108" s="8"/>
      <c r="E108" s="22"/>
    </row>
    <row r="109" spans="1:5" x14ac:dyDescent="0.2">
      <c r="A109" s="78"/>
      <c r="B109" s="2"/>
      <c r="C109" s="8"/>
      <c r="D109" s="8"/>
      <c r="E109" s="22"/>
    </row>
    <row r="110" spans="1:5" x14ac:dyDescent="0.2">
      <c r="A110" s="78"/>
      <c r="B110" s="2"/>
      <c r="C110" s="8"/>
      <c r="D110" s="8"/>
      <c r="E110" s="22"/>
    </row>
    <row r="111" spans="1:5" x14ac:dyDescent="0.2">
      <c r="A111" s="78"/>
      <c r="B111" s="2"/>
      <c r="C111" s="8"/>
      <c r="D111" s="8"/>
      <c r="E111" s="22"/>
    </row>
    <row r="112" spans="1:5" x14ac:dyDescent="0.2">
      <c r="A112" s="78"/>
      <c r="B112" s="2"/>
      <c r="C112" s="8"/>
      <c r="D112" s="8"/>
      <c r="E112" s="22"/>
    </row>
    <row r="113" spans="1:5" x14ac:dyDescent="0.2">
      <c r="A113" s="78"/>
      <c r="B113" s="2"/>
      <c r="C113" s="8"/>
      <c r="D113" s="8"/>
      <c r="E113" s="22"/>
    </row>
    <row r="114" spans="1:5" x14ac:dyDescent="0.2">
      <c r="A114" s="78"/>
      <c r="B114" s="2"/>
      <c r="C114" s="8"/>
      <c r="D114" s="8"/>
      <c r="E114" s="22"/>
    </row>
    <row r="115" spans="1:5" x14ac:dyDescent="0.2">
      <c r="A115" s="78"/>
      <c r="B115" s="2"/>
      <c r="C115" s="8"/>
      <c r="D115" s="8"/>
      <c r="E115" s="22"/>
    </row>
    <row r="116" spans="1:5" x14ac:dyDescent="0.2">
      <c r="A116" s="78"/>
      <c r="B116" s="2"/>
      <c r="C116" s="8"/>
      <c r="D116" s="8"/>
      <c r="E116" s="22"/>
    </row>
    <row r="117" spans="1:5" x14ac:dyDescent="0.2">
      <c r="A117" s="78"/>
      <c r="B117" s="2"/>
      <c r="C117" s="8"/>
      <c r="D117" s="8"/>
      <c r="E117" s="22"/>
    </row>
    <row r="118" spans="1:5" x14ac:dyDescent="0.2">
      <c r="A118" s="78"/>
      <c r="B118" s="2"/>
      <c r="C118" s="8"/>
      <c r="D118" s="8"/>
      <c r="E118" s="22"/>
    </row>
    <row r="119" spans="1:5" x14ac:dyDescent="0.2">
      <c r="A119" s="78"/>
      <c r="B119" s="2"/>
      <c r="C119" s="8"/>
      <c r="D119" s="8"/>
      <c r="E119" s="22"/>
    </row>
    <row r="120" spans="1:5" x14ac:dyDescent="0.2">
      <c r="A120" s="78"/>
      <c r="B120" s="2"/>
      <c r="C120" s="8"/>
      <c r="D120" s="8"/>
      <c r="E120" s="22"/>
    </row>
    <row r="121" spans="1:5" x14ac:dyDescent="0.2">
      <c r="A121" s="78"/>
      <c r="B121" s="2"/>
      <c r="C121" s="8"/>
      <c r="D121" s="8"/>
      <c r="E121" s="22"/>
    </row>
    <row r="122" spans="1:5" x14ac:dyDescent="0.2">
      <c r="A122" s="78"/>
      <c r="B122" s="2"/>
      <c r="C122" s="8"/>
      <c r="D122" s="8"/>
      <c r="E122" s="22"/>
    </row>
    <row r="123" spans="1:5" x14ac:dyDescent="0.2">
      <c r="A123" s="78"/>
      <c r="B123" s="2"/>
      <c r="C123" s="8"/>
      <c r="D123" s="8"/>
      <c r="E123" s="22"/>
    </row>
    <row r="124" spans="1:5" x14ac:dyDescent="0.2">
      <c r="A124" s="78"/>
      <c r="B124" s="2"/>
      <c r="C124" s="8"/>
      <c r="D124" s="8"/>
      <c r="E124" s="22"/>
    </row>
    <row r="125" spans="1:5" x14ac:dyDescent="0.2">
      <c r="A125" s="78"/>
      <c r="B125" s="2"/>
      <c r="C125" s="8"/>
      <c r="D125" s="8"/>
      <c r="E125" s="22"/>
    </row>
    <row r="126" spans="1:5" x14ac:dyDescent="0.2">
      <c r="A126" s="78"/>
      <c r="B126" s="2"/>
      <c r="C126" s="8"/>
      <c r="D126" s="8"/>
      <c r="E126" s="22"/>
    </row>
    <row r="127" spans="1:5" x14ac:dyDescent="0.2">
      <c r="A127" s="78"/>
      <c r="B127" s="2"/>
      <c r="C127" s="8"/>
      <c r="D127" s="8"/>
      <c r="E127" s="22"/>
    </row>
    <row r="128" spans="1:5" x14ac:dyDescent="0.2">
      <c r="A128" s="78"/>
      <c r="B128" s="2"/>
      <c r="C128" s="8"/>
      <c r="D128" s="8"/>
      <c r="E128" s="22"/>
    </row>
    <row r="129" spans="1:5" x14ac:dyDescent="0.2">
      <c r="A129" s="78"/>
      <c r="B129" s="2"/>
      <c r="C129" s="8"/>
      <c r="D129" s="8"/>
      <c r="E129" s="22"/>
    </row>
    <row r="130" spans="1:5" x14ac:dyDescent="0.2">
      <c r="A130" s="78"/>
      <c r="B130" s="2"/>
      <c r="C130" s="8"/>
      <c r="D130" s="8"/>
      <c r="E130" s="22"/>
    </row>
    <row r="131" spans="1:5" x14ac:dyDescent="0.2">
      <c r="A131" s="78"/>
      <c r="B131" s="2"/>
      <c r="C131" s="8"/>
      <c r="D131" s="8"/>
      <c r="E131" s="22"/>
    </row>
    <row r="132" spans="1:5" x14ac:dyDescent="0.2">
      <c r="A132" s="78"/>
      <c r="B132" s="2"/>
      <c r="C132" s="8"/>
      <c r="D132" s="8"/>
      <c r="E132" s="22"/>
    </row>
    <row r="133" spans="1:5" x14ac:dyDescent="0.2">
      <c r="A133" s="78"/>
      <c r="B133" s="2"/>
      <c r="C133" s="8"/>
      <c r="D133" s="8"/>
      <c r="E133" s="22"/>
    </row>
    <row r="134" spans="1:5" x14ac:dyDescent="0.2">
      <c r="A134" s="78"/>
      <c r="B134" s="2"/>
      <c r="C134" s="8"/>
      <c r="D134" s="8"/>
      <c r="E134" s="22"/>
    </row>
    <row r="135" spans="1:5" x14ac:dyDescent="0.2">
      <c r="A135" s="78"/>
      <c r="B135" s="2"/>
      <c r="C135" s="8"/>
      <c r="D135" s="8"/>
      <c r="E135" s="22"/>
    </row>
    <row r="136" spans="1:5" x14ac:dyDescent="0.2">
      <c r="A136" s="78"/>
      <c r="B136" s="2"/>
      <c r="C136" s="8"/>
      <c r="D136" s="8"/>
      <c r="E136" s="22"/>
    </row>
    <row r="137" spans="1:5" x14ac:dyDescent="0.2">
      <c r="A137" s="78"/>
      <c r="B137" s="2"/>
      <c r="C137" s="8"/>
      <c r="D137" s="8"/>
      <c r="E137" s="22"/>
    </row>
    <row r="138" spans="1:5" x14ac:dyDescent="0.2">
      <c r="A138" s="78"/>
      <c r="B138" s="2"/>
      <c r="C138" s="8"/>
      <c r="D138" s="8"/>
      <c r="E138" s="22"/>
    </row>
    <row r="139" spans="1:5" x14ac:dyDescent="0.2">
      <c r="A139" s="78"/>
      <c r="B139" s="2"/>
      <c r="C139" s="8"/>
      <c r="D139" s="8"/>
      <c r="E139" s="22"/>
    </row>
    <row r="140" spans="1:5" x14ac:dyDescent="0.2">
      <c r="A140" s="78"/>
      <c r="B140" s="2"/>
      <c r="C140" s="8"/>
      <c r="D140" s="8"/>
      <c r="E140" s="22"/>
    </row>
    <row r="141" spans="1:5" x14ac:dyDescent="0.2">
      <c r="A141" s="78"/>
      <c r="B141" s="2"/>
      <c r="C141" s="8"/>
      <c r="D141" s="8"/>
      <c r="E141" s="22"/>
    </row>
    <row r="142" spans="1:5" x14ac:dyDescent="0.2">
      <c r="A142" s="78"/>
      <c r="B142" s="2"/>
      <c r="C142" s="8"/>
      <c r="D142" s="8"/>
      <c r="E142" s="22"/>
    </row>
    <row r="143" spans="1:5" x14ac:dyDescent="0.2">
      <c r="A143" s="78"/>
      <c r="B143" s="2"/>
      <c r="C143" s="8"/>
      <c r="D143" s="8"/>
      <c r="E143" s="22"/>
    </row>
    <row r="144" spans="1:5" x14ac:dyDescent="0.2">
      <c r="A144" s="78"/>
      <c r="B144" s="2"/>
      <c r="C144" s="8"/>
      <c r="D144" s="8"/>
      <c r="E144" s="22"/>
    </row>
    <row r="145" spans="1:5" x14ac:dyDescent="0.2">
      <c r="A145" s="78"/>
      <c r="B145" s="2"/>
      <c r="C145" s="8"/>
      <c r="D145" s="8"/>
      <c r="E145" s="22"/>
    </row>
    <row r="146" spans="1:5" x14ac:dyDescent="0.2">
      <c r="A146" s="78"/>
      <c r="B146" s="2"/>
      <c r="C146" s="8"/>
      <c r="D146" s="8"/>
      <c r="E146" s="22"/>
    </row>
    <row r="147" spans="1:5" x14ac:dyDescent="0.2">
      <c r="A147" s="78"/>
      <c r="B147" s="2"/>
      <c r="C147" s="8"/>
      <c r="D147" s="8"/>
      <c r="E147" s="22"/>
    </row>
    <row r="148" spans="1:5" x14ac:dyDescent="0.2">
      <c r="A148" s="78"/>
      <c r="B148" s="2"/>
      <c r="C148" s="8"/>
      <c r="D148" s="8"/>
      <c r="E148" s="22"/>
    </row>
    <row r="149" spans="1:5" x14ac:dyDescent="0.2">
      <c r="A149" s="78"/>
      <c r="B149" s="2"/>
      <c r="C149" s="8"/>
      <c r="D149" s="8"/>
      <c r="E149" s="22"/>
    </row>
    <row r="150" spans="1:5" x14ac:dyDescent="0.2">
      <c r="A150" s="78"/>
      <c r="B150" s="2"/>
      <c r="C150" s="8"/>
      <c r="D150" s="8"/>
      <c r="E150" s="22"/>
    </row>
    <row r="151" spans="1:5" x14ac:dyDescent="0.2">
      <c r="A151" s="78"/>
      <c r="B151" s="2"/>
      <c r="C151" s="8"/>
      <c r="D151" s="8"/>
      <c r="E151" s="22"/>
    </row>
    <row r="152" spans="1:5" x14ac:dyDescent="0.2">
      <c r="A152" s="78"/>
      <c r="B152" s="2"/>
      <c r="C152" s="8"/>
      <c r="D152" s="8"/>
      <c r="E152" s="22"/>
    </row>
    <row r="153" spans="1:5" x14ac:dyDescent="0.2">
      <c r="A153" s="78"/>
      <c r="B153" s="2"/>
      <c r="C153" s="8"/>
      <c r="D153" s="8"/>
      <c r="E153" s="22"/>
    </row>
    <row r="154" spans="1:5" x14ac:dyDescent="0.2">
      <c r="A154" s="78"/>
      <c r="B154" s="2"/>
      <c r="C154" s="8"/>
      <c r="D154" s="8"/>
      <c r="E154" s="22"/>
    </row>
    <row r="155" spans="1:5" x14ac:dyDescent="0.2">
      <c r="A155" s="78"/>
      <c r="B155" s="2"/>
      <c r="C155" s="8"/>
      <c r="D155" s="8"/>
      <c r="E155" s="22"/>
    </row>
    <row r="156" spans="1:5" x14ac:dyDescent="0.2">
      <c r="A156" s="78"/>
      <c r="B156" s="2"/>
      <c r="C156" s="8"/>
      <c r="D156" s="8"/>
      <c r="E156" s="22"/>
    </row>
    <row r="157" spans="1:5" x14ac:dyDescent="0.2">
      <c r="A157" s="78"/>
      <c r="B157" s="2"/>
      <c r="C157" s="8"/>
      <c r="D157" s="8"/>
      <c r="E157" s="22"/>
    </row>
    <row r="158" spans="1:5" x14ac:dyDescent="0.2">
      <c r="A158" s="78"/>
      <c r="B158" s="2"/>
      <c r="C158" s="8"/>
      <c r="D158" s="8"/>
      <c r="E158" s="22"/>
    </row>
    <row r="159" spans="1:5" x14ac:dyDescent="0.2">
      <c r="A159" s="78"/>
      <c r="B159" s="2"/>
      <c r="C159" s="8"/>
      <c r="D159" s="8"/>
      <c r="E159" s="22"/>
    </row>
    <row r="160" spans="1:5" x14ac:dyDescent="0.2">
      <c r="A160" s="78"/>
      <c r="B160" s="2"/>
      <c r="C160" s="8"/>
      <c r="D160" s="8"/>
      <c r="E160" s="22"/>
    </row>
    <row r="161" spans="1:5" x14ac:dyDescent="0.2">
      <c r="A161" s="78"/>
      <c r="B161" s="2"/>
      <c r="C161" s="8"/>
      <c r="D161" s="8"/>
      <c r="E161" s="22"/>
    </row>
    <row r="162" spans="1:5" x14ac:dyDescent="0.2">
      <c r="A162" s="78"/>
      <c r="B162" s="2"/>
      <c r="C162" s="8"/>
      <c r="D162" s="8"/>
      <c r="E162" s="22"/>
    </row>
    <row r="163" spans="1:5" x14ac:dyDescent="0.2">
      <c r="A163" s="78"/>
      <c r="B163" s="2"/>
      <c r="C163" s="8"/>
      <c r="D163" s="8"/>
      <c r="E163" s="22"/>
    </row>
    <row r="164" spans="1:5" x14ac:dyDescent="0.2">
      <c r="A164" s="78"/>
      <c r="B164" s="2"/>
      <c r="C164" s="8"/>
      <c r="D164" s="8"/>
      <c r="E164" s="22"/>
    </row>
    <row r="165" spans="1:5" x14ac:dyDescent="0.2">
      <c r="A165" s="78"/>
      <c r="B165" s="2"/>
      <c r="C165" s="8"/>
      <c r="D165" s="8"/>
      <c r="E165" s="22"/>
    </row>
    <row r="166" spans="1:5" x14ac:dyDescent="0.2">
      <c r="A166" s="78"/>
      <c r="B166" s="2"/>
      <c r="C166" s="8"/>
      <c r="D166" s="8"/>
      <c r="E166" s="22"/>
    </row>
    <row r="167" spans="1:5" x14ac:dyDescent="0.2">
      <c r="A167" s="78"/>
      <c r="B167" s="2"/>
      <c r="C167" s="8"/>
      <c r="D167" s="8"/>
      <c r="E167" s="22"/>
    </row>
    <row r="168" spans="1:5" x14ac:dyDescent="0.2">
      <c r="A168" s="78"/>
      <c r="B168" s="2"/>
      <c r="C168" s="8"/>
      <c r="D168" s="8"/>
      <c r="E168" s="22"/>
    </row>
    <row r="169" spans="1:5" x14ac:dyDescent="0.2">
      <c r="A169" s="78"/>
      <c r="B169" s="2"/>
      <c r="C169" s="8"/>
      <c r="D169" s="8"/>
      <c r="E169" s="22"/>
    </row>
    <row r="170" spans="1:5" x14ac:dyDescent="0.2">
      <c r="A170" s="78"/>
      <c r="B170" s="2"/>
      <c r="C170" s="8"/>
      <c r="D170" s="8"/>
      <c r="E170" s="22"/>
    </row>
    <row r="171" spans="1:5" x14ac:dyDescent="0.2">
      <c r="A171" s="78"/>
      <c r="B171" s="2"/>
      <c r="C171" s="8"/>
      <c r="D171" s="8"/>
      <c r="E171" s="22"/>
    </row>
    <row r="172" spans="1:5" x14ac:dyDescent="0.2">
      <c r="A172" s="78"/>
      <c r="B172" s="2"/>
      <c r="C172" s="8"/>
      <c r="D172" s="8"/>
      <c r="E172" s="22"/>
    </row>
    <row r="173" spans="1:5" x14ac:dyDescent="0.2">
      <c r="A173" s="78"/>
      <c r="B173" s="2"/>
      <c r="C173" s="8"/>
      <c r="D173" s="8"/>
      <c r="E173" s="22"/>
    </row>
    <row r="174" spans="1:5" x14ac:dyDescent="0.2">
      <c r="A174" s="78"/>
      <c r="B174" s="2"/>
      <c r="C174" s="8"/>
      <c r="D174" s="8"/>
      <c r="E174" s="22"/>
    </row>
    <row r="175" spans="1:5" x14ac:dyDescent="0.2">
      <c r="A175" s="78"/>
      <c r="B175" s="2"/>
      <c r="C175" s="8"/>
      <c r="D175" s="8"/>
      <c r="E175" s="22"/>
    </row>
    <row r="176" spans="1:5" x14ac:dyDescent="0.2">
      <c r="A176" s="78"/>
      <c r="B176" s="2"/>
      <c r="C176" s="8"/>
      <c r="D176" s="8"/>
      <c r="E176" s="22"/>
    </row>
    <row r="177" spans="1:5" x14ac:dyDescent="0.2">
      <c r="A177" s="78"/>
      <c r="B177" s="2"/>
      <c r="C177" s="8"/>
      <c r="D177" s="8"/>
      <c r="E177" s="22"/>
    </row>
    <row r="178" spans="1:5" x14ac:dyDescent="0.2">
      <c r="A178" s="78"/>
      <c r="B178" s="2"/>
      <c r="C178" s="8"/>
      <c r="D178" s="8"/>
      <c r="E178" s="22"/>
    </row>
    <row r="179" spans="1:5" x14ac:dyDescent="0.2">
      <c r="A179" s="78"/>
      <c r="B179" s="2"/>
      <c r="C179" s="8"/>
      <c r="D179" s="8"/>
      <c r="E179" s="22"/>
    </row>
    <row r="180" spans="1:5" x14ac:dyDescent="0.2">
      <c r="A180" s="78"/>
      <c r="B180" s="2"/>
      <c r="C180" s="8"/>
      <c r="D180" s="8"/>
      <c r="E180" s="22"/>
    </row>
    <row r="181" spans="1:5" x14ac:dyDescent="0.2">
      <c r="A181" s="78"/>
      <c r="B181" s="2"/>
      <c r="C181" s="8"/>
      <c r="D181" s="8"/>
      <c r="E181" s="22"/>
    </row>
    <row r="182" spans="1:5" x14ac:dyDescent="0.2">
      <c r="A182" s="78"/>
      <c r="B182" s="2"/>
      <c r="C182" s="8"/>
      <c r="D182" s="8"/>
      <c r="E182" s="22"/>
    </row>
    <row r="183" spans="1:5" x14ac:dyDescent="0.2">
      <c r="A183" s="78"/>
      <c r="B183" s="2"/>
      <c r="C183" s="8"/>
      <c r="D183" s="8"/>
      <c r="E183" s="22"/>
    </row>
    <row r="184" spans="1:5" x14ac:dyDescent="0.2">
      <c r="A184" s="78"/>
      <c r="B184" s="2"/>
      <c r="C184" s="8"/>
      <c r="D184" s="8"/>
      <c r="E184" s="22"/>
    </row>
    <row r="185" spans="1:5" x14ac:dyDescent="0.2">
      <c r="A185" s="78"/>
      <c r="B185" s="2"/>
      <c r="C185" s="8"/>
      <c r="D185" s="8"/>
      <c r="E185" s="22"/>
    </row>
    <row r="186" spans="1:5" x14ac:dyDescent="0.2">
      <c r="A186" s="78"/>
      <c r="B186" s="2"/>
      <c r="C186" s="8"/>
      <c r="D186" s="8"/>
      <c r="E186" s="22"/>
    </row>
    <row r="187" spans="1:5" x14ac:dyDescent="0.2">
      <c r="A187" s="78"/>
      <c r="B187" s="2"/>
      <c r="C187" s="8"/>
      <c r="D187" s="8"/>
      <c r="E187" s="22"/>
    </row>
    <row r="188" spans="1:5" x14ac:dyDescent="0.2">
      <c r="A188" s="78"/>
      <c r="B188" s="2"/>
      <c r="C188" s="8"/>
      <c r="D188" s="8"/>
      <c r="E188" s="22"/>
    </row>
    <row r="189" spans="1:5" x14ac:dyDescent="0.2">
      <c r="A189" s="78"/>
      <c r="B189" s="2"/>
      <c r="C189" s="8"/>
      <c r="D189" s="8"/>
      <c r="E189" s="22"/>
    </row>
    <row r="190" spans="1:5" x14ac:dyDescent="0.2">
      <c r="A190" s="78"/>
      <c r="B190" s="2"/>
      <c r="C190" s="8"/>
      <c r="D190" s="8"/>
      <c r="E190" s="22"/>
    </row>
    <row r="191" spans="1:5" x14ac:dyDescent="0.2">
      <c r="A191" s="78"/>
      <c r="B191" s="2"/>
      <c r="C191" s="8"/>
      <c r="D191" s="8"/>
      <c r="E191" s="22"/>
    </row>
    <row r="192" spans="1:5" x14ac:dyDescent="0.2">
      <c r="A192" s="78"/>
      <c r="B192" s="2"/>
      <c r="C192" s="8"/>
      <c r="D192" s="8"/>
      <c r="E192" s="22"/>
    </row>
    <row r="193" spans="1:5" x14ac:dyDescent="0.2">
      <c r="A193" s="78"/>
      <c r="B193" s="2"/>
      <c r="C193" s="8"/>
      <c r="D193" s="8"/>
      <c r="E193" s="22"/>
    </row>
    <row r="194" spans="1:5" x14ac:dyDescent="0.2">
      <c r="A194" s="78"/>
      <c r="B194" s="2"/>
      <c r="C194" s="8"/>
      <c r="D194" s="8"/>
      <c r="E194" s="22"/>
    </row>
    <row r="195" spans="1:5" x14ac:dyDescent="0.2">
      <c r="A195" s="78"/>
      <c r="B195" s="2"/>
      <c r="C195" s="8"/>
      <c r="D195" s="8"/>
      <c r="E195" s="22"/>
    </row>
    <row r="196" spans="1:5" x14ac:dyDescent="0.2">
      <c r="A196" s="78"/>
      <c r="B196" s="2"/>
      <c r="C196" s="8"/>
      <c r="D196" s="8"/>
      <c r="E196" s="22"/>
    </row>
    <row r="197" spans="1:5" x14ac:dyDescent="0.2">
      <c r="A197" s="78"/>
      <c r="B197" s="2"/>
      <c r="C197" s="8"/>
      <c r="D197" s="8"/>
      <c r="E197" s="22"/>
    </row>
    <row r="198" spans="1:5" x14ac:dyDescent="0.2">
      <c r="A198" s="78"/>
      <c r="B198" s="2"/>
      <c r="C198" s="8"/>
      <c r="D198" s="8"/>
      <c r="E198" s="22"/>
    </row>
    <row r="199" spans="1:5" x14ac:dyDescent="0.2">
      <c r="A199" s="78"/>
      <c r="B199" s="2"/>
      <c r="C199" s="8"/>
      <c r="D199" s="8"/>
      <c r="E199" s="22"/>
    </row>
    <row r="200" spans="1:5" x14ac:dyDescent="0.2">
      <c r="A200" s="78"/>
      <c r="B200" s="2"/>
      <c r="C200" s="8"/>
      <c r="D200" s="8"/>
      <c r="E200" s="22"/>
    </row>
    <row r="201" spans="1:5" x14ac:dyDescent="0.2">
      <c r="A201" s="78"/>
      <c r="B201" s="2"/>
      <c r="C201" s="8"/>
      <c r="D201" s="8"/>
      <c r="E201" s="22"/>
    </row>
    <row r="202" spans="1:5" x14ac:dyDescent="0.2">
      <c r="A202" s="78"/>
      <c r="B202" s="2"/>
      <c r="C202" s="8"/>
      <c r="D202" s="8"/>
      <c r="E202" s="22"/>
    </row>
    <row r="203" spans="1:5" x14ac:dyDescent="0.2">
      <c r="A203" s="78"/>
      <c r="B203" s="2"/>
      <c r="C203" s="8"/>
      <c r="D203" s="8"/>
      <c r="E203" s="22"/>
    </row>
    <row r="204" spans="1:5" x14ac:dyDescent="0.2">
      <c r="A204" s="78"/>
      <c r="B204" s="2"/>
      <c r="C204" s="8"/>
      <c r="D204" s="8"/>
      <c r="E204" s="22"/>
    </row>
    <row r="205" spans="1:5" x14ac:dyDescent="0.2">
      <c r="A205" s="78"/>
      <c r="B205" s="2"/>
      <c r="C205" s="8"/>
      <c r="D205" s="8"/>
      <c r="E205" s="22"/>
    </row>
    <row r="206" spans="1:5" x14ac:dyDescent="0.2">
      <c r="A206" s="78"/>
      <c r="B206" s="2"/>
      <c r="C206" s="8"/>
      <c r="D206" s="8"/>
      <c r="E206" s="22"/>
    </row>
    <row r="207" spans="1:5" x14ac:dyDescent="0.2">
      <c r="A207" s="78"/>
      <c r="B207" s="2"/>
      <c r="C207" s="8"/>
      <c r="D207" s="8"/>
      <c r="E207" s="22"/>
    </row>
  </sheetData>
  <mergeCells count="2">
    <mergeCell ref="A1:C1"/>
    <mergeCell ref="E1:G1"/>
  </mergeCells>
  <hyperlinks>
    <hyperlink ref="E1:G1" location="'Master Sheet'!A1" display="GO BACK TO MASTER SHEET" xr:uid="{B058ED39-4D42-AD47-91D6-97E89A245C6D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DDC113C-A345-F540-9E86-5C36230A8DB4}">
          <x14:formula1>
            <xm:f>'Master Sheet'!$AJ$5:$AJ$6</xm:f>
          </x14:formula1>
          <xm:sqref>C8:C1048576</xm:sqref>
        </x14:dataValidation>
        <x14:dataValidation type="list" allowBlank="1" showInputMessage="1" showErrorMessage="1" xr:uid="{E39FD67B-D82E-DE45-BFFF-F1FF96046EA5}">
          <x14:formula1>
            <xm:f>'Master Sheet'!$AE$5:$AE$34</xm:f>
          </x14:formula1>
          <xm:sqref>B8:B1048576</xm:sqref>
        </x14:dataValidation>
        <x14:dataValidation type="list" allowBlank="1" showInputMessage="1" showErrorMessage="1" xr:uid="{85D17A74-6AE4-D54D-94AB-8F4B4C5233B6}">
          <x14:formula1>
            <xm:f>'Master Sheet'!$AL$5:$AL$6</xm:f>
          </x14:formula1>
          <xm:sqref>D8:D1048576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08"/>
  <sheetViews>
    <sheetView showGridLines="0" zoomScale="131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Beltexeco Limited - zone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V001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3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ref="R74:R137" si="3">IF(O74=$U$3,(Q74*G74)+(Q74*H74)+(E74*J74)+(L74)+I74+K74+M74+N74+Q74,IF(O74=$U$4,-P74,""))</f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si="3"/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ref="R138:R201" si="5">IF(O138=$U$3,(Q138*G138)+(Q138*H138)+(E138*J138)+(L138)+I138+K138+M138+N138+Q138,IF(O138=$U$4,-P138,""))</f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si="5"/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ref="R202:R208" si="7">IF(O202=$U$3,(Q202*G202)+(Q202*H202)+(E202*J202)+(L202)+I202+K202+M202+N202+Q202,IF(O202=$U$4,-P202,""))</f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si="7"/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80" priority="3" operator="equal">
      <formula>"ERROR"</formula>
    </cfRule>
  </conditionalFormatting>
  <conditionalFormatting sqref="D4">
    <cfRule type="cellIs" dxfId="179" priority="1" operator="lessThanOrEqual">
      <formula>0</formula>
    </cfRule>
    <cfRule type="cellIs" dxfId="178" priority="2" operator="greaterThan">
      <formula>0</formula>
    </cfRule>
  </conditionalFormatting>
  <dataValidations count="1">
    <dataValidation type="list" allowBlank="1" showInputMessage="1" showErrorMessage="1" sqref="O9:O1048576" xr:uid="{EFBCCDD1-88A7-A247-A46D-443A543BB957}">
      <formula1>$U$3:$U$4</formula1>
    </dataValidation>
  </dataValidations>
  <hyperlinks>
    <hyperlink ref="E1:G1" location="'Master Sheet'!A1" display="GO BACK TO MASTER SHEET" xr:uid="{F0AA7474-B0E5-C543-9EBA-555B36E0DF5C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0E19BF06-A10B-A849-9159-5B1D2DBE7035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F30F7A33-9AD2-914D-A8B9-E72126A12736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BEAB9-4068-8448-9B1C-7BBB96457B01}">
  <sheetPr codeName="Sheet4"/>
  <dimension ref="A1:W208"/>
  <sheetViews>
    <sheetView showGridLines="0" workbookViewId="0">
      <pane ySplit="8" topLeftCell="A14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0.33203125" style="83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8" width="16" customWidth="1"/>
    <col min="19" max="19" width="26" style="42" customWidth="1"/>
  </cols>
  <sheetData>
    <row r="1" spans="1:23" ht="24" customHeight="1" x14ac:dyDescent="0.2">
      <c r="A1" s="86" t="str">
        <f ca="1">VLOOKUP(A2,'Master Sheet'!J5:K39,2)</f>
        <v>Anjum Chemical- Pak petro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S1"/>
    </row>
    <row r="2" spans="1:23" ht="20" thickBot="1" x14ac:dyDescent="0.3">
      <c r="A2" s="48" t="str" cm="1">
        <f t="array" aca="1" ref="A2" ca="1">MID(CELL("filename",A1),FIND("]",CELL("filename",A1))+1,99)</f>
        <v>C001</v>
      </c>
      <c r="F2"/>
      <c r="G2"/>
      <c r="H2"/>
      <c r="I2"/>
      <c r="J2"/>
      <c r="K2"/>
      <c r="L2"/>
      <c r="M2"/>
      <c r="N2"/>
      <c r="P2"/>
      <c r="S2"/>
    </row>
    <row r="3" spans="1:23" ht="16" thickBot="1" x14ac:dyDescent="0.25">
      <c r="A3" s="3"/>
      <c r="F3"/>
      <c r="G3"/>
      <c r="H3"/>
      <c r="I3"/>
      <c r="J3"/>
      <c r="K3"/>
      <c r="L3"/>
      <c r="M3"/>
      <c r="N3"/>
      <c r="P3"/>
      <c r="S3"/>
      <c r="V3" s="43" t="s">
        <v>83</v>
      </c>
      <c r="W3" s="44"/>
    </row>
    <row r="4" spans="1:23" ht="16" thickBot="1" x14ac:dyDescent="0.25">
      <c r="A4" s="3"/>
      <c r="C4" s="20" t="s">
        <v>201</v>
      </c>
      <c r="D4" s="50">
        <f>SUM(S9:S1048576)</f>
        <v>0</v>
      </c>
      <c r="F4"/>
      <c r="G4"/>
      <c r="H4"/>
      <c r="I4"/>
      <c r="J4"/>
      <c r="K4"/>
      <c r="L4"/>
      <c r="M4"/>
      <c r="N4"/>
      <c r="P4"/>
      <c r="S4"/>
      <c r="V4" s="30" t="s">
        <v>198</v>
      </c>
      <c r="W4" s="45"/>
    </row>
    <row r="5" spans="1:23" x14ac:dyDescent="0.2">
      <c r="A5" s="3"/>
      <c r="F5"/>
      <c r="G5"/>
      <c r="H5"/>
      <c r="I5"/>
      <c r="J5"/>
      <c r="K5"/>
      <c r="L5"/>
      <c r="M5"/>
      <c r="N5"/>
      <c r="P5"/>
      <c r="S5"/>
    </row>
    <row r="6" spans="1:23" x14ac:dyDescent="0.2">
      <c r="A6" s="3"/>
      <c r="F6"/>
      <c r="G6"/>
      <c r="H6"/>
      <c r="I6"/>
      <c r="J6"/>
      <c r="K6"/>
      <c r="L6"/>
      <c r="M6"/>
      <c r="N6"/>
      <c r="P6"/>
      <c r="S6"/>
    </row>
    <row r="7" spans="1:23" x14ac:dyDescent="0.2">
      <c r="A7" s="3"/>
      <c r="F7"/>
      <c r="G7"/>
      <c r="H7"/>
      <c r="I7"/>
      <c r="J7"/>
      <c r="K7"/>
      <c r="L7"/>
      <c r="M7"/>
      <c r="N7"/>
      <c r="P7"/>
      <c r="S7"/>
    </row>
    <row r="8" spans="1:23" ht="36" customHeight="1" x14ac:dyDescent="0.2">
      <c r="A8" s="1" t="s">
        <v>70</v>
      </c>
      <c r="B8" s="84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227</v>
      </c>
      <c r="S8" s="1" t="s">
        <v>196</v>
      </c>
    </row>
    <row r="9" spans="1:23" x14ac:dyDescent="0.2">
      <c r="A9" s="4">
        <v>1</v>
      </c>
      <c r="B9" s="85">
        <v>46022</v>
      </c>
      <c r="C9" s="6"/>
      <c r="D9" s="6" t="s">
        <v>86</v>
      </c>
      <c r="E9" s="7">
        <v>150</v>
      </c>
      <c r="F9" s="41">
        <v>3900</v>
      </c>
      <c r="G9" s="46">
        <v>0.01</v>
      </c>
      <c r="H9" s="39">
        <v>0.18</v>
      </c>
      <c r="I9" s="41"/>
      <c r="J9" s="41"/>
      <c r="K9" s="41"/>
      <c r="L9" s="41"/>
      <c r="M9" s="41"/>
      <c r="N9" s="41"/>
      <c r="O9" s="6" t="s">
        <v>83</v>
      </c>
      <c r="P9" s="41"/>
      <c r="Q9" s="41">
        <f t="shared" ref="Q9:Q22" si="0">E9*F9</f>
        <v>585000</v>
      </c>
      <c r="R9" s="41">
        <f>Q9+(Q9*H9)</f>
        <v>690300</v>
      </c>
      <c r="S9" s="41">
        <f>IF(O9=$V$3,R9-(R9*G9),IF(O9=$V$4,-P9,""))</f>
        <v>683397</v>
      </c>
    </row>
    <row r="10" spans="1:23" x14ac:dyDescent="0.2">
      <c r="A10" s="4">
        <v>2</v>
      </c>
      <c r="B10" s="85">
        <v>46024</v>
      </c>
      <c r="C10" s="6"/>
      <c r="D10" s="6" t="s">
        <v>86</v>
      </c>
      <c r="E10" s="7">
        <v>150</v>
      </c>
      <c r="F10" s="41">
        <v>3900</v>
      </c>
      <c r="G10" s="46">
        <v>0.01</v>
      </c>
      <c r="H10" s="39">
        <v>0.18</v>
      </c>
      <c r="I10" s="41"/>
      <c r="J10" s="41"/>
      <c r="K10" s="41"/>
      <c r="L10" s="41"/>
      <c r="M10" s="41"/>
      <c r="N10" s="41"/>
      <c r="O10" s="6" t="s">
        <v>83</v>
      </c>
      <c r="P10" s="41"/>
      <c r="Q10" s="41">
        <f t="shared" si="0"/>
        <v>585000</v>
      </c>
      <c r="R10" s="41">
        <f t="shared" ref="R10:R73" si="1">Q10+(Q10*H10)</f>
        <v>690300</v>
      </c>
      <c r="S10" s="41">
        <f t="shared" ref="S10:S73" si="2">IF(O10=$V$3,R10-(R10*G10),IF(O10=$V$4,-P10,""))</f>
        <v>683397</v>
      </c>
    </row>
    <row r="11" spans="1:23" x14ac:dyDescent="0.2">
      <c r="A11" s="4">
        <v>3</v>
      </c>
      <c r="B11" s="85">
        <v>46029</v>
      </c>
      <c r="C11" s="6"/>
      <c r="D11" s="6" t="s">
        <v>86</v>
      </c>
      <c r="E11" s="7">
        <v>150</v>
      </c>
      <c r="F11" s="41">
        <v>3900</v>
      </c>
      <c r="G11" s="46">
        <v>0.01</v>
      </c>
      <c r="H11" s="39">
        <v>0.18</v>
      </c>
      <c r="I11" s="41"/>
      <c r="J11" s="41"/>
      <c r="K11" s="41"/>
      <c r="L11" s="41"/>
      <c r="M11" s="41"/>
      <c r="N11" s="41"/>
      <c r="O11" s="6" t="s">
        <v>83</v>
      </c>
      <c r="P11" s="41"/>
      <c r="Q11" s="41">
        <f t="shared" si="0"/>
        <v>585000</v>
      </c>
      <c r="R11" s="41">
        <f t="shared" si="1"/>
        <v>690300</v>
      </c>
      <c r="S11" s="41">
        <f t="shared" si="2"/>
        <v>683397</v>
      </c>
    </row>
    <row r="12" spans="1:23" x14ac:dyDescent="0.2">
      <c r="A12" s="4">
        <v>4</v>
      </c>
      <c r="B12" s="85">
        <v>46032</v>
      </c>
      <c r="C12" s="6"/>
      <c r="D12" s="6" t="s">
        <v>86</v>
      </c>
      <c r="E12" s="7">
        <v>150</v>
      </c>
      <c r="F12" s="41">
        <v>3900</v>
      </c>
      <c r="G12" s="46">
        <v>0.01</v>
      </c>
      <c r="H12" s="39">
        <v>0.18</v>
      </c>
      <c r="I12" s="41"/>
      <c r="J12" s="41"/>
      <c r="K12" s="41"/>
      <c r="L12" s="41"/>
      <c r="M12" s="41"/>
      <c r="N12" s="41"/>
      <c r="O12" s="6" t="s">
        <v>83</v>
      </c>
      <c r="P12" s="41"/>
      <c r="Q12" s="41">
        <f t="shared" si="0"/>
        <v>585000</v>
      </c>
      <c r="R12" s="41">
        <f t="shared" si="1"/>
        <v>690300</v>
      </c>
      <c r="S12" s="41">
        <f t="shared" si="2"/>
        <v>683397</v>
      </c>
    </row>
    <row r="13" spans="1:23" x14ac:dyDescent="0.2">
      <c r="A13" s="4">
        <v>5</v>
      </c>
      <c r="B13" s="85">
        <v>46035</v>
      </c>
      <c r="C13" s="6"/>
      <c r="D13" s="6" t="s">
        <v>86</v>
      </c>
      <c r="E13" s="7">
        <v>150</v>
      </c>
      <c r="F13" s="41">
        <v>3900</v>
      </c>
      <c r="G13" s="46">
        <v>0.01</v>
      </c>
      <c r="H13" s="39">
        <v>0.18</v>
      </c>
      <c r="I13" s="41"/>
      <c r="J13" s="41"/>
      <c r="K13" s="41"/>
      <c r="L13" s="41"/>
      <c r="M13" s="41"/>
      <c r="N13" s="41"/>
      <c r="O13" s="6" t="s">
        <v>83</v>
      </c>
      <c r="P13" s="41"/>
      <c r="Q13" s="41">
        <f t="shared" si="0"/>
        <v>585000</v>
      </c>
      <c r="R13" s="41">
        <f t="shared" si="1"/>
        <v>690300</v>
      </c>
      <c r="S13" s="41">
        <f t="shared" si="2"/>
        <v>683397</v>
      </c>
    </row>
    <row r="14" spans="1:23" x14ac:dyDescent="0.2">
      <c r="A14" s="4">
        <v>6</v>
      </c>
      <c r="B14" s="85">
        <v>46037</v>
      </c>
      <c r="C14" s="6"/>
      <c r="D14" s="6" t="s">
        <v>86</v>
      </c>
      <c r="E14" s="7">
        <v>150</v>
      </c>
      <c r="F14" s="41">
        <v>3900</v>
      </c>
      <c r="G14" s="46">
        <v>0.01</v>
      </c>
      <c r="H14" s="39">
        <v>0.18</v>
      </c>
      <c r="I14" s="41"/>
      <c r="J14" s="41"/>
      <c r="K14" s="41"/>
      <c r="L14" s="41"/>
      <c r="M14" s="41"/>
      <c r="N14" s="41"/>
      <c r="O14" s="6" t="s">
        <v>83</v>
      </c>
      <c r="P14" s="41"/>
      <c r="Q14" s="41">
        <f t="shared" si="0"/>
        <v>585000</v>
      </c>
      <c r="R14" s="41">
        <f t="shared" si="1"/>
        <v>690300</v>
      </c>
      <c r="S14" s="41">
        <f t="shared" si="2"/>
        <v>683397</v>
      </c>
    </row>
    <row r="15" spans="1:23" x14ac:dyDescent="0.2">
      <c r="A15" s="4">
        <v>7</v>
      </c>
      <c r="B15" s="85">
        <v>46042</v>
      </c>
      <c r="C15" s="6"/>
      <c r="D15" s="6" t="s">
        <v>86</v>
      </c>
      <c r="E15" s="7">
        <v>150</v>
      </c>
      <c r="F15" s="41">
        <v>3900</v>
      </c>
      <c r="G15" s="46">
        <v>0.01</v>
      </c>
      <c r="H15" s="39">
        <v>0.18</v>
      </c>
      <c r="I15" s="41"/>
      <c r="J15" s="41"/>
      <c r="K15" s="41"/>
      <c r="L15" s="41"/>
      <c r="M15" s="41"/>
      <c r="N15" s="41"/>
      <c r="O15" s="6" t="s">
        <v>83</v>
      </c>
      <c r="P15" s="41"/>
      <c r="Q15" s="41">
        <f t="shared" si="0"/>
        <v>585000</v>
      </c>
      <c r="R15" s="41">
        <f t="shared" si="1"/>
        <v>690300</v>
      </c>
      <c r="S15" s="41">
        <f t="shared" si="2"/>
        <v>683397</v>
      </c>
    </row>
    <row r="16" spans="1:23" x14ac:dyDescent="0.2">
      <c r="A16" s="4">
        <v>8</v>
      </c>
      <c r="B16" s="85">
        <v>46043</v>
      </c>
      <c r="C16" s="6"/>
      <c r="D16" s="6" t="s">
        <v>86</v>
      </c>
      <c r="E16" s="7">
        <v>150</v>
      </c>
      <c r="F16" s="41">
        <v>3900</v>
      </c>
      <c r="G16" s="46">
        <v>0.01</v>
      </c>
      <c r="H16" s="39">
        <v>0.18</v>
      </c>
      <c r="I16" s="41"/>
      <c r="J16" s="41"/>
      <c r="K16" s="41"/>
      <c r="L16" s="41"/>
      <c r="M16" s="41"/>
      <c r="N16" s="41"/>
      <c r="O16" s="6" t="s">
        <v>83</v>
      </c>
      <c r="P16" s="41"/>
      <c r="Q16" s="41">
        <f t="shared" si="0"/>
        <v>585000</v>
      </c>
      <c r="R16" s="41">
        <f t="shared" si="1"/>
        <v>690300</v>
      </c>
      <c r="S16" s="41">
        <f t="shared" si="2"/>
        <v>683397</v>
      </c>
    </row>
    <row r="17" spans="1:20" x14ac:dyDescent="0.2">
      <c r="A17" s="4">
        <v>9</v>
      </c>
      <c r="B17" s="85">
        <v>46044</v>
      </c>
      <c r="C17" s="6"/>
      <c r="D17" s="6" t="s">
        <v>86</v>
      </c>
      <c r="E17" s="7">
        <v>150</v>
      </c>
      <c r="F17" s="41">
        <v>3900</v>
      </c>
      <c r="G17" s="46">
        <v>0.01</v>
      </c>
      <c r="H17" s="39">
        <v>0.18</v>
      </c>
      <c r="I17" s="41"/>
      <c r="J17" s="41"/>
      <c r="K17" s="41"/>
      <c r="L17" s="41"/>
      <c r="M17" s="41"/>
      <c r="N17" s="41"/>
      <c r="O17" s="6" t="s">
        <v>83</v>
      </c>
      <c r="P17" s="41"/>
      <c r="Q17" s="41">
        <f t="shared" si="0"/>
        <v>585000</v>
      </c>
      <c r="R17" s="41">
        <f t="shared" si="1"/>
        <v>690300</v>
      </c>
      <c r="S17" s="41">
        <f t="shared" si="2"/>
        <v>683397</v>
      </c>
    </row>
    <row r="18" spans="1:20" x14ac:dyDescent="0.2">
      <c r="A18" s="4">
        <v>10</v>
      </c>
      <c r="B18" s="85">
        <v>46045</v>
      </c>
      <c r="C18" s="6"/>
      <c r="D18" s="6" t="s">
        <v>86</v>
      </c>
      <c r="E18" s="7">
        <v>150</v>
      </c>
      <c r="F18" s="41">
        <v>3900</v>
      </c>
      <c r="G18" s="46">
        <v>0.01</v>
      </c>
      <c r="H18" s="39">
        <v>0.18</v>
      </c>
      <c r="I18" s="41"/>
      <c r="J18" s="41"/>
      <c r="K18" s="41"/>
      <c r="L18" s="41"/>
      <c r="M18" s="41"/>
      <c r="N18" s="41"/>
      <c r="O18" s="6" t="s">
        <v>83</v>
      </c>
      <c r="P18" s="41"/>
      <c r="Q18" s="41">
        <f t="shared" si="0"/>
        <v>585000</v>
      </c>
      <c r="R18" s="41">
        <f t="shared" si="1"/>
        <v>690300</v>
      </c>
      <c r="S18" s="41">
        <f t="shared" si="2"/>
        <v>683397</v>
      </c>
    </row>
    <row r="19" spans="1:20" x14ac:dyDescent="0.2">
      <c r="A19" s="4">
        <v>11</v>
      </c>
      <c r="B19" s="85">
        <v>46046</v>
      </c>
      <c r="C19" s="6"/>
      <c r="D19" s="6" t="s">
        <v>86</v>
      </c>
      <c r="E19" s="7">
        <v>150</v>
      </c>
      <c r="F19" s="41">
        <v>3900</v>
      </c>
      <c r="G19" s="46">
        <v>0.01</v>
      </c>
      <c r="H19" s="39">
        <v>0.18</v>
      </c>
      <c r="I19" s="41"/>
      <c r="J19" s="41"/>
      <c r="K19" s="41"/>
      <c r="L19" s="41"/>
      <c r="M19" s="41"/>
      <c r="N19" s="41"/>
      <c r="O19" s="6" t="s">
        <v>83</v>
      </c>
      <c r="P19" s="41"/>
      <c r="Q19" s="41">
        <f t="shared" si="0"/>
        <v>585000</v>
      </c>
      <c r="R19" s="41">
        <f t="shared" si="1"/>
        <v>690300</v>
      </c>
      <c r="S19" s="41">
        <f t="shared" si="2"/>
        <v>683397</v>
      </c>
    </row>
    <row r="20" spans="1:20" x14ac:dyDescent="0.2">
      <c r="A20" s="4">
        <v>12</v>
      </c>
      <c r="B20" s="85">
        <v>46048</v>
      </c>
      <c r="C20" s="6"/>
      <c r="D20" s="6" t="s">
        <v>86</v>
      </c>
      <c r="E20" s="7">
        <v>150</v>
      </c>
      <c r="F20" s="41">
        <v>3900</v>
      </c>
      <c r="G20" s="46">
        <v>0.01</v>
      </c>
      <c r="H20" s="39">
        <v>0.18</v>
      </c>
      <c r="I20" s="41"/>
      <c r="J20" s="41"/>
      <c r="K20" s="41"/>
      <c r="L20" s="41"/>
      <c r="M20" s="41"/>
      <c r="N20" s="41"/>
      <c r="O20" s="6" t="s">
        <v>83</v>
      </c>
      <c r="P20" s="41"/>
      <c r="Q20" s="41">
        <f t="shared" si="0"/>
        <v>585000</v>
      </c>
      <c r="R20" s="41">
        <f t="shared" si="1"/>
        <v>690300</v>
      </c>
      <c r="S20" s="41">
        <f t="shared" si="2"/>
        <v>683397</v>
      </c>
    </row>
    <row r="21" spans="1:20" x14ac:dyDescent="0.2">
      <c r="A21" s="4">
        <v>13</v>
      </c>
      <c r="B21" s="85">
        <v>46050</v>
      </c>
      <c r="C21" s="6"/>
      <c r="D21" s="6" t="s">
        <v>86</v>
      </c>
      <c r="E21" s="7">
        <v>150</v>
      </c>
      <c r="F21" s="41">
        <v>3900</v>
      </c>
      <c r="G21" s="46">
        <v>0.01</v>
      </c>
      <c r="H21" s="39">
        <v>0.18</v>
      </c>
      <c r="I21" s="41"/>
      <c r="J21" s="41"/>
      <c r="K21" s="41"/>
      <c r="L21" s="41"/>
      <c r="M21" s="41"/>
      <c r="N21" s="41"/>
      <c r="O21" s="6" t="s">
        <v>83</v>
      </c>
      <c r="P21" s="41"/>
      <c r="Q21" s="41">
        <f t="shared" si="0"/>
        <v>585000</v>
      </c>
      <c r="R21" s="41">
        <f t="shared" si="1"/>
        <v>690300</v>
      </c>
      <c r="S21" s="41">
        <f t="shared" si="2"/>
        <v>683397</v>
      </c>
    </row>
    <row r="22" spans="1:20" x14ac:dyDescent="0.2">
      <c r="A22" s="4">
        <v>14</v>
      </c>
      <c r="B22" s="85">
        <v>46053</v>
      </c>
      <c r="C22" s="6"/>
      <c r="D22" s="6" t="s">
        <v>86</v>
      </c>
      <c r="E22" s="7">
        <v>150</v>
      </c>
      <c r="F22" s="41">
        <v>3900</v>
      </c>
      <c r="G22" s="46">
        <v>0.01</v>
      </c>
      <c r="H22" s="39">
        <v>0.18</v>
      </c>
      <c r="I22" s="41"/>
      <c r="J22" s="41"/>
      <c r="K22" s="41"/>
      <c r="L22" s="41"/>
      <c r="M22" s="41"/>
      <c r="N22" s="41"/>
      <c r="O22" s="6" t="s">
        <v>83</v>
      </c>
      <c r="P22" s="41"/>
      <c r="Q22" s="41">
        <f t="shared" si="0"/>
        <v>585000</v>
      </c>
      <c r="R22" s="41">
        <f t="shared" si="1"/>
        <v>690300</v>
      </c>
      <c r="S22" s="41">
        <f t="shared" si="2"/>
        <v>683397</v>
      </c>
    </row>
    <row r="23" spans="1:20" x14ac:dyDescent="0.2">
      <c r="A23" s="4">
        <v>15</v>
      </c>
      <c r="B23" s="85">
        <v>46069</v>
      </c>
      <c r="C23" s="6"/>
      <c r="D23" s="6" t="s">
        <v>86</v>
      </c>
      <c r="E23" s="7">
        <v>150</v>
      </c>
      <c r="F23" s="41">
        <v>3800</v>
      </c>
      <c r="G23" s="46">
        <v>0.01</v>
      </c>
      <c r="H23" s="39">
        <v>0.18</v>
      </c>
      <c r="I23" s="41"/>
      <c r="J23" s="41"/>
      <c r="K23" s="41"/>
      <c r="L23" s="41"/>
      <c r="M23" s="41"/>
      <c r="N23" s="41"/>
      <c r="O23" s="6" t="s">
        <v>83</v>
      </c>
      <c r="P23" s="41"/>
      <c r="Q23" s="41">
        <f t="shared" ref="Q23:Q73" si="3">E23*F23</f>
        <v>570000</v>
      </c>
      <c r="R23" s="41">
        <f t="shared" si="1"/>
        <v>672600</v>
      </c>
      <c r="S23" s="41">
        <f t="shared" si="2"/>
        <v>665874</v>
      </c>
    </row>
    <row r="24" spans="1:20" x14ac:dyDescent="0.2">
      <c r="A24" s="4">
        <v>16</v>
      </c>
      <c r="B24" s="85">
        <v>46069</v>
      </c>
      <c r="C24" s="6"/>
      <c r="D24" s="6" t="s">
        <v>86</v>
      </c>
      <c r="E24" s="7">
        <v>150</v>
      </c>
      <c r="F24" s="41">
        <v>3800</v>
      </c>
      <c r="G24" s="46">
        <v>0.01</v>
      </c>
      <c r="H24" s="39">
        <v>0.18</v>
      </c>
      <c r="I24" s="41"/>
      <c r="J24" s="41"/>
      <c r="K24" s="41"/>
      <c r="L24" s="41"/>
      <c r="M24" s="41"/>
      <c r="N24" s="41"/>
      <c r="O24" s="6" t="s">
        <v>83</v>
      </c>
      <c r="P24" s="41"/>
      <c r="Q24" s="41">
        <f t="shared" si="3"/>
        <v>570000</v>
      </c>
      <c r="R24" s="41">
        <f t="shared" si="1"/>
        <v>672600</v>
      </c>
      <c r="S24" s="41">
        <f t="shared" si="2"/>
        <v>665874</v>
      </c>
    </row>
    <row r="25" spans="1:20" x14ac:dyDescent="0.2">
      <c r="A25" s="4">
        <v>17</v>
      </c>
      <c r="B25" s="85">
        <v>46070</v>
      </c>
      <c r="C25" s="6"/>
      <c r="D25" s="6" t="s">
        <v>86</v>
      </c>
      <c r="E25" s="7">
        <v>150</v>
      </c>
      <c r="F25" s="41">
        <v>3800</v>
      </c>
      <c r="G25" s="46">
        <v>0.01</v>
      </c>
      <c r="H25" s="39">
        <v>0.18</v>
      </c>
      <c r="I25" s="41"/>
      <c r="J25" s="41"/>
      <c r="K25" s="41"/>
      <c r="L25" s="41"/>
      <c r="M25" s="41"/>
      <c r="N25" s="41"/>
      <c r="O25" s="6" t="s">
        <v>83</v>
      </c>
      <c r="P25" s="41"/>
      <c r="Q25" s="41">
        <f t="shared" si="3"/>
        <v>570000</v>
      </c>
      <c r="R25" s="41">
        <f t="shared" si="1"/>
        <v>672600</v>
      </c>
      <c r="S25" s="41">
        <f t="shared" si="2"/>
        <v>665874</v>
      </c>
    </row>
    <row r="26" spans="1:20" x14ac:dyDescent="0.2">
      <c r="A26" s="4">
        <v>18</v>
      </c>
      <c r="B26" s="85">
        <v>46070</v>
      </c>
      <c r="C26" s="6"/>
      <c r="D26" s="6" t="s">
        <v>86</v>
      </c>
      <c r="E26" s="7">
        <v>150</v>
      </c>
      <c r="F26" s="41">
        <v>3800</v>
      </c>
      <c r="G26" s="46">
        <v>0.01</v>
      </c>
      <c r="H26" s="39">
        <v>0.18</v>
      </c>
      <c r="I26" s="41"/>
      <c r="J26" s="41"/>
      <c r="K26" s="41"/>
      <c r="L26" s="41"/>
      <c r="M26" s="41"/>
      <c r="N26" s="41"/>
      <c r="O26" s="6" t="s">
        <v>83</v>
      </c>
      <c r="P26" s="41"/>
      <c r="Q26" s="41">
        <f t="shared" si="3"/>
        <v>570000</v>
      </c>
      <c r="R26" s="41">
        <f t="shared" si="1"/>
        <v>672600</v>
      </c>
      <c r="S26" s="41">
        <f t="shared" si="2"/>
        <v>665874</v>
      </c>
    </row>
    <row r="27" spans="1:20" x14ac:dyDescent="0.2">
      <c r="A27" s="4">
        <v>19</v>
      </c>
      <c r="B27" s="85">
        <v>46071</v>
      </c>
      <c r="C27" s="6"/>
      <c r="D27" s="6" t="s">
        <v>86</v>
      </c>
      <c r="E27" s="7">
        <v>150</v>
      </c>
      <c r="F27" s="41">
        <v>3800</v>
      </c>
      <c r="G27" s="46">
        <v>0.01</v>
      </c>
      <c r="H27" s="39">
        <v>0.18</v>
      </c>
      <c r="I27" s="41"/>
      <c r="J27" s="41"/>
      <c r="K27" s="41"/>
      <c r="L27" s="41"/>
      <c r="M27" s="41"/>
      <c r="N27" s="41"/>
      <c r="O27" s="6" t="s">
        <v>83</v>
      </c>
      <c r="P27" s="41"/>
      <c r="Q27" s="41">
        <f t="shared" si="3"/>
        <v>570000</v>
      </c>
      <c r="R27" s="41">
        <f t="shared" si="1"/>
        <v>672600</v>
      </c>
      <c r="S27" s="41">
        <f t="shared" si="2"/>
        <v>665874</v>
      </c>
    </row>
    <row r="28" spans="1:20" x14ac:dyDescent="0.2">
      <c r="A28" s="4">
        <v>20</v>
      </c>
      <c r="B28" s="85">
        <v>46071</v>
      </c>
      <c r="C28" s="6"/>
      <c r="D28" s="6" t="s">
        <v>86</v>
      </c>
      <c r="E28" s="7">
        <v>150</v>
      </c>
      <c r="F28" s="41">
        <v>3800</v>
      </c>
      <c r="G28" s="46">
        <v>0.01</v>
      </c>
      <c r="H28" s="39">
        <v>0.18</v>
      </c>
      <c r="I28" s="41"/>
      <c r="J28" s="41"/>
      <c r="K28" s="41"/>
      <c r="L28" s="41"/>
      <c r="M28" s="41"/>
      <c r="N28" s="41"/>
      <c r="O28" s="6" t="s">
        <v>83</v>
      </c>
      <c r="P28" s="41"/>
      <c r="Q28" s="41">
        <f t="shared" si="3"/>
        <v>570000</v>
      </c>
      <c r="R28" s="41">
        <f t="shared" si="1"/>
        <v>672600</v>
      </c>
      <c r="S28" s="41">
        <f t="shared" si="2"/>
        <v>665874</v>
      </c>
    </row>
    <row r="29" spans="1:20" x14ac:dyDescent="0.2">
      <c r="A29" s="4">
        <v>21</v>
      </c>
      <c r="B29" s="85">
        <v>46077</v>
      </c>
      <c r="C29" s="6"/>
      <c r="D29" s="6" t="s">
        <v>86</v>
      </c>
      <c r="E29" s="7">
        <v>24</v>
      </c>
      <c r="F29" s="41">
        <v>3800</v>
      </c>
      <c r="G29" s="46">
        <v>0.01</v>
      </c>
      <c r="H29" s="39">
        <v>0.18</v>
      </c>
      <c r="I29" s="41"/>
      <c r="J29" s="41"/>
      <c r="K29" s="41"/>
      <c r="L29" s="41"/>
      <c r="M29" s="41"/>
      <c r="N29" s="41" t="s">
        <v>225</v>
      </c>
      <c r="O29" s="6"/>
      <c r="P29" s="41"/>
      <c r="Q29" s="41">
        <f t="shared" si="3"/>
        <v>91200</v>
      </c>
      <c r="R29" s="41">
        <f t="shared" si="1"/>
        <v>107616</v>
      </c>
      <c r="S29" s="41" t="str">
        <f t="shared" si="2"/>
        <v/>
      </c>
    </row>
    <row r="30" spans="1:20" x14ac:dyDescent="0.2">
      <c r="A30" s="4">
        <v>22</v>
      </c>
      <c r="B30" s="85">
        <v>46094</v>
      </c>
      <c r="C30" s="6"/>
      <c r="D30" s="6" t="s">
        <v>86</v>
      </c>
      <c r="E30" s="7">
        <v>150</v>
      </c>
      <c r="F30" s="41">
        <v>3800</v>
      </c>
      <c r="G30" s="46">
        <v>0.01</v>
      </c>
      <c r="H30" s="39">
        <v>0.18</v>
      </c>
      <c r="I30" s="41"/>
      <c r="J30" s="41"/>
      <c r="K30" s="41"/>
      <c r="L30" s="41"/>
      <c r="M30" s="41"/>
      <c r="N30" s="41"/>
      <c r="O30" s="6" t="s">
        <v>83</v>
      </c>
      <c r="P30" s="41"/>
      <c r="Q30" s="41">
        <f t="shared" si="3"/>
        <v>570000</v>
      </c>
      <c r="R30" s="41">
        <f t="shared" si="1"/>
        <v>672600</v>
      </c>
      <c r="S30" s="41">
        <f t="shared" si="2"/>
        <v>665874</v>
      </c>
      <c r="T30">
        <v>299</v>
      </c>
    </row>
    <row r="31" spans="1:20" x14ac:dyDescent="0.2">
      <c r="A31" s="4">
        <v>23</v>
      </c>
      <c r="B31" s="85">
        <v>46094</v>
      </c>
      <c r="C31" s="6"/>
      <c r="D31" s="6" t="s">
        <v>86</v>
      </c>
      <c r="E31" s="7">
        <v>150</v>
      </c>
      <c r="F31" s="41">
        <v>3800</v>
      </c>
      <c r="G31" s="46">
        <v>0.01</v>
      </c>
      <c r="H31" s="39">
        <v>0.18</v>
      </c>
      <c r="I31" s="41"/>
      <c r="J31" s="41"/>
      <c r="K31" s="41"/>
      <c r="L31" s="41"/>
      <c r="M31" s="41"/>
      <c r="N31" s="41"/>
      <c r="O31" s="6" t="s">
        <v>83</v>
      </c>
      <c r="P31" s="41"/>
      <c r="Q31" s="41">
        <f t="shared" si="3"/>
        <v>570000</v>
      </c>
      <c r="R31" s="41">
        <f t="shared" si="1"/>
        <v>672600</v>
      </c>
      <c r="S31" s="41">
        <f t="shared" si="2"/>
        <v>665874</v>
      </c>
      <c r="T31">
        <v>300</v>
      </c>
    </row>
    <row r="32" spans="1:20" x14ac:dyDescent="0.2">
      <c r="A32" s="4">
        <v>24</v>
      </c>
      <c r="B32" s="85">
        <v>46099</v>
      </c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 t="s">
        <v>198</v>
      </c>
      <c r="P32" s="41">
        <v>3995244</v>
      </c>
      <c r="Q32" s="41">
        <f t="shared" si="3"/>
        <v>0</v>
      </c>
      <c r="R32" s="41">
        <f t="shared" si="1"/>
        <v>0</v>
      </c>
      <c r="S32" s="41">
        <f t="shared" si="2"/>
        <v>-3995244</v>
      </c>
    </row>
    <row r="33" spans="1:20" x14ac:dyDescent="0.2">
      <c r="A33" s="4">
        <v>25</v>
      </c>
      <c r="B33" s="85">
        <v>46099</v>
      </c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 t="s">
        <v>198</v>
      </c>
      <c r="P33" s="41">
        <v>9567558</v>
      </c>
      <c r="Q33" s="41">
        <f t="shared" si="3"/>
        <v>0</v>
      </c>
      <c r="R33" s="41">
        <f t="shared" si="1"/>
        <v>0</v>
      </c>
      <c r="S33" s="41">
        <f t="shared" si="2"/>
        <v>-9567558</v>
      </c>
    </row>
    <row r="34" spans="1:20" x14ac:dyDescent="0.2">
      <c r="A34" s="4">
        <v>26</v>
      </c>
      <c r="B34" s="85">
        <v>46100</v>
      </c>
      <c r="C34" s="6"/>
      <c r="D34" s="6" t="s">
        <v>86</v>
      </c>
      <c r="E34" s="7">
        <v>150</v>
      </c>
      <c r="F34" s="41">
        <v>3800</v>
      </c>
      <c r="G34" s="46">
        <v>0.01</v>
      </c>
      <c r="H34" s="39">
        <v>0.18</v>
      </c>
      <c r="I34" s="41"/>
      <c r="J34" s="41"/>
      <c r="K34" s="41"/>
      <c r="L34" s="41"/>
      <c r="M34" s="41"/>
      <c r="N34" s="41"/>
      <c r="O34" s="6" t="s">
        <v>83</v>
      </c>
      <c r="P34" s="41"/>
      <c r="Q34" s="41">
        <f t="shared" si="3"/>
        <v>570000</v>
      </c>
      <c r="R34" s="41">
        <f t="shared" si="1"/>
        <v>672600</v>
      </c>
      <c r="S34" s="41">
        <f t="shared" si="2"/>
        <v>665874</v>
      </c>
      <c r="T34">
        <v>309</v>
      </c>
    </row>
    <row r="35" spans="1:20" x14ac:dyDescent="0.2">
      <c r="A35" s="4">
        <v>27</v>
      </c>
      <c r="B35" s="85">
        <v>46107</v>
      </c>
      <c r="C35" s="6"/>
      <c r="D35" s="6" t="s">
        <v>86</v>
      </c>
      <c r="E35" s="7">
        <v>150</v>
      </c>
      <c r="F35" s="41">
        <v>3800</v>
      </c>
      <c r="G35" s="46">
        <v>0.01</v>
      </c>
      <c r="H35" s="39">
        <v>0.18</v>
      </c>
      <c r="I35" s="41"/>
      <c r="J35" s="41"/>
      <c r="K35" s="41"/>
      <c r="L35" s="41"/>
      <c r="M35" s="41"/>
      <c r="N35" s="41"/>
      <c r="O35" s="6" t="s">
        <v>83</v>
      </c>
      <c r="P35" s="41"/>
      <c r="Q35" s="41">
        <f t="shared" si="3"/>
        <v>570000</v>
      </c>
      <c r="R35" s="41">
        <f t="shared" si="1"/>
        <v>672600</v>
      </c>
      <c r="S35" s="41">
        <f t="shared" si="2"/>
        <v>665874</v>
      </c>
      <c r="T35">
        <v>310</v>
      </c>
    </row>
    <row r="36" spans="1:20" x14ac:dyDescent="0.2">
      <c r="A36" s="4">
        <v>28</v>
      </c>
      <c r="B36" s="85">
        <v>38816</v>
      </c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 t="s">
        <v>198</v>
      </c>
      <c r="P36" s="41">
        <v>2663496</v>
      </c>
      <c r="Q36" s="41">
        <f t="shared" si="3"/>
        <v>0</v>
      </c>
      <c r="R36" s="41">
        <f t="shared" si="1"/>
        <v>0</v>
      </c>
      <c r="S36" s="41">
        <f t="shared" si="2"/>
        <v>-2663496</v>
      </c>
    </row>
    <row r="37" spans="1:20" x14ac:dyDescent="0.2">
      <c r="A37" s="4">
        <v>29</v>
      </c>
      <c r="B37" s="8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3"/>
        <v>0</v>
      </c>
      <c r="R37" s="41">
        <f t="shared" si="1"/>
        <v>0</v>
      </c>
      <c r="S37" s="41" t="str">
        <f t="shared" si="2"/>
        <v/>
      </c>
    </row>
    <row r="38" spans="1:20" x14ac:dyDescent="0.2">
      <c r="A38" s="4">
        <v>30</v>
      </c>
      <c r="B38" s="8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3"/>
        <v>0</v>
      </c>
      <c r="R38" s="41">
        <f t="shared" si="1"/>
        <v>0</v>
      </c>
      <c r="S38" s="41" t="str">
        <f t="shared" si="2"/>
        <v/>
      </c>
    </row>
    <row r="39" spans="1:20" x14ac:dyDescent="0.2">
      <c r="A39" s="4">
        <v>31</v>
      </c>
      <c r="B39" s="8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3"/>
        <v>0</v>
      </c>
      <c r="R39" s="41">
        <f t="shared" si="1"/>
        <v>0</v>
      </c>
      <c r="S39" s="41" t="str">
        <f t="shared" si="2"/>
        <v/>
      </c>
    </row>
    <row r="40" spans="1:20" x14ac:dyDescent="0.2">
      <c r="A40" s="4">
        <v>32</v>
      </c>
      <c r="B40" s="8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3"/>
        <v>0</v>
      </c>
      <c r="R40" s="41">
        <f t="shared" si="1"/>
        <v>0</v>
      </c>
      <c r="S40" s="41" t="str">
        <f t="shared" si="2"/>
        <v/>
      </c>
    </row>
    <row r="41" spans="1:20" x14ac:dyDescent="0.2">
      <c r="A41" s="4">
        <v>33</v>
      </c>
      <c r="B41" s="8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3"/>
        <v>0</v>
      </c>
      <c r="R41" s="41">
        <f t="shared" si="1"/>
        <v>0</v>
      </c>
      <c r="S41" s="41" t="str">
        <f t="shared" si="2"/>
        <v/>
      </c>
    </row>
    <row r="42" spans="1:20" x14ac:dyDescent="0.2">
      <c r="A42" s="4">
        <v>34</v>
      </c>
      <c r="B42" s="8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3"/>
        <v>0</v>
      </c>
      <c r="R42" s="41">
        <f t="shared" si="1"/>
        <v>0</v>
      </c>
      <c r="S42" s="41" t="str">
        <f t="shared" si="2"/>
        <v/>
      </c>
    </row>
    <row r="43" spans="1:20" x14ac:dyDescent="0.2">
      <c r="A43" s="4">
        <v>35</v>
      </c>
      <c r="B43" s="8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3"/>
        <v>0</v>
      </c>
      <c r="R43" s="41">
        <f t="shared" si="1"/>
        <v>0</v>
      </c>
      <c r="S43" s="41" t="str">
        <f t="shared" si="2"/>
        <v/>
      </c>
    </row>
    <row r="44" spans="1:20" x14ac:dyDescent="0.2">
      <c r="A44" s="4">
        <v>36</v>
      </c>
      <c r="B44" s="8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3"/>
        <v>0</v>
      </c>
      <c r="R44" s="41">
        <f t="shared" si="1"/>
        <v>0</v>
      </c>
      <c r="S44" s="41" t="str">
        <f t="shared" si="2"/>
        <v/>
      </c>
    </row>
    <row r="45" spans="1:20" x14ac:dyDescent="0.2">
      <c r="A45" s="4">
        <v>37</v>
      </c>
      <c r="B45" s="8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3"/>
        <v>0</v>
      </c>
      <c r="R45" s="41">
        <f t="shared" si="1"/>
        <v>0</v>
      </c>
      <c r="S45" s="41" t="str">
        <f t="shared" si="2"/>
        <v/>
      </c>
    </row>
    <row r="46" spans="1:20" x14ac:dyDescent="0.2">
      <c r="A46" s="4">
        <v>38</v>
      </c>
      <c r="B46" s="8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3"/>
        <v>0</v>
      </c>
      <c r="R46" s="41">
        <f t="shared" si="1"/>
        <v>0</v>
      </c>
      <c r="S46" s="41" t="str">
        <f t="shared" si="2"/>
        <v/>
      </c>
    </row>
    <row r="47" spans="1:20" x14ac:dyDescent="0.2">
      <c r="A47" s="4">
        <v>39</v>
      </c>
      <c r="B47" s="8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3"/>
        <v>0</v>
      </c>
      <c r="R47" s="41">
        <f t="shared" si="1"/>
        <v>0</v>
      </c>
      <c r="S47" s="41" t="str">
        <f t="shared" si="2"/>
        <v/>
      </c>
    </row>
    <row r="48" spans="1:20" x14ac:dyDescent="0.2">
      <c r="A48" s="4">
        <v>40</v>
      </c>
      <c r="B48" s="8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3"/>
        <v>0</v>
      </c>
      <c r="R48" s="41">
        <f t="shared" si="1"/>
        <v>0</v>
      </c>
      <c r="S48" s="41" t="str">
        <f t="shared" si="2"/>
        <v/>
      </c>
    </row>
    <row r="49" spans="1:19" x14ac:dyDescent="0.2">
      <c r="A49" s="4">
        <v>41</v>
      </c>
      <c r="B49" s="8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3"/>
        <v>0</v>
      </c>
      <c r="R49" s="41">
        <f t="shared" si="1"/>
        <v>0</v>
      </c>
      <c r="S49" s="41" t="str">
        <f t="shared" si="2"/>
        <v/>
      </c>
    </row>
    <row r="50" spans="1:19" x14ac:dyDescent="0.2">
      <c r="A50" s="4">
        <v>42</v>
      </c>
      <c r="B50" s="8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3"/>
        <v>0</v>
      </c>
      <c r="R50" s="41">
        <f t="shared" si="1"/>
        <v>0</v>
      </c>
      <c r="S50" s="41" t="str">
        <f t="shared" si="2"/>
        <v/>
      </c>
    </row>
    <row r="51" spans="1:19" x14ac:dyDescent="0.2">
      <c r="A51" s="4">
        <v>43</v>
      </c>
      <c r="B51" s="8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3"/>
        <v>0</v>
      </c>
      <c r="R51" s="41">
        <f t="shared" si="1"/>
        <v>0</v>
      </c>
      <c r="S51" s="41" t="str">
        <f t="shared" si="2"/>
        <v/>
      </c>
    </row>
    <row r="52" spans="1:19" x14ac:dyDescent="0.2">
      <c r="A52" s="4">
        <v>44</v>
      </c>
      <c r="B52" s="8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3"/>
        <v>0</v>
      </c>
      <c r="R52" s="41">
        <f t="shared" si="1"/>
        <v>0</v>
      </c>
      <c r="S52" s="41" t="str">
        <f t="shared" si="2"/>
        <v/>
      </c>
    </row>
    <row r="53" spans="1:19" x14ac:dyDescent="0.2">
      <c r="A53" s="4">
        <v>45</v>
      </c>
      <c r="B53" s="8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3"/>
        <v>0</v>
      </c>
      <c r="R53" s="41">
        <f t="shared" si="1"/>
        <v>0</v>
      </c>
      <c r="S53" s="41" t="str">
        <f t="shared" si="2"/>
        <v/>
      </c>
    </row>
    <row r="54" spans="1:19" x14ac:dyDescent="0.2">
      <c r="A54" s="4">
        <v>46</v>
      </c>
      <c r="B54" s="8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3"/>
        <v>0</v>
      </c>
      <c r="R54" s="41">
        <f t="shared" si="1"/>
        <v>0</v>
      </c>
      <c r="S54" s="41" t="str">
        <f t="shared" si="2"/>
        <v/>
      </c>
    </row>
    <row r="55" spans="1:19" x14ac:dyDescent="0.2">
      <c r="A55" s="4">
        <v>47</v>
      </c>
      <c r="B55" s="8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3"/>
        <v>0</v>
      </c>
      <c r="R55" s="41">
        <f t="shared" si="1"/>
        <v>0</v>
      </c>
      <c r="S55" s="41" t="str">
        <f t="shared" si="2"/>
        <v/>
      </c>
    </row>
    <row r="56" spans="1:19" x14ac:dyDescent="0.2">
      <c r="A56" s="4">
        <v>48</v>
      </c>
      <c r="B56" s="8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3"/>
        <v>0</v>
      </c>
      <c r="R56" s="41">
        <f t="shared" si="1"/>
        <v>0</v>
      </c>
      <c r="S56" s="41" t="str">
        <f t="shared" si="2"/>
        <v/>
      </c>
    </row>
    <row r="57" spans="1:19" x14ac:dyDescent="0.2">
      <c r="A57" s="4">
        <v>49</v>
      </c>
      <c r="B57" s="8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3"/>
        <v>0</v>
      </c>
      <c r="R57" s="41">
        <f t="shared" si="1"/>
        <v>0</v>
      </c>
      <c r="S57" s="41" t="str">
        <f t="shared" si="2"/>
        <v/>
      </c>
    </row>
    <row r="58" spans="1:19" x14ac:dyDescent="0.2">
      <c r="A58" s="4">
        <v>50</v>
      </c>
      <c r="B58" s="8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3"/>
        <v>0</v>
      </c>
      <c r="R58" s="41">
        <f t="shared" si="1"/>
        <v>0</v>
      </c>
      <c r="S58" s="41" t="str">
        <f t="shared" si="2"/>
        <v/>
      </c>
    </row>
    <row r="59" spans="1:19" x14ac:dyDescent="0.2">
      <c r="A59" s="4">
        <v>51</v>
      </c>
      <c r="B59" s="8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3"/>
        <v>0</v>
      </c>
      <c r="R59" s="41">
        <f t="shared" si="1"/>
        <v>0</v>
      </c>
      <c r="S59" s="41" t="str">
        <f t="shared" si="2"/>
        <v/>
      </c>
    </row>
    <row r="60" spans="1:19" x14ac:dyDescent="0.2">
      <c r="A60" s="4">
        <v>52</v>
      </c>
      <c r="B60" s="8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3"/>
        <v>0</v>
      </c>
      <c r="R60" s="41">
        <f t="shared" si="1"/>
        <v>0</v>
      </c>
      <c r="S60" s="41" t="str">
        <f t="shared" si="2"/>
        <v/>
      </c>
    </row>
    <row r="61" spans="1:19" x14ac:dyDescent="0.2">
      <c r="A61" s="4">
        <v>53</v>
      </c>
      <c r="B61" s="8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3"/>
        <v>0</v>
      </c>
      <c r="R61" s="41">
        <f t="shared" si="1"/>
        <v>0</v>
      </c>
      <c r="S61" s="41" t="str">
        <f t="shared" si="2"/>
        <v/>
      </c>
    </row>
    <row r="62" spans="1:19" x14ac:dyDescent="0.2">
      <c r="A62" s="4">
        <v>54</v>
      </c>
      <c r="B62" s="8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3"/>
        <v>0</v>
      </c>
      <c r="R62" s="41">
        <f t="shared" si="1"/>
        <v>0</v>
      </c>
      <c r="S62" s="41" t="str">
        <f t="shared" si="2"/>
        <v/>
      </c>
    </row>
    <row r="63" spans="1:19" x14ac:dyDescent="0.2">
      <c r="A63" s="4">
        <v>55</v>
      </c>
      <c r="B63" s="8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3"/>
        <v>0</v>
      </c>
      <c r="R63" s="41">
        <f t="shared" si="1"/>
        <v>0</v>
      </c>
      <c r="S63" s="41" t="str">
        <f t="shared" si="2"/>
        <v/>
      </c>
    </row>
    <row r="64" spans="1:19" x14ac:dyDescent="0.2">
      <c r="A64" s="4">
        <v>56</v>
      </c>
      <c r="B64" s="8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3"/>
        <v>0</v>
      </c>
      <c r="R64" s="41">
        <f t="shared" si="1"/>
        <v>0</v>
      </c>
      <c r="S64" s="41" t="str">
        <f t="shared" si="2"/>
        <v/>
      </c>
    </row>
    <row r="65" spans="1:19" x14ac:dyDescent="0.2">
      <c r="A65" s="4">
        <v>57</v>
      </c>
      <c r="B65" s="8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3"/>
        <v>0</v>
      </c>
      <c r="R65" s="41">
        <f t="shared" si="1"/>
        <v>0</v>
      </c>
      <c r="S65" s="41" t="str">
        <f t="shared" si="2"/>
        <v/>
      </c>
    </row>
    <row r="66" spans="1:19" x14ac:dyDescent="0.2">
      <c r="A66" s="4">
        <v>58</v>
      </c>
      <c r="B66" s="8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3"/>
        <v>0</v>
      </c>
      <c r="R66" s="41">
        <f t="shared" si="1"/>
        <v>0</v>
      </c>
      <c r="S66" s="41" t="str">
        <f t="shared" si="2"/>
        <v/>
      </c>
    </row>
    <row r="67" spans="1:19" x14ac:dyDescent="0.2">
      <c r="A67" s="4">
        <v>59</v>
      </c>
      <c r="B67" s="8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3"/>
        <v>0</v>
      </c>
      <c r="R67" s="41">
        <f t="shared" si="1"/>
        <v>0</v>
      </c>
      <c r="S67" s="41" t="str">
        <f t="shared" si="2"/>
        <v/>
      </c>
    </row>
    <row r="68" spans="1:19" x14ac:dyDescent="0.2">
      <c r="A68" s="4">
        <v>60</v>
      </c>
      <c r="B68" s="8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3"/>
        <v>0</v>
      </c>
      <c r="R68" s="41">
        <f t="shared" si="1"/>
        <v>0</v>
      </c>
      <c r="S68" s="41" t="str">
        <f t="shared" si="2"/>
        <v/>
      </c>
    </row>
    <row r="69" spans="1:19" x14ac:dyDescent="0.2">
      <c r="A69" s="4">
        <v>61</v>
      </c>
      <c r="B69" s="8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3"/>
        <v>0</v>
      </c>
      <c r="R69" s="41">
        <f t="shared" si="1"/>
        <v>0</v>
      </c>
      <c r="S69" s="41" t="str">
        <f t="shared" si="2"/>
        <v/>
      </c>
    </row>
    <row r="70" spans="1:19" x14ac:dyDescent="0.2">
      <c r="A70" s="4">
        <v>62</v>
      </c>
      <c r="B70" s="8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3"/>
        <v>0</v>
      </c>
      <c r="R70" s="41">
        <f t="shared" si="1"/>
        <v>0</v>
      </c>
      <c r="S70" s="41" t="str">
        <f t="shared" si="2"/>
        <v/>
      </c>
    </row>
    <row r="71" spans="1:19" x14ac:dyDescent="0.2">
      <c r="A71" s="4">
        <v>63</v>
      </c>
      <c r="B71" s="8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3"/>
        <v>0</v>
      </c>
      <c r="R71" s="41">
        <f t="shared" si="1"/>
        <v>0</v>
      </c>
      <c r="S71" s="41" t="str">
        <f t="shared" si="2"/>
        <v/>
      </c>
    </row>
    <row r="72" spans="1:19" x14ac:dyDescent="0.2">
      <c r="A72" s="4">
        <v>64</v>
      </c>
      <c r="B72" s="8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3"/>
        <v>0</v>
      </c>
      <c r="R72" s="41">
        <f t="shared" si="1"/>
        <v>0</v>
      </c>
      <c r="S72" s="41" t="str">
        <f t="shared" si="2"/>
        <v/>
      </c>
    </row>
    <row r="73" spans="1:19" x14ac:dyDescent="0.2">
      <c r="A73" s="4">
        <v>65</v>
      </c>
      <c r="B73" s="8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3"/>
        <v>0</v>
      </c>
      <c r="R73" s="41">
        <f t="shared" si="1"/>
        <v>0</v>
      </c>
      <c r="S73" s="41" t="str">
        <f t="shared" si="2"/>
        <v/>
      </c>
    </row>
    <row r="74" spans="1:19" x14ac:dyDescent="0.2">
      <c r="A74" s="4">
        <v>66</v>
      </c>
      <c r="B74" s="8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4">E74*F74</f>
        <v>0</v>
      </c>
      <c r="R74" s="41">
        <f t="shared" ref="R74:R137" si="5">Q74+(Q74*H74)</f>
        <v>0</v>
      </c>
      <c r="S74" s="41" t="str">
        <f t="shared" ref="S74:S137" si="6">IF(O74=$V$3,R74-(R74*G74),IF(O74=$V$4,-P74,""))</f>
        <v/>
      </c>
    </row>
    <row r="75" spans="1:19" x14ac:dyDescent="0.2">
      <c r="A75" s="4">
        <v>67</v>
      </c>
      <c r="B75" s="8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4"/>
        <v>0</v>
      </c>
      <c r="R75" s="41">
        <f t="shared" si="5"/>
        <v>0</v>
      </c>
      <c r="S75" s="41" t="str">
        <f t="shared" si="6"/>
        <v/>
      </c>
    </row>
    <row r="76" spans="1:19" x14ac:dyDescent="0.2">
      <c r="A76" s="4">
        <v>68</v>
      </c>
      <c r="B76" s="8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4"/>
        <v>0</v>
      </c>
      <c r="R76" s="41">
        <f t="shared" si="5"/>
        <v>0</v>
      </c>
      <c r="S76" s="41" t="str">
        <f t="shared" si="6"/>
        <v/>
      </c>
    </row>
    <row r="77" spans="1:19" x14ac:dyDescent="0.2">
      <c r="A77" s="4">
        <v>69</v>
      </c>
      <c r="B77" s="8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4"/>
        <v>0</v>
      </c>
      <c r="R77" s="41">
        <f t="shared" si="5"/>
        <v>0</v>
      </c>
      <c r="S77" s="41" t="str">
        <f t="shared" si="6"/>
        <v/>
      </c>
    </row>
    <row r="78" spans="1:19" x14ac:dyDescent="0.2">
      <c r="A78" s="4">
        <v>70</v>
      </c>
      <c r="B78" s="8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4"/>
        <v>0</v>
      </c>
      <c r="R78" s="41">
        <f t="shared" si="5"/>
        <v>0</v>
      </c>
      <c r="S78" s="41" t="str">
        <f t="shared" si="6"/>
        <v/>
      </c>
    </row>
    <row r="79" spans="1:19" x14ac:dyDescent="0.2">
      <c r="A79" s="4">
        <v>71</v>
      </c>
      <c r="B79" s="8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4"/>
        <v>0</v>
      </c>
      <c r="R79" s="41">
        <f t="shared" si="5"/>
        <v>0</v>
      </c>
      <c r="S79" s="41" t="str">
        <f t="shared" si="6"/>
        <v/>
      </c>
    </row>
    <row r="80" spans="1:19" x14ac:dyDescent="0.2">
      <c r="A80" s="4">
        <v>72</v>
      </c>
      <c r="B80" s="8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4"/>
        <v>0</v>
      </c>
      <c r="R80" s="41">
        <f t="shared" si="5"/>
        <v>0</v>
      </c>
      <c r="S80" s="41" t="str">
        <f t="shared" si="6"/>
        <v/>
      </c>
    </row>
    <row r="81" spans="1:19" x14ac:dyDescent="0.2">
      <c r="A81" s="4">
        <v>73</v>
      </c>
      <c r="B81" s="8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4"/>
        <v>0</v>
      </c>
      <c r="R81" s="41">
        <f t="shared" si="5"/>
        <v>0</v>
      </c>
      <c r="S81" s="41" t="str">
        <f t="shared" si="6"/>
        <v/>
      </c>
    </row>
    <row r="82" spans="1:19" x14ac:dyDescent="0.2">
      <c r="A82" s="4">
        <v>74</v>
      </c>
      <c r="B82" s="8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4"/>
        <v>0</v>
      </c>
      <c r="R82" s="41">
        <f t="shared" si="5"/>
        <v>0</v>
      </c>
      <c r="S82" s="41" t="str">
        <f t="shared" si="6"/>
        <v/>
      </c>
    </row>
    <row r="83" spans="1:19" x14ac:dyDescent="0.2">
      <c r="A83" s="4">
        <v>75</v>
      </c>
      <c r="B83" s="8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4"/>
        <v>0</v>
      </c>
      <c r="R83" s="41">
        <f t="shared" si="5"/>
        <v>0</v>
      </c>
      <c r="S83" s="41" t="str">
        <f t="shared" si="6"/>
        <v/>
      </c>
    </row>
    <row r="84" spans="1:19" x14ac:dyDescent="0.2">
      <c r="A84" s="4">
        <v>76</v>
      </c>
      <c r="B84" s="8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4"/>
        <v>0</v>
      </c>
      <c r="R84" s="41">
        <f t="shared" si="5"/>
        <v>0</v>
      </c>
      <c r="S84" s="41" t="str">
        <f t="shared" si="6"/>
        <v/>
      </c>
    </row>
    <row r="85" spans="1:19" x14ac:dyDescent="0.2">
      <c r="A85" s="4">
        <v>77</v>
      </c>
      <c r="B85" s="8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4"/>
        <v>0</v>
      </c>
      <c r="R85" s="41">
        <f t="shared" si="5"/>
        <v>0</v>
      </c>
      <c r="S85" s="41" t="str">
        <f t="shared" si="6"/>
        <v/>
      </c>
    </row>
    <row r="86" spans="1:19" x14ac:dyDescent="0.2">
      <c r="A86" s="4">
        <v>78</v>
      </c>
      <c r="B86" s="8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4"/>
        <v>0</v>
      </c>
      <c r="R86" s="41">
        <f t="shared" si="5"/>
        <v>0</v>
      </c>
      <c r="S86" s="41" t="str">
        <f t="shared" si="6"/>
        <v/>
      </c>
    </row>
    <row r="87" spans="1:19" x14ac:dyDescent="0.2">
      <c r="A87" s="4">
        <v>79</v>
      </c>
      <c r="B87" s="8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4"/>
        <v>0</v>
      </c>
      <c r="R87" s="41">
        <f t="shared" si="5"/>
        <v>0</v>
      </c>
      <c r="S87" s="41" t="str">
        <f t="shared" si="6"/>
        <v/>
      </c>
    </row>
    <row r="88" spans="1:19" x14ac:dyDescent="0.2">
      <c r="A88" s="4">
        <v>80</v>
      </c>
      <c r="B88" s="8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4"/>
        <v>0</v>
      </c>
      <c r="R88" s="41">
        <f t="shared" si="5"/>
        <v>0</v>
      </c>
      <c r="S88" s="41" t="str">
        <f t="shared" si="6"/>
        <v/>
      </c>
    </row>
    <row r="89" spans="1:19" x14ac:dyDescent="0.2">
      <c r="A89" s="4">
        <v>81</v>
      </c>
      <c r="B89" s="8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4"/>
        <v>0</v>
      </c>
      <c r="R89" s="41">
        <f t="shared" si="5"/>
        <v>0</v>
      </c>
      <c r="S89" s="41" t="str">
        <f t="shared" si="6"/>
        <v/>
      </c>
    </row>
    <row r="90" spans="1:19" x14ac:dyDescent="0.2">
      <c r="A90" s="4">
        <v>82</v>
      </c>
      <c r="B90" s="8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4"/>
        <v>0</v>
      </c>
      <c r="R90" s="41">
        <f t="shared" si="5"/>
        <v>0</v>
      </c>
      <c r="S90" s="41" t="str">
        <f t="shared" si="6"/>
        <v/>
      </c>
    </row>
    <row r="91" spans="1:19" x14ac:dyDescent="0.2">
      <c r="A91" s="4">
        <v>83</v>
      </c>
      <c r="B91" s="8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4"/>
        <v>0</v>
      </c>
      <c r="R91" s="41">
        <f t="shared" si="5"/>
        <v>0</v>
      </c>
      <c r="S91" s="41" t="str">
        <f t="shared" si="6"/>
        <v/>
      </c>
    </row>
    <row r="92" spans="1:19" x14ac:dyDescent="0.2">
      <c r="A92" s="4">
        <v>84</v>
      </c>
      <c r="B92" s="8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4"/>
        <v>0</v>
      </c>
      <c r="R92" s="41">
        <f t="shared" si="5"/>
        <v>0</v>
      </c>
      <c r="S92" s="41" t="str">
        <f t="shared" si="6"/>
        <v/>
      </c>
    </row>
    <row r="93" spans="1:19" x14ac:dyDescent="0.2">
      <c r="A93" s="4">
        <v>85</v>
      </c>
      <c r="B93" s="8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4"/>
        <v>0</v>
      </c>
      <c r="R93" s="41">
        <f t="shared" si="5"/>
        <v>0</v>
      </c>
      <c r="S93" s="41" t="str">
        <f t="shared" si="6"/>
        <v/>
      </c>
    </row>
    <row r="94" spans="1:19" x14ac:dyDescent="0.2">
      <c r="A94" s="4">
        <v>86</v>
      </c>
      <c r="B94" s="8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4"/>
        <v>0</v>
      </c>
      <c r="R94" s="41">
        <f t="shared" si="5"/>
        <v>0</v>
      </c>
      <c r="S94" s="41" t="str">
        <f t="shared" si="6"/>
        <v/>
      </c>
    </row>
    <row r="95" spans="1:19" x14ac:dyDescent="0.2">
      <c r="A95" s="4">
        <v>87</v>
      </c>
      <c r="B95" s="8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4"/>
        <v>0</v>
      </c>
      <c r="R95" s="41">
        <f t="shared" si="5"/>
        <v>0</v>
      </c>
      <c r="S95" s="41" t="str">
        <f t="shared" si="6"/>
        <v/>
      </c>
    </row>
    <row r="96" spans="1:19" x14ac:dyDescent="0.2">
      <c r="A96" s="4">
        <v>88</v>
      </c>
      <c r="B96" s="8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4"/>
        <v>0</v>
      </c>
      <c r="R96" s="41">
        <f t="shared" si="5"/>
        <v>0</v>
      </c>
      <c r="S96" s="41" t="str">
        <f t="shared" si="6"/>
        <v/>
      </c>
    </row>
    <row r="97" spans="1:19" x14ac:dyDescent="0.2">
      <c r="A97" s="4">
        <v>89</v>
      </c>
      <c r="B97" s="8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4"/>
        <v>0</v>
      </c>
      <c r="R97" s="41">
        <f t="shared" si="5"/>
        <v>0</v>
      </c>
      <c r="S97" s="41" t="str">
        <f t="shared" si="6"/>
        <v/>
      </c>
    </row>
    <row r="98" spans="1:19" x14ac:dyDescent="0.2">
      <c r="A98" s="4">
        <v>90</v>
      </c>
      <c r="B98" s="8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4"/>
        <v>0</v>
      </c>
      <c r="R98" s="41">
        <f t="shared" si="5"/>
        <v>0</v>
      </c>
      <c r="S98" s="41" t="str">
        <f t="shared" si="6"/>
        <v/>
      </c>
    </row>
    <row r="99" spans="1:19" x14ac:dyDescent="0.2">
      <c r="A99" s="4">
        <v>91</v>
      </c>
      <c r="B99" s="8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4"/>
        <v>0</v>
      </c>
      <c r="R99" s="41">
        <f t="shared" si="5"/>
        <v>0</v>
      </c>
      <c r="S99" s="41" t="str">
        <f t="shared" si="6"/>
        <v/>
      </c>
    </row>
    <row r="100" spans="1:19" x14ac:dyDescent="0.2">
      <c r="A100" s="4">
        <v>92</v>
      </c>
      <c r="B100" s="8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4"/>
        <v>0</v>
      </c>
      <c r="R100" s="41">
        <f t="shared" si="5"/>
        <v>0</v>
      </c>
      <c r="S100" s="41" t="str">
        <f t="shared" si="6"/>
        <v/>
      </c>
    </row>
    <row r="101" spans="1:19" x14ac:dyDescent="0.2">
      <c r="A101" s="4">
        <v>93</v>
      </c>
      <c r="B101" s="8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4"/>
        <v>0</v>
      </c>
      <c r="R101" s="41">
        <f t="shared" si="5"/>
        <v>0</v>
      </c>
      <c r="S101" s="41" t="str">
        <f t="shared" si="6"/>
        <v/>
      </c>
    </row>
    <row r="102" spans="1:19" x14ac:dyDescent="0.2">
      <c r="A102" s="4">
        <v>94</v>
      </c>
      <c r="B102" s="8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4"/>
        <v>0</v>
      </c>
      <c r="R102" s="41">
        <f t="shared" si="5"/>
        <v>0</v>
      </c>
      <c r="S102" s="41" t="str">
        <f t="shared" si="6"/>
        <v/>
      </c>
    </row>
    <row r="103" spans="1:19" x14ac:dyDescent="0.2">
      <c r="A103" s="4">
        <v>95</v>
      </c>
      <c r="B103" s="8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4"/>
        <v>0</v>
      </c>
      <c r="R103" s="41">
        <f t="shared" si="5"/>
        <v>0</v>
      </c>
      <c r="S103" s="41" t="str">
        <f t="shared" si="6"/>
        <v/>
      </c>
    </row>
    <row r="104" spans="1:19" x14ac:dyDescent="0.2">
      <c r="A104" s="4">
        <v>96</v>
      </c>
      <c r="B104" s="8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4"/>
        <v>0</v>
      </c>
      <c r="R104" s="41">
        <f t="shared" si="5"/>
        <v>0</v>
      </c>
      <c r="S104" s="41" t="str">
        <f t="shared" si="6"/>
        <v/>
      </c>
    </row>
    <row r="105" spans="1:19" x14ac:dyDescent="0.2">
      <c r="A105" s="4">
        <v>97</v>
      </c>
      <c r="B105" s="8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4"/>
        <v>0</v>
      </c>
      <c r="R105" s="41">
        <f t="shared" si="5"/>
        <v>0</v>
      </c>
      <c r="S105" s="41" t="str">
        <f t="shared" si="6"/>
        <v/>
      </c>
    </row>
    <row r="106" spans="1:19" x14ac:dyDescent="0.2">
      <c r="A106" s="4">
        <v>98</v>
      </c>
      <c r="B106" s="8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4"/>
        <v>0</v>
      </c>
      <c r="R106" s="41">
        <f t="shared" si="5"/>
        <v>0</v>
      </c>
      <c r="S106" s="41" t="str">
        <f t="shared" si="6"/>
        <v/>
      </c>
    </row>
    <row r="107" spans="1:19" x14ac:dyDescent="0.2">
      <c r="A107" s="4">
        <v>99</v>
      </c>
      <c r="B107" s="8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4"/>
        <v>0</v>
      </c>
      <c r="R107" s="41">
        <f t="shared" si="5"/>
        <v>0</v>
      </c>
      <c r="S107" s="41" t="str">
        <f t="shared" si="6"/>
        <v/>
      </c>
    </row>
    <row r="108" spans="1:19" x14ac:dyDescent="0.2">
      <c r="A108" s="4">
        <v>100</v>
      </c>
      <c r="B108" s="8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4"/>
        <v>0</v>
      </c>
      <c r="R108" s="41">
        <f t="shared" si="5"/>
        <v>0</v>
      </c>
      <c r="S108" s="41" t="str">
        <f t="shared" si="6"/>
        <v/>
      </c>
    </row>
    <row r="109" spans="1:19" x14ac:dyDescent="0.2">
      <c r="A109" s="4">
        <v>101</v>
      </c>
      <c r="B109" s="8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4"/>
        <v>0</v>
      </c>
      <c r="R109" s="41">
        <f t="shared" si="5"/>
        <v>0</v>
      </c>
      <c r="S109" s="41" t="str">
        <f t="shared" si="6"/>
        <v/>
      </c>
    </row>
    <row r="110" spans="1:19" x14ac:dyDescent="0.2">
      <c r="A110" s="4">
        <v>102</v>
      </c>
      <c r="B110" s="8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4"/>
        <v>0</v>
      </c>
      <c r="R110" s="41">
        <f t="shared" si="5"/>
        <v>0</v>
      </c>
      <c r="S110" s="41" t="str">
        <f t="shared" si="6"/>
        <v/>
      </c>
    </row>
    <row r="111" spans="1:19" x14ac:dyDescent="0.2">
      <c r="A111" s="4">
        <v>103</v>
      </c>
      <c r="B111" s="8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4"/>
        <v>0</v>
      </c>
      <c r="R111" s="41">
        <f t="shared" si="5"/>
        <v>0</v>
      </c>
      <c r="S111" s="41" t="str">
        <f t="shared" si="6"/>
        <v/>
      </c>
    </row>
    <row r="112" spans="1:19" x14ac:dyDescent="0.2">
      <c r="A112" s="4">
        <v>104</v>
      </c>
      <c r="B112" s="8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4"/>
        <v>0</v>
      </c>
      <c r="R112" s="41">
        <f t="shared" si="5"/>
        <v>0</v>
      </c>
      <c r="S112" s="41" t="str">
        <f t="shared" si="6"/>
        <v/>
      </c>
    </row>
    <row r="113" spans="1:19" x14ac:dyDescent="0.2">
      <c r="A113" s="4">
        <v>105</v>
      </c>
      <c r="B113" s="8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4"/>
        <v>0</v>
      </c>
      <c r="R113" s="41">
        <f t="shared" si="5"/>
        <v>0</v>
      </c>
      <c r="S113" s="41" t="str">
        <f t="shared" si="6"/>
        <v/>
      </c>
    </row>
    <row r="114" spans="1:19" x14ac:dyDescent="0.2">
      <c r="A114" s="4">
        <v>106</v>
      </c>
      <c r="B114" s="8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4"/>
        <v>0</v>
      </c>
      <c r="R114" s="41">
        <f t="shared" si="5"/>
        <v>0</v>
      </c>
      <c r="S114" s="41" t="str">
        <f t="shared" si="6"/>
        <v/>
      </c>
    </row>
    <row r="115" spans="1:19" x14ac:dyDescent="0.2">
      <c r="A115" s="4">
        <v>107</v>
      </c>
      <c r="B115" s="8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4"/>
        <v>0</v>
      </c>
      <c r="R115" s="41">
        <f t="shared" si="5"/>
        <v>0</v>
      </c>
      <c r="S115" s="41" t="str">
        <f t="shared" si="6"/>
        <v/>
      </c>
    </row>
    <row r="116" spans="1:19" x14ac:dyDescent="0.2">
      <c r="A116" s="4">
        <v>108</v>
      </c>
      <c r="B116" s="8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4"/>
        <v>0</v>
      </c>
      <c r="R116" s="41">
        <f t="shared" si="5"/>
        <v>0</v>
      </c>
      <c r="S116" s="41" t="str">
        <f t="shared" si="6"/>
        <v/>
      </c>
    </row>
    <row r="117" spans="1:19" x14ac:dyDescent="0.2">
      <c r="A117" s="4">
        <v>109</v>
      </c>
      <c r="B117" s="8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4"/>
        <v>0</v>
      </c>
      <c r="R117" s="41">
        <f t="shared" si="5"/>
        <v>0</v>
      </c>
      <c r="S117" s="41" t="str">
        <f t="shared" si="6"/>
        <v/>
      </c>
    </row>
    <row r="118" spans="1:19" x14ac:dyDescent="0.2">
      <c r="A118" s="4">
        <v>110</v>
      </c>
      <c r="B118" s="8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4"/>
        <v>0</v>
      </c>
      <c r="R118" s="41">
        <f t="shared" si="5"/>
        <v>0</v>
      </c>
      <c r="S118" s="41" t="str">
        <f t="shared" si="6"/>
        <v/>
      </c>
    </row>
    <row r="119" spans="1:19" x14ac:dyDescent="0.2">
      <c r="A119" s="4">
        <v>111</v>
      </c>
      <c r="B119" s="8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4"/>
        <v>0</v>
      </c>
      <c r="R119" s="41">
        <f t="shared" si="5"/>
        <v>0</v>
      </c>
      <c r="S119" s="41" t="str">
        <f t="shared" si="6"/>
        <v/>
      </c>
    </row>
    <row r="120" spans="1:19" x14ac:dyDescent="0.2">
      <c r="A120" s="4">
        <v>112</v>
      </c>
      <c r="B120" s="8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4"/>
        <v>0</v>
      </c>
      <c r="R120" s="41">
        <f t="shared" si="5"/>
        <v>0</v>
      </c>
      <c r="S120" s="41" t="str">
        <f t="shared" si="6"/>
        <v/>
      </c>
    </row>
    <row r="121" spans="1:19" x14ac:dyDescent="0.2">
      <c r="A121" s="4">
        <v>113</v>
      </c>
      <c r="B121" s="8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4"/>
        <v>0</v>
      </c>
      <c r="R121" s="41">
        <f t="shared" si="5"/>
        <v>0</v>
      </c>
      <c r="S121" s="41" t="str">
        <f t="shared" si="6"/>
        <v/>
      </c>
    </row>
    <row r="122" spans="1:19" x14ac:dyDescent="0.2">
      <c r="A122" s="4">
        <v>114</v>
      </c>
      <c r="B122" s="8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4"/>
        <v>0</v>
      </c>
      <c r="R122" s="41">
        <f t="shared" si="5"/>
        <v>0</v>
      </c>
      <c r="S122" s="41" t="str">
        <f t="shared" si="6"/>
        <v/>
      </c>
    </row>
    <row r="123" spans="1:19" x14ac:dyDescent="0.2">
      <c r="A123" s="4">
        <v>115</v>
      </c>
      <c r="B123" s="8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4"/>
        <v>0</v>
      </c>
      <c r="R123" s="41">
        <f t="shared" si="5"/>
        <v>0</v>
      </c>
      <c r="S123" s="41" t="str">
        <f t="shared" si="6"/>
        <v/>
      </c>
    </row>
    <row r="124" spans="1:19" x14ac:dyDescent="0.2">
      <c r="A124" s="4">
        <v>116</v>
      </c>
      <c r="B124" s="8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4"/>
        <v>0</v>
      </c>
      <c r="R124" s="41">
        <f t="shared" si="5"/>
        <v>0</v>
      </c>
      <c r="S124" s="41" t="str">
        <f t="shared" si="6"/>
        <v/>
      </c>
    </row>
    <row r="125" spans="1:19" x14ac:dyDescent="0.2">
      <c r="A125" s="4">
        <v>117</v>
      </c>
      <c r="B125" s="8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4"/>
        <v>0</v>
      </c>
      <c r="R125" s="41">
        <f t="shared" si="5"/>
        <v>0</v>
      </c>
      <c r="S125" s="41" t="str">
        <f t="shared" si="6"/>
        <v/>
      </c>
    </row>
    <row r="126" spans="1:19" x14ac:dyDescent="0.2">
      <c r="A126" s="4">
        <v>118</v>
      </c>
      <c r="B126" s="8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4"/>
        <v>0</v>
      </c>
      <c r="R126" s="41">
        <f t="shared" si="5"/>
        <v>0</v>
      </c>
      <c r="S126" s="41" t="str">
        <f t="shared" si="6"/>
        <v/>
      </c>
    </row>
    <row r="127" spans="1:19" x14ac:dyDescent="0.2">
      <c r="A127" s="4">
        <v>119</v>
      </c>
      <c r="B127" s="8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4"/>
        <v>0</v>
      </c>
      <c r="R127" s="41">
        <f t="shared" si="5"/>
        <v>0</v>
      </c>
      <c r="S127" s="41" t="str">
        <f t="shared" si="6"/>
        <v/>
      </c>
    </row>
    <row r="128" spans="1:19" x14ac:dyDescent="0.2">
      <c r="A128" s="4">
        <v>120</v>
      </c>
      <c r="B128" s="8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4"/>
        <v>0</v>
      </c>
      <c r="R128" s="41">
        <f t="shared" si="5"/>
        <v>0</v>
      </c>
      <c r="S128" s="41" t="str">
        <f t="shared" si="6"/>
        <v/>
      </c>
    </row>
    <row r="129" spans="1:19" x14ac:dyDescent="0.2">
      <c r="A129" s="4">
        <v>121</v>
      </c>
      <c r="B129" s="8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4"/>
        <v>0</v>
      </c>
      <c r="R129" s="41">
        <f t="shared" si="5"/>
        <v>0</v>
      </c>
      <c r="S129" s="41" t="str">
        <f t="shared" si="6"/>
        <v/>
      </c>
    </row>
    <row r="130" spans="1:19" x14ac:dyDescent="0.2">
      <c r="A130" s="4">
        <v>122</v>
      </c>
      <c r="B130" s="8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4"/>
        <v>0</v>
      </c>
      <c r="R130" s="41">
        <f t="shared" si="5"/>
        <v>0</v>
      </c>
      <c r="S130" s="41" t="str">
        <f t="shared" si="6"/>
        <v/>
      </c>
    </row>
    <row r="131" spans="1:19" x14ac:dyDescent="0.2">
      <c r="A131" s="4">
        <v>123</v>
      </c>
      <c r="B131" s="8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4"/>
        <v>0</v>
      </c>
      <c r="R131" s="41">
        <f t="shared" si="5"/>
        <v>0</v>
      </c>
      <c r="S131" s="41" t="str">
        <f t="shared" si="6"/>
        <v/>
      </c>
    </row>
    <row r="132" spans="1:19" x14ac:dyDescent="0.2">
      <c r="A132" s="4">
        <v>124</v>
      </c>
      <c r="B132" s="8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4"/>
        <v>0</v>
      </c>
      <c r="R132" s="41">
        <f t="shared" si="5"/>
        <v>0</v>
      </c>
      <c r="S132" s="41" t="str">
        <f t="shared" si="6"/>
        <v/>
      </c>
    </row>
    <row r="133" spans="1:19" x14ac:dyDescent="0.2">
      <c r="A133" s="4">
        <v>125</v>
      </c>
      <c r="B133" s="8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4"/>
        <v>0</v>
      </c>
      <c r="R133" s="41">
        <f t="shared" si="5"/>
        <v>0</v>
      </c>
      <c r="S133" s="41" t="str">
        <f t="shared" si="6"/>
        <v/>
      </c>
    </row>
    <row r="134" spans="1:19" x14ac:dyDescent="0.2">
      <c r="A134" s="4">
        <v>126</v>
      </c>
      <c r="B134" s="8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4"/>
        <v>0</v>
      </c>
      <c r="R134" s="41">
        <f t="shared" si="5"/>
        <v>0</v>
      </c>
      <c r="S134" s="41" t="str">
        <f t="shared" si="6"/>
        <v/>
      </c>
    </row>
    <row r="135" spans="1:19" x14ac:dyDescent="0.2">
      <c r="A135" s="4">
        <v>127</v>
      </c>
      <c r="B135" s="8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4"/>
        <v>0</v>
      </c>
      <c r="R135" s="41">
        <f t="shared" si="5"/>
        <v>0</v>
      </c>
      <c r="S135" s="41" t="str">
        <f t="shared" si="6"/>
        <v/>
      </c>
    </row>
    <row r="136" spans="1:19" x14ac:dyDescent="0.2">
      <c r="A136" s="4">
        <v>128</v>
      </c>
      <c r="B136" s="8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4"/>
        <v>0</v>
      </c>
      <c r="R136" s="41">
        <f t="shared" si="5"/>
        <v>0</v>
      </c>
      <c r="S136" s="41" t="str">
        <f t="shared" si="6"/>
        <v/>
      </c>
    </row>
    <row r="137" spans="1:19" x14ac:dyDescent="0.2">
      <c r="A137" s="4">
        <v>129</v>
      </c>
      <c r="B137" s="8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4"/>
        <v>0</v>
      </c>
      <c r="R137" s="41">
        <f t="shared" si="5"/>
        <v>0</v>
      </c>
      <c r="S137" s="41" t="str">
        <f t="shared" si="6"/>
        <v/>
      </c>
    </row>
    <row r="138" spans="1:19" x14ac:dyDescent="0.2">
      <c r="A138" s="4">
        <v>130</v>
      </c>
      <c r="B138" s="8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7">E138*F138</f>
        <v>0</v>
      </c>
      <c r="R138" s="41">
        <f t="shared" ref="R138:R201" si="8">Q138+(Q138*H138)</f>
        <v>0</v>
      </c>
      <c r="S138" s="41" t="str">
        <f t="shared" ref="S138:S201" si="9">IF(O138=$V$3,R138-(R138*G138),IF(O138=$V$4,-P138,""))</f>
        <v/>
      </c>
    </row>
    <row r="139" spans="1:19" x14ac:dyDescent="0.2">
      <c r="A139" s="4">
        <v>131</v>
      </c>
      <c r="B139" s="8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7"/>
        <v>0</v>
      </c>
      <c r="R139" s="41">
        <f t="shared" si="8"/>
        <v>0</v>
      </c>
      <c r="S139" s="41" t="str">
        <f t="shared" si="9"/>
        <v/>
      </c>
    </row>
    <row r="140" spans="1:19" x14ac:dyDescent="0.2">
      <c r="A140" s="4">
        <v>132</v>
      </c>
      <c r="B140" s="8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7"/>
        <v>0</v>
      </c>
      <c r="R140" s="41">
        <f t="shared" si="8"/>
        <v>0</v>
      </c>
      <c r="S140" s="41" t="str">
        <f t="shared" si="9"/>
        <v/>
      </c>
    </row>
    <row r="141" spans="1:19" x14ac:dyDescent="0.2">
      <c r="A141" s="4">
        <v>133</v>
      </c>
      <c r="B141" s="8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7"/>
        <v>0</v>
      </c>
      <c r="R141" s="41">
        <f t="shared" si="8"/>
        <v>0</v>
      </c>
      <c r="S141" s="41" t="str">
        <f t="shared" si="9"/>
        <v/>
      </c>
    </row>
    <row r="142" spans="1:19" x14ac:dyDescent="0.2">
      <c r="A142" s="4">
        <v>134</v>
      </c>
      <c r="B142" s="8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7"/>
        <v>0</v>
      </c>
      <c r="R142" s="41">
        <f t="shared" si="8"/>
        <v>0</v>
      </c>
      <c r="S142" s="41" t="str">
        <f t="shared" si="9"/>
        <v/>
      </c>
    </row>
    <row r="143" spans="1:19" x14ac:dyDescent="0.2">
      <c r="A143" s="4">
        <v>135</v>
      </c>
      <c r="B143" s="8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7"/>
        <v>0</v>
      </c>
      <c r="R143" s="41">
        <f t="shared" si="8"/>
        <v>0</v>
      </c>
      <c r="S143" s="41" t="str">
        <f t="shared" si="9"/>
        <v/>
      </c>
    </row>
    <row r="144" spans="1:19" x14ac:dyDescent="0.2">
      <c r="A144" s="4">
        <v>136</v>
      </c>
      <c r="B144" s="8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7"/>
        <v>0</v>
      </c>
      <c r="R144" s="41">
        <f t="shared" si="8"/>
        <v>0</v>
      </c>
      <c r="S144" s="41" t="str">
        <f t="shared" si="9"/>
        <v/>
      </c>
    </row>
    <row r="145" spans="1:19" x14ac:dyDescent="0.2">
      <c r="A145" s="4">
        <v>137</v>
      </c>
      <c r="B145" s="8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7"/>
        <v>0</v>
      </c>
      <c r="R145" s="41">
        <f t="shared" si="8"/>
        <v>0</v>
      </c>
      <c r="S145" s="41" t="str">
        <f t="shared" si="9"/>
        <v/>
      </c>
    </row>
    <row r="146" spans="1:19" x14ac:dyDescent="0.2">
      <c r="A146" s="4">
        <v>138</v>
      </c>
      <c r="B146" s="8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7"/>
        <v>0</v>
      </c>
      <c r="R146" s="41">
        <f t="shared" si="8"/>
        <v>0</v>
      </c>
      <c r="S146" s="41" t="str">
        <f t="shared" si="9"/>
        <v/>
      </c>
    </row>
    <row r="147" spans="1:19" x14ac:dyDescent="0.2">
      <c r="A147" s="4">
        <v>139</v>
      </c>
      <c r="B147" s="8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7"/>
        <v>0</v>
      </c>
      <c r="R147" s="41">
        <f t="shared" si="8"/>
        <v>0</v>
      </c>
      <c r="S147" s="41" t="str">
        <f t="shared" si="9"/>
        <v/>
      </c>
    </row>
    <row r="148" spans="1:19" x14ac:dyDescent="0.2">
      <c r="A148" s="4">
        <v>140</v>
      </c>
      <c r="B148" s="8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7"/>
        <v>0</v>
      </c>
      <c r="R148" s="41">
        <f t="shared" si="8"/>
        <v>0</v>
      </c>
      <c r="S148" s="41" t="str">
        <f t="shared" si="9"/>
        <v/>
      </c>
    </row>
    <row r="149" spans="1:19" x14ac:dyDescent="0.2">
      <c r="A149" s="4">
        <v>141</v>
      </c>
      <c r="B149" s="8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7"/>
        <v>0</v>
      </c>
      <c r="R149" s="41">
        <f t="shared" si="8"/>
        <v>0</v>
      </c>
      <c r="S149" s="41" t="str">
        <f t="shared" si="9"/>
        <v/>
      </c>
    </row>
    <row r="150" spans="1:19" x14ac:dyDescent="0.2">
      <c r="A150" s="4">
        <v>142</v>
      </c>
      <c r="B150" s="8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7"/>
        <v>0</v>
      </c>
      <c r="R150" s="41">
        <f t="shared" si="8"/>
        <v>0</v>
      </c>
      <c r="S150" s="41" t="str">
        <f t="shared" si="9"/>
        <v/>
      </c>
    </row>
    <row r="151" spans="1:19" x14ac:dyDescent="0.2">
      <c r="A151" s="4">
        <v>143</v>
      </c>
      <c r="B151" s="8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7"/>
        <v>0</v>
      </c>
      <c r="R151" s="41">
        <f t="shared" si="8"/>
        <v>0</v>
      </c>
      <c r="S151" s="41" t="str">
        <f t="shared" si="9"/>
        <v/>
      </c>
    </row>
    <row r="152" spans="1:19" x14ac:dyDescent="0.2">
      <c r="A152" s="4">
        <v>144</v>
      </c>
      <c r="B152" s="8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7"/>
        <v>0</v>
      </c>
      <c r="R152" s="41">
        <f t="shared" si="8"/>
        <v>0</v>
      </c>
      <c r="S152" s="41" t="str">
        <f t="shared" si="9"/>
        <v/>
      </c>
    </row>
    <row r="153" spans="1:19" x14ac:dyDescent="0.2">
      <c r="A153" s="4">
        <v>145</v>
      </c>
      <c r="B153" s="8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7"/>
        <v>0</v>
      </c>
      <c r="R153" s="41">
        <f t="shared" si="8"/>
        <v>0</v>
      </c>
      <c r="S153" s="41" t="str">
        <f t="shared" si="9"/>
        <v/>
      </c>
    </row>
    <row r="154" spans="1:19" x14ac:dyDescent="0.2">
      <c r="A154" s="4">
        <v>146</v>
      </c>
      <c r="B154" s="8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7"/>
        <v>0</v>
      </c>
      <c r="R154" s="41">
        <f t="shared" si="8"/>
        <v>0</v>
      </c>
      <c r="S154" s="41" t="str">
        <f t="shared" si="9"/>
        <v/>
      </c>
    </row>
    <row r="155" spans="1:19" x14ac:dyDescent="0.2">
      <c r="A155" s="4">
        <v>147</v>
      </c>
      <c r="B155" s="8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7"/>
        <v>0</v>
      </c>
      <c r="R155" s="41">
        <f t="shared" si="8"/>
        <v>0</v>
      </c>
      <c r="S155" s="41" t="str">
        <f t="shared" si="9"/>
        <v/>
      </c>
    </row>
    <row r="156" spans="1:19" x14ac:dyDescent="0.2">
      <c r="A156" s="4">
        <v>148</v>
      </c>
      <c r="B156" s="8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7"/>
        <v>0</v>
      </c>
      <c r="R156" s="41">
        <f t="shared" si="8"/>
        <v>0</v>
      </c>
      <c r="S156" s="41" t="str">
        <f t="shared" si="9"/>
        <v/>
      </c>
    </row>
    <row r="157" spans="1:19" x14ac:dyDescent="0.2">
      <c r="A157" s="4">
        <v>149</v>
      </c>
      <c r="B157" s="8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7"/>
        <v>0</v>
      </c>
      <c r="R157" s="41">
        <f t="shared" si="8"/>
        <v>0</v>
      </c>
      <c r="S157" s="41" t="str">
        <f t="shared" si="9"/>
        <v/>
      </c>
    </row>
    <row r="158" spans="1:19" x14ac:dyDescent="0.2">
      <c r="A158" s="4">
        <v>150</v>
      </c>
      <c r="B158" s="8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7"/>
        <v>0</v>
      </c>
      <c r="R158" s="41">
        <f t="shared" si="8"/>
        <v>0</v>
      </c>
      <c r="S158" s="41" t="str">
        <f t="shared" si="9"/>
        <v/>
      </c>
    </row>
    <row r="159" spans="1:19" x14ac:dyDescent="0.2">
      <c r="A159" s="4">
        <v>151</v>
      </c>
      <c r="B159" s="8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7"/>
        <v>0</v>
      </c>
      <c r="R159" s="41">
        <f t="shared" si="8"/>
        <v>0</v>
      </c>
      <c r="S159" s="41" t="str">
        <f t="shared" si="9"/>
        <v/>
      </c>
    </row>
    <row r="160" spans="1:19" x14ac:dyDescent="0.2">
      <c r="A160" s="4">
        <v>152</v>
      </c>
      <c r="B160" s="8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7"/>
        <v>0</v>
      </c>
      <c r="R160" s="41">
        <f t="shared" si="8"/>
        <v>0</v>
      </c>
      <c r="S160" s="41" t="str">
        <f t="shared" si="9"/>
        <v/>
      </c>
    </row>
    <row r="161" spans="1:19" x14ac:dyDescent="0.2">
      <c r="A161" s="4">
        <v>153</v>
      </c>
      <c r="B161" s="8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7"/>
        <v>0</v>
      </c>
      <c r="R161" s="41">
        <f t="shared" si="8"/>
        <v>0</v>
      </c>
      <c r="S161" s="41" t="str">
        <f t="shared" si="9"/>
        <v/>
      </c>
    </row>
    <row r="162" spans="1:19" x14ac:dyDescent="0.2">
      <c r="A162" s="4">
        <v>154</v>
      </c>
      <c r="B162" s="8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7"/>
        <v>0</v>
      </c>
      <c r="R162" s="41">
        <f t="shared" si="8"/>
        <v>0</v>
      </c>
      <c r="S162" s="41" t="str">
        <f t="shared" si="9"/>
        <v/>
      </c>
    </row>
    <row r="163" spans="1:19" x14ac:dyDescent="0.2">
      <c r="A163" s="4">
        <v>155</v>
      </c>
      <c r="B163" s="8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7"/>
        <v>0</v>
      </c>
      <c r="R163" s="41">
        <f t="shared" si="8"/>
        <v>0</v>
      </c>
      <c r="S163" s="41" t="str">
        <f t="shared" si="9"/>
        <v/>
      </c>
    </row>
    <row r="164" spans="1:19" x14ac:dyDescent="0.2">
      <c r="A164" s="4">
        <v>156</v>
      </c>
      <c r="B164" s="8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7"/>
        <v>0</v>
      </c>
      <c r="R164" s="41">
        <f t="shared" si="8"/>
        <v>0</v>
      </c>
      <c r="S164" s="41" t="str">
        <f t="shared" si="9"/>
        <v/>
      </c>
    </row>
    <row r="165" spans="1:19" x14ac:dyDescent="0.2">
      <c r="A165" s="4">
        <v>157</v>
      </c>
      <c r="B165" s="8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7"/>
        <v>0</v>
      </c>
      <c r="R165" s="41">
        <f t="shared" si="8"/>
        <v>0</v>
      </c>
      <c r="S165" s="41" t="str">
        <f t="shared" si="9"/>
        <v/>
      </c>
    </row>
    <row r="166" spans="1:19" x14ac:dyDescent="0.2">
      <c r="A166" s="4">
        <v>158</v>
      </c>
      <c r="B166" s="8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7"/>
        <v>0</v>
      </c>
      <c r="R166" s="41">
        <f t="shared" si="8"/>
        <v>0</v>
      </c>
      <c r="S166" s="41" t="str">
        <f t="shared" si="9"/>
        <v/>
      </c>
    </row>
    <row r="167" spans="1:19" x14ac:dyDescent="0.2">
      <c r="A167" s="4">
        <v>159</v>
      </c>
      <c r="B167" s="8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7"/>
        <v>0</v>
      </c>
      <c r="R167" s="41">
        <f t="shared" si="8"/>
        <v>0</v>
      </c>
      <c r="S167" s="41" t="str">
        <f t="shared" si="9"/>
        <v/>
      </c>
    </row>
    <row r="168" spans="1:19" x14ac:dyDescent="0.2">
      <c r="A168" s="4">
        <v>160</v>
      </c>
      <c r="B168" s="8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7"/>
        <v>0</v>
      </c>
      <c r="R168" s="41">
        <f t="shared" si="8"/>
        <v>0</v>
      </c>
      <c r="S168" s="41" t="str">
        <f t="shared" si="9"/>
        <v/>
      </c>
    </row>
    <row r="169" spans="1:19" x14ac:dyDescent="0.2">
      <c r="A169" s="4">
        <v>161</v>
      </c>
      <c r="B169" s="8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7"/>
        <v>0</v>
      </c>
      <c r="R169" s="41">
        <f t="shared" si="8"/>
        <v>0</v>
      </c>
      <c r="S169" s="41" t="str">
        <f t="shared" si="9"/>
        <v/>
      </c>
    </row>
    <row r="170" spans="1:19" x14ac:dyDescent="0.2">
      <c r="A170" s="4">
        <v>162</v>
      </c>
      <c r="B170" s="8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7"/>
        <v>0</v>
      </c>
      <c r="R170" s="41">
        <f t="shared" si="8"/>
        <v>0</v>
      </c>
      <c r="S170" s="41" t="str">
        <f t="shared" si="9"/>
        <v/>
      </c>
    </row>
    <row r="171" spans="1:19" x14ac:dyDescent="0.2">
      <c r="A171" s="4">
        <v>163</v>
      </c>
      <c r="B171" s="8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7"/>
        <v>0</v>
      </c>
      <c r="R171" s="41">
        <f t="shared" si="8"/>
        <v>0</v>
      </c>
      <c r="S171" s="41" t="str">
        <f t="shared" si="9"/>
        <v/>
      </c>
    </row>
    <row r="172" spans="1:19" x14ac:dyDescent="0.2">
      <c r="A172" s="4">
        <v>164</v>
      </c>
      <c r="B172" s="8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7"/>
        <v>0</v>
      </c>
      <c r="R172" s="41">
        <f t="shared" si="8"/>
        <v>0</v>
      </c>
      <c r="S172" s="41" t="str">
        <f t="shared" si="9"/>
        <v/>
      </c>
    </row>
    <row r="173" spans="1:19" x14ac:dyDescent="0.2">
      <c r="A173" s="4">
        <v>165</v>
      </c>
      <c r="B173" s="8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7"/>
        <v>0</v>
      </c>
      <c r="R173" s="41">
        <f t="shared" si="8"/>
        <v>0</v>
      </c>
      <c r="S173" s="41" t="str">
        <f t="shared" si="9"/>
        <v/>
      </c>
    </row>
    <row r="174" spans="1:19" x14ac:dyDescent="0.2">
      <c r="A174" s="4">
        <v>166</v>
      </c>
      <c r="B174" s="8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7"/>
        <v>0</v>
      </c>
      <c r="R174" s="41">
        <f t="shared" si="8"/>
        <v>0</v>
      </c>
      <c r="S174" s="41" t="str">
        <f t="shared" si="9"/>
        <v/>
      </c>
    </row>
    <row r="175" spans="1:19" x14ac:dyDescent="0.2">
      <c r="A175" s="4">
        <v>167</v>
      </c>
      <c r="B175" s="8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7"/>
        <v>0</v>
      </c>
      <c r="R175" s="41">
        <f t="shared" si="8"/>
        <v>0</v>
      </c>
      <c r="S175" s="41" t="str">
        <f t="shared" si="9"/>
        <v/>
      </c>
    </row>
    <row r="176" spans="1:19" x14ac:dyDescent="0.2">
      <c r="A176" s="4">
        <v>168</v>
      </c>
      <c r="B176" s="8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7"/>
        <v>0</v>
      </c>
      <c r="R176" s="41">
        <f t="shared" si="8"/>
        <v>0</v>
      </c>
      <c r="S176" s="41" t="str">
        <f t="shared" si="9"/>
        <v/>
      </c>
    </row>
    <row r="177" spans="1:19" x14ac:dyDescent="0.2">
      <c r="A177" s="4">
        <v>169</v>
      </c>
      <c r="B177" s="8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7"/>
        <v>0</v>
      </c>
      <c r="R177" s="41">
        <f t="shared" si="8"/>
        <v>0</v>
      </c>
      <c r="S177" s="41" t="str">
        <f t="shared" si="9"/>
        <v/>
      </c>
    </row>
    <row r="178" spans="1:19" x14ac:dyDescent="0.2">
      <c r="A178" s="4">
        <v>170</v>
      </c>
      <c r="B178" s="8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7"/>
        <v>0</v>
      </c>
      <c r="R178" s="41">
        <f t="shared" si="8"/>
        <v>0</v>
      </c>
      <c r="S178" s="41" t="str">
        <f t="shared" si="9"/>
        <v/>
      </c>
    </row>
    <row r="179" spans="1:19" x14ac:dyDescent="0.2">
      <c r="A179" s="4">
        <v>171</v>
      </c>
      <c r="B179" s="8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7"/>
        <v>0</v>
      </c>
      <c r="R179" s="41">
        <f t="shared" si="8"/>
        <v>0</v>
      </c>
      <c r="S179" s="41" t="str">
        <f t="shared" si="9"/>
        <v/>
      </c>
    </row>
    <row r="180" spans="1:19" x14ac:dyDescent="0.2">
      <c r="A180" s="4">
        <v>172</v>
      </c>
      <c r="B180" s="8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7"/>
        <v>0</v>
      </c>
      <c r="R180" s="41">
        <f t="shared" si="8"/>
        <v>0</v>
      </c>
      <c r="S180" s="41" t="str">
        <f t="shared" si="9"/>
        <v/>
      </c>
    </row>
    <row r="181" spans="1:19" x14ac:dyDescent="0.2">
      <c r="A181" s="4">
        <v>173</v>
      </c>
      <c r="B181" s="8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7"/>
        <v>0</v>
      </c>
      <c r="R181" s="41">
        <f t="shared" si="8"/>
        <v>0</v>
      </c>
      <c r="S181" s="41" t="str">
        <f t="shared" si="9"/>
        <v/>
      </c>
    </row>
    <row r="182" spans="1:19" x14ac:dyDescent="0.2">
      <c r="A182" s="4">
        <v>174</v>
      </c>
      <c r="B182" s="8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7"/>
        <v>0</v>
      </c>
      <c r="R182" s="41">
        <f t="shared" si="8"/>
        <v>0</v>
      </c>
      <c r="S182" s="41" t="str">
        <f t="shared" si="9"/>
        <v/>
      </c>
    </row>
    <row r="183" spans="1:19" x14ac:dyDescent="0.2">
      <c r="A183" s="4">
        <v>175</v>
      </c>
      <c r="B183" s="8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7"/>
        <v>0</v>
      </c>
      <c r="R183" s="41">
        <f t="shared" si="8"/>
        <v>0</v>
      </c>
      <c r="S183" s="41" t="str">
        <f t="shared" si="9"/>
        <v/>
      </c>
    </row>
    <row r="184" spans="1:19" x14ac:dyDescent="0.2">
      <c r="A184" s="4">
        <v>176</v>
      </c>
      <c r="B184" s="8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7"/>
        <v>0</v>
      </c>
      <c r="R184" s="41">
        <f t="shared" si="8"/>
        <v>0</v>
      </c>
      <c r="S184" s="41" t="str">
        <f t="shared" si="9"/>
        <v/>
      </c>
    </row>
    <row r="185" spans="1:19" x14ac:dyDescent="0.2">
      <c r="A185" s="4">
        <v>177</v>
      </c>
      <c r="B185" s="8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7"/>
        <v>0</v>
      </c>
      <c r="R185" s="41">
        <f t="shared" si="8"/>
        <v>0</v>
      </c>
      <c r="S185" s="41" t="str">
        <f t="shared" si="9"/>
        <v/>
      </c>
    </row>
    <row r="186" spans="1:19" x14ac:dyDescent="0.2">
      <c r="A186" s="4">
        <v>178</v>
      </c>
      <c r="B186" s="8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7"/>
        <v>0</v>
      </c>
      <c r="R186" s="41">
        <f t="shared" si="8"/>
        <v>0</v>
      </c>
      <c r="S186" s="41" t="str">
        <f t="shared" si="9"/>
        <v/>
      </c>
    </row>
    <row r="187" spans="1:19" x14ac:dyDescent="0.2">
      <c r="A187" s="4">
        <v>179</v>
      </c>
      <c r="B187" s="8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7"/>
        <v>0</v>
      </c>
      <c r="R187" s="41">
        <f t="shared" si="8"/>
        <v>0</v>
      </c>
      <c r="S187" s="41" t="str">
        <f t="shared" si="9"/>
        <v/>
      </c>
    </row>
    <row r="188" spans="1:19" x14ac:dyDescent="0.2">
      <c r="A188" s="4">
        <v>180</v>
      </c>
      <c r="B188" s="8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7"/>
        <v>0</v>
      </c>
      <c r="R188" s="41">
        <f t="shared" si="8"/>
        <v>0</v>
      </c>
      <c r="S188" s="41" t="str">
        <f t="shared" si="9"/>
        <v/>
      </c>
    </row>
    <row r="189" spans="1:19" x14ac:dyDescent="0.2">
      <c r="A189" s="4">
        <v>181</v>
      </c>
      <c r="B189" s="8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7"/>
        <v>0</v>
      </c>
      <c r="R189" s="41">
        <f t="shared" si="8"/>
        <v>0</v>
      </c>
      <c r="S189" s="41" t="str">
        <f t="shared" si="9"/>
        <v/>
      </c>
    </row>
    <row r="190" spans="1:19" x14ac:dyDescent="0.2">
      <c r="A190" s="4">
        <v>182</v>
      </c>
      <c r="B190" s="8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7"/>
        <v>0</v>
      </c>
      <c r="R190" s="41">
        <f t="shared" si="8"/>
        <v>0</v>
      </c>
      <c r="S190" s="41" t="str">
        <f t="shared" si="9"/>
        <v/>
      </c>
    </row>
    <row r="191" spans="1:19" x14ac:dyDescent="0.2">
      <c r="A191" s="4">
        <v>183</v>
      </c>
      <c r="B191" s="8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7"/>
        <v>0</v>
      </c>
      <c r="R191" s="41">
        <f t="shared" si="8"/>
        <v>0</v>
      </c>
      <c r="S191" s="41" t="str">
        <f t="shared" si="9"/>
        <v/>
      </c>
    </row>
    <row r="192" spans="1:19" x14ac:dyDescent="0.2">
      <c r="A192" s="4">
        <v>184</v>
      </c>
      <c r="B192" s="8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7"/>
        <v>0</v>
      </c>
      <c r="R192" s="41">
        <f t="shared" si="8"/>
        <v>0</v>
      </c>
      <c r="S192" s="41" t="str">
        <f t="shared" si="9"/>
        <v/>
      </c>
    </row>
    <row r="193" spans="1:19" x14ac:dyDescent="0.2">
      <c r="A193" s="4">
        <v>185</v>
      </c>
      <c r="B193" s="8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7"/>
        <v>0</v>
      </c>
      <c r="R193" s="41">
        <f t="shared" si="8"/>
        <v>0</v>
      </c>
      <c r="S193" s="41" t="str">
        <f t="shared" si="9"/>
        <v/>
      </c>
    </row>
    <row r="194" spans="1:19" x14ac:dyDescent="0.2">
      <c r="A194" s="4">
        <v>186</v>
      </c>
      <c r="B194" s="8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7"/>
        <v>0</v>
      </c>
      <c r="R194" s="41">
        <f t="shared" si="8"/>
        <v>0</v>
      </c>
      <c r="S194" s="41" t="str">
        <f t="shared" si="9"/>
        <v/>
      </c>
    </row>
    <row r="195" spans="1:19" x14ac:dyDescent="0.2">
      <c r="A195" s="4">
        <v>187</v>
      </c>
      <c r="B195" s="8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7"/>
        <v>0</v>
      </c>
      <c r="R195" s="41">
        <f t="shared" si="8"/>
        <v>0</v>
      </c>
      <c r="S195" s="41" t="str">
        <f t="shared" si="9"/>
        <v/>
      </c>
    </row>
    <row r="196" spans="1:19" x14ac:dyDescent="0.2">
      <c r="A196" s="4">
        <v>188</v>
      </c>
      <c r="B196" s="8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7"/>
        <v>0</v>
      </c>
      <c r="R196" s="41">
        <f t="shared" si="8"/>
        <v>0</v>
      </c>
      <c r="S196" s="41" t="str">
        <f t="shared" si="9"/>
        <v/>
      </c>
    </row>
    <row r="197" spans="1:19" x14ac:dyDescent="0.2">
      <c r="A197" s="4">
        <v>189</v>
      </c>
      <c r="B197" s="8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7"/>
        <v>0</v>
      </c>
      <c r="R197" s="41">
        <f t="shared" si="8"/>
        <v>0</v>
      </c>
      <c r="S197" s="41" t="str">
        <f t="shared" si="9"/>
        <v/>
      </c>
    </row>
    <row r="198" spans="1:19" x14ac:dyDescent="0.2">
      <c r="A198" s="4">
        <v>190</v>
      </c>
      <c r="B198" s="8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7"/>
        <v>0</v>
      </c>
      <c r="R198" s="41">
        <f t="shared" si="8"/>
        <v>0</v>
      </c>
      <c r="S198" s="41" t="str">
        <f t="shared" si="9"/>
        <v/>
      </c>
    </row>
    <row r="199" spans="1:19" x14ac:dyDescent="0.2">
      <c r="A199" s="4">
        <v>191</v>
      </c>
      <c r="B199" s="8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7"/>
        <v>0</v>
      </c>
      <c r="R199" s="41">
        <f t="shared" si="8"/>
        <v>0</v>
      </c>
      <c r="S199" s="41" t="str">
        <f t="shared" si="9"/>
        <v/>
      </c>
    </row>
    <row r="200" spans="1:19" x14ac:dyDescent="0.2">
      <c r="A200" s="4">
        <v>192</v>
      </c>
      <c r="B200" s="8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7"/>
        <v>0</v>
      </c>
      <c r="R200" s="41">
        <f t="shared" si="8"/>
        <v>0</v>
      </c>
      <c r="S200" s="41" t="str">
        <f t="shared" si="9"/>
        <v/>
      </c>
    </row>
    <row r="201" spans="1:19" x14ac:dyDescent="0.2">
      <c r="A201" s="4">
        <v>193</v>
      </c>
      <c r="B201" s="8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7"/>
        <v>0</v>
      </c>
      <c r="R201" s="41">
        <f t="shared" si="8"/>
        <v>0</v>
      </c>
      <c r="S201" s="41" t="str">
        <f t="shared" si="9"/>
        <v/>
      </c>
    </row>
    <row r="202" spans="1:19" x14ac:dyDescent="0.2">
      <c r="A202" s="4">
        <v>194</v>
      </c>
      <c r="B202" s="8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10">E202*F202</f>
        <v>0</v>
      </c>
      <c r="R202" s="41">
        <f t="shared" ref="R202:R208" si="11">Q202+(Q202*H202)</f>
        <v>0</v>
      </c>
      <c r="S202" s="41" t="str">
        <f t="shared" ref="S202:S208" si="12">IF(O202=$V$3,R202-(R202*G202),IF(O202=$V$4,-P202,""))</f>
        <v/>
      </c>
    </row>
    <row r="203" spans="1:19" x14ac:dyDescent="0.2">
      <c r="A203" s="4">
        <v>195</v>
      </c>
      <c r="B203" s="8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10"/>
        <v>0</v>
      </c>
      <c r="R203" s="41">
        <f t="shared" si="11"/>
        <v>0</v>
      </c>
      <c r="S203" s="41" t="str">
        <f t="shared" si="12"/>
        <v/>
      </c>
    </row>
    <row r="204" spans="1:19" x14ac:dyDescent="0.2">
      <c r="A204" s="4">
        <v>196</v>
      </c>
      <c r="B204" s="8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10"/>
        <v>0</v>
      </c>
      <c r="R204" s="41">
        <f t="shared" si="11"/>
        <v>0</v>
      </c>
      <c r="S204" s="41" t="str">
        <f t="shared" si="12"/>
        <v/>
      </c>
    </row>
    <row r="205" spans="1:19" x14ac:dyDescent="0.2">
      <c r="A205" s="4">
        <v>197</v>
      </c>
      <c r="B205" s="8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10"/>
        <v>0</v>
      </c>
      <c r="R205" s="41">
        <f t="shared" si="11"/>
        <v>0</v>
      </c>
      <c r="S205" s="41" t="str">
        <f t="shared" si="12"/>
        <v/>
      </c>
    </row>
    <row r="206" spans="1:19" x14ac:dyDescent="0.2">
      <c r="A206" s="4">
        <v>198</v>
      </c>
      <c r="B206" s="8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10"/>
        <v>0</v>
      </c>
      <c r="R206" s="41">
        <f t="shared" si="11"/>
        <v>0</v>
      </c>
      <c r="S206" s="41" t="str">
        <f t="shared" si="12"/>
        <v/>
      </c>
    </row>
    <row r="207" spans="1:19" x14ac:dyDescent="0.2">
      <c r="A207" s="4">
        <v>199</v>
      </c>
      <c r="B207" s="8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10"/>
        <v>0</v>
      </c>
      <c r="R207" s="41">
        <f t="shared" si="11"/>
        <v>0</v>
      </c>
      <c r="S207" s="41" t="str">
        <f t="shared" si="12"/>
        <v/>
      </c>
    </row>
    <row r="208" spans="1:19" x14ac:dyDescent="0.2">
      <c r="A208" s="4">
        <v>200</v>
      </c>
      <c r="B208" s="8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10"/>
        <v>0</v>
      </c>
      <c r="R208" s="41">
        <f t="shared" si="11"/>
        <v>0</v>
      </c>
      <c r="S208" s="41" t="str">
        <f t="shared" si="12"/>
        <v/>
      </c>
    </row>
  </sheetData>
  <autoFilter ref="A8:S208" xr:uid="{00000000-0009-0000-0000-000009000000}"/>
  <mergeCells count="2">
    <mergeCell ref="A1:C1"/>
    <mergeCell ref="E1:G1"/>
  </mergeCells>
  <conditionalFormatting sqref="S1:S8 S209:S1048576">
    <cfRule type="cellIs" dxfId="177" priority="5" operator="equal">
      <formula>"ERROR"</formula>
    </cfRule>
  </conditionalFormatting>
  <conditionalFormatting sqref="D4">
    <cfRule type="cellIs" dxfId="176" priority="2" operator="greaterThan">
      <formula>0</formula>
    </cfRule>
    <cfRule type="cellIs" dxfId="175" priority="3" operator="lessThanOrEqual">
      <formula>0</formula>
    </cfRule>
  </conditionalFormatting>
  <conditionalFormatting sqref="S9:S208">
    <cfRule type="cellIs" dxfId="174" priority="1" operator="equal">
      <formula>"ERROR"</formula>
    </cfRule>
  </conditionalFormatting>
  <dataValidations count="1">
    <dataValidation type="list" allowBlank="1" showInputMessage="1" showErrorMessage="1" sqref="O9:O1048576" xr:uid="{3680E091-F452-574E-BB9B-5A594619AD5E}">
      <formula1>$V$3:$V$4</formula1>
    </dataValidation>
  </dataValidations>
  <hyperlinks>
    <hyperlink ref="E1:G1" location="'Master Sheet'!A1" display="GO BACK TO MASTER SHEET" xr:uid="{13BB233B-7270-2546-A29A-7B638A6E081D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CA22214E-E39D-5C46-A2D3-888FA0D150C0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D9E7819E-EF3F-2842-94FA-D607B964C02A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2E0CA-5FB3-A54E-866B-6C8D1F2B7141}">
  <sheetPr codeName="Sheet5"/>
  <dimension ref="A1:P208"/>
  <sheetViews>
    <sheetView showGridLines="0" zoomScale="114" workbookViewId="0">
      <pane ySplit="8" topLeftCell="A50" activePane="bottomLeft" state="frozen"/>
      <selection pane="bottomLeft" activeCell="I1" sqref="I1:J1"/>
    </sheetView>
  </sheetViews>
  <sheetFormatPr baseColWidth="10" defaultColWidth="8.83203125" defaultRowHeight="15" x14ac:dyDescent="0.2"/>
  <cols>
    <col min="1" max="1" width="10" customWidth="1"/>
    <col min="2" max="2" width="12" style="75" customWidth="1"/>
    <col min="3" max="3" width="12" customWidth="1"/>
    <col min="4" max="4" width="22.1640625" bestFit="1" customWidth="1"/>
    <col min="5" max="5" width="14.83203125" bestFit="1" customWidth="1"/>
    <col min="6" max="6" width="13" customWidth="1"/>
    <col min="7" max="7" width="13" style="42" customWidth="1"/>
    <col min="8" max="8" width="23.83203125" bestFit="1" customWidth="1"/>
    <col min="9" max="9" width="14.6640625" style="42" bestFit="1" customWidth="1"/>
    <col min="10" max="10" width="16" style="42" customWidth="1"/>
  </cols>
  <sheetData>
    <row r="1" spans="1:16" ht="24" customHeight="1" x14ac:dyDescent="0.2">
      <c r="A1" s="86" t="str">
        <f ca="1">VLOOKUP(A2,'Master Sheet'!O5:P6,2)</f>
        <v>Abid Transporter</v>
      </c>
      <c r="B1" s="86"/>
      <c r="C1" s="86"/>
      <c r="D1" s="86"/>
      <c r="E1" s="86"/>
      <c r="F1" s="49"/>
      <c r="G1" s="49"/>
      <c r="I1" s="87" t="s">
        <v>202</v>
      </c>
      <c r="J1" s="87"/>
    </row>
    <row r="2" spans="1:16" ht="20" thickBot="1" x14ac:dyDescent="0.3">
      <c r="A2" s="48" t="str" cm="1">
        <f t="array" aca="1" ref="A2" ca="1">MID(CELL("filename",A1),FIND("]",CELL("filename",A1))+1,99)</f>
        <v>T001</v>
      </c>
      <c r="G2"/>
      <c r="I2"/>
      <c r="J2"/>
    </row>
    <row r="3" spans="1:16" ht="16" thickBot="1" x14ac:dyDescent="0.25">
      <c r="A3" s="3"/>
      <c r="G3"/>
      <c r="I3"/>
      <c r="J3"/>
      <c r="M3" s="43" t="s">
        <v>197</v>
      </c>
      <c r="N3" s="44"/>
      <c r="P3" s="19" t="s">
        <v>208</v>
      </c>
    </row>
    <row r="4" spans="1:16" ht="16" thickBot="1" x14ac:dyDescent="0.25">
      <c r="A4" s="3"/>
      <c r="C4" s="20" t="s">
        <v>201</v>
      </c>
      <c r="D4" s="51">
        <f>SUM(J9:J1048576)</f>
        <v>220000</v>
      </c>
      <c r="G4"/>
      <c r="I4"/>
      <c r="J4"/>
      <c r="M4" s="30" t="s">
        <v>198</v>
      </c>
      <c r="N4" s="45"/>
      <c r="P4" s="18" t="s">
        <v>209</v>
      </c>
    </row>
    <row r="5" spans="1:16" ht="16" thickBot="1" x14ac:dyDescent="0.25">
      <c r="A5" s="3"/>
      <c r="G5"/>
      <c r="I5"/>
      <c r="J5"/>
      <c r="P5" s="9" t="s">
        <v>210</v>
      </c>
    </row>
    <row r="6" spans="1:16" x14ac:dyDescent="0.2">
      <c r="A6" s="3"/>
      <c r="G6"/>
      <c r="I6"/>
      <c r="J6"/>
    </row>
    <row r="7" spans="1:16" x14ac:dyDescent="0.2">
      <c r="A7" s="3"/>
      <c r="G7"/>
      <c r="I7"/>
      <c r="J7"/>
    </row>
    <row r="8" spans="1:16" ht="36" customHeight="1" x14ac:dyDescent="0.2">
      <c r="A8" s="1" t="s">
        <v>70</v>
      </c>
      <c r="B8" s="76" t="s">
        <v>71</v>
      </c>
      <c r="C8" s="1" t="s">
        <v>205</v>
      </c>
      <c r="D8" s="1" t="s">
        <v>206</v>
      </c>
      <c r="E8" s="1" t="s">
        <v>78</v>
      </c>
      <c r="F8" s="1" t="s">
        <v>74</v>
      </c>
      <c r="G8" s="1" t="s">
        <v>207</v>
      </c>
      <c r="H8" s="1" t="s">
        <v>81</v>
      </c>
      <c r="I8" s="1" t="s">
        <v>211</v>
      </c>
      <c r="J8" s="1" t="s">
        <v>196</v>
      </c>
    </row>
    <row r="9" spans="1:16" x14ac:dyDescent="0.2">
      <c r="A9" s="4">
        <v>1</v>
      </c>
      <c r="B9" s="77">
        <v>46060</v>
      </c>
      <c r="C9" s="5"/>
      <c r="D9" s="5" t="s">
        <v>0</v>
      </c>
      <c r="E9" s="6" t="s">
        <v>85</v>
      </c>
      <c r="F9" s="7">
        <f>23+48</f>
        <v>71</v>
      </c>
      <c r="G9" s="41">
        <v>11000</v>
      </c>
      <c r="H9" s="6" t="s">
        <v>197</v>
      </c>
      <c r="I9" s="41"/>
      <c r="J9" s="41">
        <f>IF(H9=$M$3,G9,IF(H9=$M$4,-I9))</f>
        <v>11000</v>
      </c>
    </row>
    <row r="10" spans="1:16" x14ac:dyDescent="0.2">
      <c r="A10" s="4">
        <v>2</v>
      </c>
      <c r="B10" s="77">
        <v>46060</v>
      </c>
      <c r="C10" s="5"/>
      <c r="D10" s="5" t="s">
        <v>148</v>
      </c>
      <c r="E10" s="6" t="s">
        <v>85</v>
      </c>
      <c r="F10" s="7">
        <v>165</v>
      </c>
      <c r="G10" s="41">
        <v>12000</v>
      </c>
      <c r="H10" s="6" t="s">
        <v>197</v>
      </c>
      <c r="I10" s="41"/>
      <c r="J10" s="41">
        <f t="shared" ref="J10:J73" si="0">IF(H10=$M$3,G10,IF(H10=$M$4,-I10))</f>
        <v>12000</v>
      </c>
    </row>
    <row r="11" spans="1:16" x14ac:dyDescent="0.2">
      <c r="A11" s="4">
        <v>3</v>
      </c>
      <c r="B11" s="77">
        <v>46063</v>
      </c>
      <c r="C11" s="5"/>
      <c r="D11" s="5" t="s">
        <v>182</v>
      </c>
      <c r="E11" s="6" t="s">
        <v>85</v>
      </c>
      <c r="F11" s="7">
        <v>97</v>
      </c>
      <c r="G11" s="41">
        <v>5500</v>
      </c>
      <c r="H11" s="6" t="s">
        <v>197</v>
      </c>
      <c r="I11" s="41"/>
      <c r="J11" s="41">
        <f t="shared" si="0"/>
        <v>5500</v>
      </c>
    </row>
    <row r="12" spans="1:16" x14ac:dyDescent="0.2">
      <c r="A12" s="4">
        <v>4</v>
      </c>
      <c r="B12" s="77">
        <v>46064</v>
      </c>
      <c r="C12" s="5"/>
      <c r="D12" s="5" t="s">
        <v>139</v>
      </c>
      <c r="E12" s="6" t="s">
        <v>105</v>
      </c>
      <c r="F12" s="7">
        <v>30</v>
      </c>
      <c r="G12" s="41">
        <v>7000</v>
      </c>
      <c r="H12" s="6" t="s">
        <v>197</v>
      </c>
      <c r="I12" s="41"/>
      <c r="J12" s="41">
        <f t="shared" si="0"/>
        <v>7000</v>
      </c>
    </row>
    <row r="13" spans="1:16" x14ac:dyDescent="0.2">
      <c r="A13" s="4">
        <v>5</v>
      </c>
      <c r="B13" s="77">
        <v>46069</v>
      </c>
      <c r="C13" s="5"/>
      <c r="D13" s="5" t="s">
        <v>136</v>
      </c>
      <c r="E13" s="6" t="s">
        <v>85</v>
      </c>
      <c r="F13" s="7">
        <v>150</v>
      </c>
      <c r="G13" s="41">
        <v>11000</v>
      </c>
      <c r="H13" s="6" t="s">
        <v>197</v>
      </c>
      <c r="I13" s="41"/>
      <c r="J13" s="41">
        <f t="shared" si="0"/>
        <v>11000</v>
      </c>
    </row>
    <row r="14" spans="1:16" x14ac:dyDescent="0.2">
      <c r="A14" s="4">
        <v>6</v>
      </c>
      <c r="B14" s="77">
        <v>46069</v>
      </c>
      <c r="C14" s="5"/>
      <c r="D14" s="5" t="s">
        <v>136</v>
      </c>
      <c r="E14" s="6" t="s">
        <v>85</v>
      </c>
      <c r="F14" s="7">
        <v>150</v>
      </c>
      <c r="G14" s="41">
        <v>11000</v>
      </c>
      <c r="H14" s="6" t="s">
        <v>197</v>
      </c>
      <c r="I14" s="41"/>
      <c r="J14" s="41">
        <f t="shared" si="0"/>
        <v>11000</v>
      </c>
    </row>
    <row r="15" spans="1:16" x14ac:dyDescent="0.2">
      <c r="A15" s="4">
        <v>7</v>
      </c>
      <c r="B15" s="77">
        <v>46070</v>
      </c>
      <c r="C15" s="5"/>
      <c r="D15" s="5" t="s">
        <v>136</v>
      </c>
      <c r="E15" s="6" t="s">
        <v>85</v>
      </c>
      <c r="F15" s="7">
        <v>150</v>
      </c>
      <c r="G15" s="41">
        <v>11000</v>
      </c>
      <c r="H15" s="6" t="s">
        <v>197</v>
      </c>
      <c r="I15" s="41"/>
      <c r="J15" s="41">
        <f t="shared" si="0"/>
        <v>11000</v>
      </c>
    </row>
    <row r="16" spans="1:16" x14ac:dyDescent="0.2">
      <c r="A16" s="4">
        <v>8</v>
      </c>
      <c r="B16" s="77">
        <v>46070</v>
      </c>
      <c r="C16" s="5"/>
      <c r="D16" s="5" t="s">
        <v>136</v>
      </c>
      <c r="E16" s="6" t="s">
        <v>85</v>
      </c>
      <c r="F16" s="7">
        <v>150</v>
      </c>
      <c r="G16" s="41">
        <v>11000</v>
      </c>
      <c r="H16" s="6" t="s">
        <v>197</v>
      </c>
      <c r="I16" s="41"/>
      <c r="J16" s="41">
        <f t="shared" si="0"/>
        <v>11000</v>
      </c>
    </row>
    <row r="17" spans="1:10" x14ac:dyDescent="0.2">
      <c r="A17" s="4">
        <v>9</v>
      </c>
      <c r="B17" s="77">
        <v>46071</v>
      </c>
      <c r="C17" s="5"/>
      <c r="D17" s="5" t="s">
        <v>136</v>
      </c>
      <c r="E17" s="6" t="s">
        <v>85</v>
      </c>
      <c r="F17" s="7">
        <v>150</v>
      </c>
      <c r="G17" s="41">
        <v>11000</v>
      </c>
      <c r="H17" s="6" t="s">
        <v>197</v>
      </c>
      <c r="I17" s="41"/>
      <c r="J17" s="41">
        <f t="shared" si="0"/>
        <v>11000</v>
      </c>
    </row>
    <row r="18" spans="1:10" x14ac:dyDescent="0.2">
      <c r="A18" s="4">
        <v>10</v>
      </c>
      <c r="B18" s="77">
        <v>46071</v>
      </c>
      <c r="C18" s="5"/>
      <c r="D18" s="5" t="s">
        <v>136</v>
      </c>
      <c r="E18" s="6" t="s">
        <v>85</v>
      </c>
      <c r="F18" s="7">
        <v>150</v>
      </c>
      <c r="G18" s="41">
        <v>11000</v>
      </c>
      <c r="H18" s="6" t="s">
        <v>197</v>
      </c>
      <c r="I18" s="41"/>
      <c r="J18" s="41">
        <f t="shared" si="0"/>
        <v>11000</v>
      </c>
    </row>
    <row r="19" spans="1:10" x14ac:dyDescent="0.2">
      <c r="A19" s="4">
        <v>11</v>
      </c>
      <c r="B19" s="77">
        <v>46071</v>
      </c>
      <c r="C19" s="5"/>
      <c r="D19" s="5" t="s">
        <v>0</v>
      </c>
      <c r="E19" s="6" t="s">
        <v>85</v>
      </c>
      <c r="F19" s="7">
        <v>83</v>
      </c>
      <c r="G19" s="41">
        <v>10000</v>
      </c>
      <c r="H19" s="6" t="s">
        <v>197</v>
      </c>
      <c r="I19" s="41"/>
      <c r="J19" s="41">
        <f t="shared" si="0"/>
        <v>10000</v>
      </c>
    </row>
    <row r="20" spans="1:10" x14ac:dyDescent="0.2">
      <c r="A20" s="4">
        <v>12</v>
      </c>
      <c r="B20" s="77">
        <v>46071</v>
      </c>
      <c r="C20" s="5"/>
      <c r="D20" s="5" t="s">
        <v>139</v>
      </c>
      <c r="E20" s="6" t="s">
        <v>105</v>
      </c>
      <c r="F20" s="7">
        <v>30</v>
      </c>
      <c r="G20" s="41">
        <v>7000</v>
      </c>
      <c r="H20" s="6" t="s">
        <v>197</v>
      </c>
      <c r="I20" s="41"/>
      <c r="J20" s="41">
        <f t="shared" si="0"/>
        <v>7000</v>
      </c>
    </row>
    <row r="21" spans="1:10" x14ac:dyDescent="0.2">
      <c r="A21" s="4">
        <v>13</v>
      </c>
      <c r="B21" s="77">
        <v>46074</v>
      </c>
      <c r="C21" s="5"/>
      <c r="D21" s="5" t="s">
        <v>148</v>
      </c>
      <c r="E21" s="6" t="s">
        <v>85</v>
      </c>
      <c r="F21" s="7">
        <v>165</v>
      </c>
      <c r="G21" s="41">
        <v>12000</v>
      </c>
      <c r="H21" s="6" t="s">
        <v>197</v>
      </c>
      <c r="I21" s="41"/>
      <c r="J21" s="41">
        <f t="shared" si="0"/>
        <v>12000</v>
      </c>
    </row>
    <row r="22" spans="1:10" x14ac:dyDescent="0.2">
      <c r="A22" s="4">
        <v>14</v>
      </c>
      <c r="B22" s="77">
        <v>46074</v>
      </c>
      <c r="C22" s="5"/>
      <c r="D22" s="5" t="s">
        <v>139</v>
      </c>
      <c r="E22" s="6" t="s">
        <v>105</v>
      </c>
      <c r="F22" s="7">
        <v>30</v>
      </c>
      <c r="G22" s="41">
        <v>7000</v>
      </c>
      <c r="H22" s="6" t="s">
        <v>197</v>
      </c>
      <c r="I22" s="41"/>
      <c r="J22" s="41">
        <f t="shared" si="0"/>
        <v>7000</v>
      </c>
    </row>
    <row r="23" spans="1:10" x14ac:dyDescent="0.2">
      <c r="A23" s="4">
        <v>15</v>
      </c>
      <c r="B23" s="77">
        <v>46074</v>
      </c>
      <c r="C23" s="5" t="s">
        <v>208</v>
      </c>
      <c r="D23" s="5" t="s">
        <v>1</v>
      </c>
      <c r="E23" s="6" t="s">
        <v>105</v>
      </c>
      <c r="F23" s="7">
        <v>1</v>
      </c>
      <c r="G23" s="41">
        <v>0</v>
      </c>
      <c r="H23" s="6" t="s">
        <v>197</v>
      </c>
      <c r="I23" s="41"/>
      <c r="J23" s="41">
        <f t="shared" si="0"/>
        <v>0</v>
      </c>
    </row>
    <row r="24" spans="1:10" x14ac:dyDescent="0.2">
      <c r="A24" s="4">
        <v>16</v>
      </c>
      <c r="B24" s="77">
        <v>46077</v>
      </c>
      <c r="C24" s="5"/>
      <c r="D24" s="5" t="s">
        <v>136</v>
      </c>
      <c r="E24" s="6" t="s">
        <v>85</v>
      </c>
      <c r="F24" s="7">
        <v>150</v>
      </c>
      <c r="G24" s="41">
        <v>11000</v>
      </c>
      <c r="H24" s="6" t="s">
        <v>197</v>
      </c>
      <c r="I24" s="41"/>
      <c r="J24" s="41">
        <f t="shared" si="0"/>
        <v>11000</v>
      </c>
    </row>
    <row r="25" spans="1:10" x14ac:dyDescent="0.2">
      <c r="A25" s="4">
        <v>17</v>
      </c>
      <c r="B25" s="77">
        <v>46077</v>
      </c>
      <c r="C25" s="5" t="s">
        <v>208</v>
      </c>
      <c r="D25" s="5" t="s">
        <v>136</v>
      </c>
      <c r="E25" s="6" t="s">
        <v>85</v>
      </c>
      <c r="F25" s="7">
        <v>150</v>
      </c>
      <c r="G25" s="41">
        <v>7000</v>
      </c>
      <c r="H25" s="6" t="s">
        <v>197</v>
      </c>
      <c r="I25" s="41"/>
      <c r="J25" s="41">
        <f t="shared" si="0"/>
        <v>7000</v>
      </c>
    </row>
    <row r="26" spans="1:10" x14ac:dyDescent="0.2">
      <c r="A26" s="4">
        <v>18</v>
      </c>
      <c r="B26" s="77">
        <v>46078</v>
      </c>
      <c r="C26" s="5"/>
      <c r="D26" s="5" t="s">
        <v>148</v>
      </c>
      <c r="E26" s="6" t="s">
        <v>85</v>
      </c>
      <c r="F26" s="7">
        <v>165</v>
      </c>
      <c r="G26" s="41">
        <v>12000</v>
      </c>
      <c r="H26" s="6" t="s">
        <v>197</v>
      </c>
      <c r="I26" s="41"/>
      <c r="J26" s="41">
        <f t="shared" si="0"/>
        <v>12000</v>
      </c>
    </row>
    <row r="27" spans="1:10" x14ac:dyDescent="0.2">
      <c r="A27" s="4">
        <v>19</v>
      </c>
      <c r="B27" s="77">
        <v>46079</v>
      </c>
      <c r="C27" s="5"/>
      <c r="D27" s="5" t="s">
        <v>1</v>
      </c>
      <c r="E27" s="6" t="s">
        <v>105</v>
      </c>
      <c r="F27" s="7">
        <v>30</v>
      </c>
      <c r="G27" s="41">
        <v>12000</v>
      </c>
      <c r="H27" s="6" t="s">
        <v>197</v>
      </c>
      <c r="I27" s="41"/>
      <c r="J27" s="41">
        <f t="shared" si="0"/>
        <v>12000</v>
      </c>
    </row>
    <row r="28" spans="1:10" x14ac:dyDescent="0.2">
      <c r="A28" s="4">
        <v>20</v>
      </c>
      <c r="B28" s="77">
        <v>46082</v>
      </c>
      <c r="C28" s="5"/>
      <c r="D28" s="5"/>
      <c r="E28" s="6"/>
      <c r="F28" s="7"/>
      <c r="G28" s="41"/>
      <c r="H28" s="6" t="s">
        <v>198</v>
      </c>
      <c r="I28" s="41">
        <v>179500</v>
      </c>
      <c r="J28" s="41">
        <f t="shared" si="0"/>
        <v>-179500</v>
      </c>
    </row>
    <row r="29" spans="1:10" x14ac:dyDescent="0.2">
      <c r="A29" s="4">
        <v>21</v>
      </c>
      <c r="B29" s="77">
        <v>46083</v>
      </c>
      <c r="C29" s="5"/>
      <c r="D29" s="5"/>
      <c r="E29" s="6" t="s">
        <v>105</v>
      </c>
      <c r="F29" s="7">
        <v>20</v>
      </c>
      <c r="G29" s="41">
        <v>6000</v>
      </c>
      <c r="H29" s="6" t="s">
        <v>197</v>
      </c>
      <c r="I29" s="41"/>
      <c r="J29" s="41">
        <f t="shared" si="0"/>
        <v>6000</v>
      </c>
    </row>
    <row r="30" spans="1:10" x14ac:dyDescent="0.2">
      <c r="A30" s="4">
        <v>22</v>
      </c>
      <c r="B30" s="77">
        <v>46084</v>
      </c>
      <c r="C30" s="5"/>
      <c r="D30" s="5" t="s">
        <v>1</v>
      </c>
      <c r="E30" s="6" t="s">
        <v>105</v>
      </c>
      <c r="F30" s="7">
        <v>30</v>
      </c>
      <c r="G30" s="41">
        <v>6000</v>
      </c>
      <c r="H30" s="6" t="s">
        <v>197</v>
      </c>
      <c r="I30" s="41"/>
      <c r="J30" s="41">
        <f t="shared" si="0"/>
        <v>6000</v>
      </c>
    </row>
    <row r="31" spans="1:10" x14ac:dyDescent="0.2">
      <c r="A31" s="4">
        <v>23</v>
      </c>
      <c r="B31" s="77">
        <v>46084</v>
      </c>
      <c r="C31" s="5"/>
      <c r="D31" s="5" t="s">
        <v>1</v>
      </c>
      <c r="E31" s="6" t="s">
        <v>105</v>
      </c>
      <c r="F31" s="7">
        <v>30</v>
      </c>
      <c r="G31" s="41">
        <v>6000</v>
      </c>
      <c r="H31" s="6" t="s">
        <v>197</v>
      </c>
      <c r="I31" s="41"/>
      <c r="J31" s="41">
        <f t="shared" si="0"/>
        <v>6000</v>
      </c>
    </row>
    <row r="32" spans="1:10" x14ac:dyDescent="0.2">
      <c r="A32" s="4">
        <v>24</v>
      </c>
      <c r="B32" s="77">
        <v>46085</v>
      </c>
      <c r="C32" s="5"/>
      <c r="D32" s="5" t="s">
        <v>1</v>
      </c>
      <c r="E32" s="6" t="s">
        <v>105</v>
      </c>
      <c r="F32" s="7">
        <v>30</v>
      </c>
      <c r="G32" s="41">
        <v>6000</v>
      </c>
      <c r="H32" s="6" t="s">
        <v>197</v>
      </c>
      <c r="I32" s="41"/>
      <c r="J32" s="41">
        <f t="shared" si="0"/>
        <v>6000</v>
      </c>
    </row>
    <row r="33" spans="1:11" x14ac:dyDescent="0.2">
      <c r="A33" s="4">
        <v>25</v>
      </c>
      <c r="B33" s="77">
        <v>46085</v>
      </c>
      <c r="C33" s="5"/>
      <c r="D33" s="5" t="s">
        <v>0</v>
      </c>
      <c r="E33" s="6"/>
      <c r="F33" s="7">
        <v>150</v>
      </c>
      <c r="G33" s="41">
        <v>6000</v>
      </c>
      <c r="H33" s="6" t="s">
        <v>197</v>
      </c>
      <c r="I33" s="41"/>
      <c r="J33" s="41">
        <f t="shared" si="0"/>
        <v>6000</v>
      </c>
    </row>
    <row r="34" spans="1:11" x14ac:dyDescent="0.2">
      <c r="A34" s="4">
        <v>26</v>
      </c>
      <c r="B34" s="77">
        <v>46085</v>
      </c>
      <c r="C34" s="5"/>
      <c r="D34" s="5" t="s">
        <v>0</v>
      </c>
      <c r="E34" s="6"/>
      <c r="F34" s="7">
        <v>80</v>
      </c>
      <c r="G34" s="41">
        <v>6000</v>
      </c>
      <c r="H34" s="6" t="s">
        <v>197</v>
      </c>
      <c r="I34" s="41"/>
      <c r="J34" s="41">
        <f t="shared" si="0"/>
        <v>6000</v>
      </c>
    </row>
    <row r="35" spans="1:11" x14ac:dyDescent="0.2">
      <c r="A35" s="4">
        <v>27</v>
      </c>
      <c r="B35" s="77">
        <v>46086</v>
      </c>
      <c r="C35" s="5"/>
      <c r="D35" s="5"/>
      <c r="E35" s="6"/>
      <c r="F35" s="7">
        <v>120</v>
      </c>
      <c r="G35" s="41">
        <v>13000</v>
      </c>
      <c r="H35" s="6" t="s">
        <v>197</v>
      </c>
      <c r="I35" s="41"/>
      <c r="J35" s="41">
        <f t="shared" si="0"/>
        <v>13000</v>
      </c>
    </row>
    <row r="36" spans="1:11" x14ac:dyDescent="0.2">
      <c r="A36" s="4">
        <v>28</v>
      </c>
      <c r="B36" s="77">
        <v>46087</v>
      </c>
      <c r="C36" s="5"/>
      <c r="D36" s="5" t="s">
        <v>148</v>
      </c>
      <c r="E36" s="6" t="s">
        <v>86</v>
      </c>
      <c r="F36" s="7">
        <v>165</v>
      </c>
      <c r="G36" s="41">
        <v>12000</v>
      </c>
      <c r="H36" s="6" t="s">
        <v>197</v>
      </c>
      <c r="I36" s="41"/>
      <c r="J36" s="41">
        <f t="shared" si="0"/>
        <v>12000</v>
      </c>
    </row>
    <row r="37" spans="1:11" x14ac:dyDescent="0.2">
      <c r="A37" s="4">
        <v>29</v>
      </c>
      <c r="B37" s="77">
        <v>46087</v>
      </c>
      <c r="C37" s="5"/>
      <c r="D37" s="5" t="s">
        <v>1</v>
      </c>
      <c r="E37" s="6" t="s">
        <v>105</v>
      </c>
      <c r="F37" s="7">
        <v>30</v>
      </c>
      <c r="G37" s="41">
        <v>12000</v>
      </c>
      <c r="H37" s="6" t="s">
        <v>197</v>
      </c>
      <c r="I37" s="41"/>
      <c r="J37" s="41">
        <f t="shared" si="0"/>
        <v>12000</v>
      </c>
    </row>
    <row r="38" spans="1:11" x14ac:dyDescent="0.2">
      <c r="A38" s="4">
        <v>30</v>
      </c>
      <c r="B38" s="77">
        <v>46088</v>
      </c>
      <c r="C38" s="5"/>
      <c r="D38" s="5"/>
      <c r="E38" s="6" t="s">
        <v>85</v>
      </c>
      <c r="F38" s="7">
        <v>155</v>
      </c>
      <c r="G38" s="41">
        <v>13000</v>
      </c>
      <c r="H38" s="6" t="s">
        <v>197</v>
      </c>
      <c r="I38" s="41"/>
      <c r="J38" s="41">
        <f t="shared" si="0"/>
        <v>13000</v>
      </c>
      <c r="K38" t="s">
        <v>280</v>
      </c>
    </row>
    <row r="39" spans="1:11" x14ac:dyDescent="0.2">
      <c r="A39" s="4">
        <v>31</v>
      </c>
      <c r="B39" s="77">
        <v>46088</v>
      </c>
      <c r="C39" s="5"/>
      <c r="D39" s="5"/>
      <c r="E39" s="6" t="s">
        <v>105</v>
      </c>
      <c r="F39" s="7">
        <v>20</v>
      </c>
      <c r="G39" s="41">
        <v>6000</v>
      </c>
      <c r="H39" s="6" t="s">
        <v>197</v>
      </c>
      <c r="I39" s="41"/>
      <c r="J39" s="41">
        <f t="shared" si="0"/>
        <v>6000</v>
      </c>
    </row>
    <row r="40" spans="1:11" x14ac:dyDescent="0.2">
      <c r="A40" s="4">
        <v>32</v>
      </c>
      <c r="B40" s="77">
        <v>46090</v>
      </c>
      <c r="C40" s="5"/>
      <c r="D40" s="5"/>
      <c r="E40" s="6" t="s">
        <v>86</v>
      </c>
      <c r="F40" s="7">
        <v>100</v>
      </c>
      <c r="G40" s="41">
        <v>6000</v>
      </c>
      <c r="H40" s="6" t="s">
        <v>197</v>
      </c>
      <c r="I40" s="41"/>
      <c r="J40" s="41">
        <f t="shared" si="0"/>
        <v>6000</v>
      </c>
    </row>
    <row r="41" spans="1:11" x14ac:dyDescent="0.2">
      <c r="A41" s="4">
        <v>33</v>
      </c>
      <c r="B41" s="77">
        <v>46090</v>
      </c>
      <c r="C41" s="5"/>
      <c r="D41" s="5"/>
      <c r="E41" s="6" t="s">
        <v>86</v>
      </c>
      <c r="F41" s="7">
        <v>100</v>
      </c>
      <c r="G41" s="41">
        <v>6000</v>
      </c>
      <c r="H41" s="6" t="s">
        <v>197</v>
      </c>
      <c r="I41" s="41"/>
      <c r="J41" s="41">
        <f t="shared" si="0"/>
        <v>6000</v>
      </c>
    </row>
    <row r="42" spans="1:11" x14ac:dyDescent="0.2">
      <c r="A42" s="4">
        <v>34</v>
      </c>
      <c r="B42" s="77">
        <v>46090</v>
      </c>
      <c r="C42" s="5" t="s">
        <v>209</v>
      </c>
      <c r="D42" s="5" t="s">
        <v>0</v>
      </c>
      <c r="E42" s="6" t="s">
        <v>86</v>
      </c>
      <c r="F42" s="7">
        <v>100</v>
      </c>
      <c r="G42" s="41">
        <v>6000</v>
      </c>
      <c r="H42" s="6" t="s">
        <v>197</v>
      </c>
      <c r="I42" s="41"/>
      <c r="J42" s="41">
        <f t="shared" si="0"/>
        <v>6000</v>
      </c>
      <c r="K42" t="s">
        <v>277</v>
      </c>
    </row>
    <row r="43" spans="1:11" x14ac:dyDescent="0.2">
      <c r="A43" s="4">
        <v>35</v>
      </c>
      <c r="B43" s="77">
        <v>46090</v>
      </c>
      <c r="C43" s="5"/>
      <c r="D43" s="5" t="s">
        <v>140</v>
      </c>
      <c r="E43" s="6" t="s">
        <v>105</v>
      </c>
      <c r="F43" s="7">
        <v>30</v>
      </c>
      <c r="G43" s="41">
        <v>12500</v>
      </c>
      <c r="H43" s="6" t="s">
        <v>197</v>
      </c>
      <c r="I43" s="41"/>
      <c r="J43" s="41">
        <f t="shared" si="0"/>
        <v>12500</v>
      </c>
    </row>
    <row r="44" spans="1:11" x14ac:dyDescent="0.2">
      <c r="A44" s="4">
        <v>36</v>
      </c>
      <c r="B44" s="77">
        <v>46090</v>
      </c>
      <c r="C44" s="5" t="s">
        <v>209</v>
      </c>
      <c r="D44" s="5" t="s">
        <v>1</v>
      </c>
      <c r="E44" s="6" t="s">
        <v>105</v>
      </c>
      <c r="F44" s="7">
        <v>30</v>
      </c>
      <c r="G44" s="41">
        <v>12500</v>
      </c>
      <c r="H44" s="6" t="s">
        <v>197</v>
      </c>
      <c r="I44" s="41"/>
      <c r="J44" s="41">
        <f t="shared" si="0"/>
        <v>12500</v>
      </c>
      <c r="K44" t="s">
        <v>278</v>
      </c>
    </row>
    <row r="45" spans="1:11" x14ac:dyDescent="0.2">
      <c r="A45" s="4">
        <v>37</v>
      </c>
      <c r="B45" s="77">
        <v>46091</v>
      </c>
      <c r="C45" s="5"/>
      <c r="D45" s="5"/>
      <c r="E45" s="6" t="s">
        <v>86</v>
      </c>
      <c r="F45" s="7">
        <v>100</v>
      </c>
      <c r="G45" s="41">
        <v>6000</v>
      </c>
      <c r="H45" s="6" t="s">
        <v>197</v>
      </c>
      <c r="I45" s="41"/>
      <c r="J45" s="41">
        <f t="shared" si="0"/>
        <v>6000</v>
      </c>
    </row>
    <row r="46" spans="1:11" x14ac:dyDescent="0.2">
      <c r="A46" s="4">
        <v>38</v>
      </c>
      <c r="B46" s="77">
        <v>46091</v>
      </c>
      <c r="C46" s="5"/>
      <c r="D46" s="5" t="s">
        <v>140</v>
      </c>
      <c r="E46" s="6" t="s">
        <v>105</v>
      </c>
      <c r="F46" s="7">
        <v>30</v>
      </c>
      <c r="G46" s="41">
        <v>12500</v>
      </c>
      <c r="H46" s="6" t="s">
        <v>197</v>
      </c>
      <c r="I46" s="41"/>
      <c r="J46" s="41">
        <f t="shared" si="0"/>
        <v>12500</v>
      </c>
    </row>
    <row r="47" spans="1:11" x14ac:dyDescent="0.2">
      <c r="A47" s="4">
        <v>39</v>
      </c>
      <c r="B47" s="77">
        <v>46092</v>
      </c>
      <c r="C47" s="5"/>
      <c r="D47" s="5" t="s">
        <v>140</v>
      </c>
      <c r="E47" s="6" t="s">
        <v>105</v>
      </c>
      <c r="F47" s="7">
        <v>30</v>
      </c>
      <c r="G47" s="41">
        <v>12500</v>
      </c>
      <c r="H47" s="6" t="s">
        <v>197</v>
      </c>
      <c r="I47" s="41"/>
      <c r="J47" s="41">
        <f t="shared" si="0"/>
        <v>12500</v>
      </c>
    </row>
    <row r="48" spans="1:11" x14ac:dyDescent="0.2">
      <c r="A48" s="4">
        <v>40</v>
      </c>
      <c r="B48" s="77">
        <v>46093</v>
      </c>
      <c r="C48" s="5"/>
      <c r="D48" s="5" t="s">
        <v>140</v>
      </c>
      <c r="E48" s="6" t="s">
        <v>105</v>
      </c>
      <c r="F48" s="7">
        <v>30</v>
      </c>
      <c r="G48" s="41">
        <v>12500</v>
      </c>
      <c r="H48" s="6" t="s">
        <v>197</v>
      </c>
      <c r="I48" s="41"/>
      <c r="J48" s="41">
        <f t="shared" si="0"/>
        <v>12500</v>
      </c>
    </row>
    <row r="49" spans="1:11" x14ac:dyDescent="0.2">
      <c r="A49" s="4">
        <v>41</v>
      </c>
      <c r="B49" s="77">
        <v>46093</v>
      </c>
      <c r="C49" s="5"/>
      <c r="D49" s="5" t="s">
        <v>0</v>
      </c>
      <c r="E49" s="6" t="s">
        <v>86</v>
      </c>
      <c r="F49" s="7">
        <v>150</v>
      </c>
      <c r="G49" s="41">
        <v>12000</v>
      </c>
      <c r="H49" s="6" t="s">
        <v>197</v>
      </c>
      <c r="I49" s="41"/>
      <c r="J49" s="41">
        <f t="shared" si="0"/>
        <v>12000</v>
      </c>
      <c r="K49" t="s">
        <v>279</v>
      </c>
    </row>
    <row r="50" spans="1:11" x14ac:dyDescent="0.2">
      <c r="A50" s="4">
        <v>42</v>
      </c>
      <c r="B50" s="77">
        <v>46093</v>
      </c>
      <c r="C50" s="5"/>
      <c r="D50" s="5"/>
      <c r="E50" s="6" t="s">
        <v>86</v>
      </c>
      <c r="F50" s="7">
        <v>150</v>
      </c>
      <c r="G50" s="41">
        <v>11500</v>
      </c>
      <c r="H50" s="6" t="s">
        <v>197</v>
      </c>
      <c r="I50" s="41"/>
      <c r="J50" s="41">
        <f t="shared" si="0"/>
        <v>11500</v>
      </c>
      <c r="K50" t="s">
        <v>280</v>
      </c>
    </row>
    <row r="51" spans="1:11" x14ac:dyDescent="0.2">
      <c r="A51" s="4">
        <v>43</v>
      </c>
      <c r="B51" s="77">
        <v>46094</v>
      </c>
      <c r="C51" s="5"/>
      <c r="D51" s="5"/>
      <c r="E51" s="6" t="s">
        <v>86</v>
      </c>
      <c r="F51" s="7">
        <v>150</v>
      </c>
      <c r="G51" s="41">
        <v>11500</v>
      </c>
      <c r="H51" s="6" t="s">
        <v>197</v>
      </c>
      <c r="I51" s="41"/>
      <c r="J51" s="41">
        <f t="shared" si="0"/>
        <v>11500</v>
      </c>
      <c r="K51" t="s">
        <v>280</v>
      </c>
    </row>
    <row r="52" spans="1:11" x14ac:dyDescent="0.2">
      <c r="A52" s="4">
        <v>44</v>
      </c>
      <c r="B52" s="77">
        <v>46094</v>
      </c>
      <c r="C52" s="5"/>
      <c r="D52" s="5" t="s">
        <v>0</v>
      </c>
      <c r="E52" s="6" t="s">
        <v>86</v>
      </c>
      <c r="F52" s="7">
        <f>90+76</f>
        <v>166</v>
      </c>
      <c r="G52" s="41">
        <v>12000</v>
      </c>
      <c r="H52" s="6" t="s">
        <v>197</v>
      </c>
      <c r="I52" s="41"/>
      <c r="J52" s="41">
        <f t="shared" si="0"/>
        <v>12000</v>
      </c>
      <c r="K52" t="s">
        <v>281</v>
      </c>
    </row>
    <row r="53" spans="1:11" x14ac:dyDescent="0.2">
      <c r="A53" s="4">
        <v>45</v>
      </c>
      <c r="B53" s="77">
        <v>46094</v>
      </c>
      <c r="C53" s="5"/>
      <c r="D53" s="5"/>
      <c r="E53" s="6" t="s">
        <v>105</v>
      </c>
      <c r="F53" s="7">
        <v>30</v>
      </c>
      <c r="G53" s="41">
        <v>20000</v>
      </c>
      <c r="H53" s="6" t="s">
        <v>197</v>
      </c>
      <c r="I53" s="41"/>
      <c r="J53" s="41">
        <f t="shared" si="0"/>
        <v>20000</v>
      </c>
      <c r="K53" t="s">
        <v>282</v>
      </c>
    </row>
    <row r="54" spans="1:11" x14ac:dyDescent="0.2">
      <c r="A54" s="4">
        <v>46</v>
      </c>
      <c r="B54" s="77">
        <v>46095</v>
      </c>
      <c r="C54" s="5"/>
      <c r="D54" s="5"/>
      <c r="E54" s="6" t="s">
        <v>105</v>
      </c>
      <c r="F54" s="7">
        <v>30</v>
      </c>
      <c r="G54" s="41">
        <v>20000</v>
      </c>
      <c r="H54" s="6" t="s">
        <v>197</v>
      </c>
      <c r="I54" s="41"/>
      <c r="J54" s="41">
        <f t="shared" si="0"/>
        <v>20000</v>
      </c>
      <c r="K54" t="s">
        <v>282</v>
      </c>
    </row>
    <row r="55" spans="1:11" x14ac:dyDescent="0.2">
      <c r="A55" s="4">
        <v>47</v>
      </c>
      <c r="B55" s="77">
        <v>46095</v>
      </c>
      <c r="C55" s="5"/>
      <c r="D55" s="5" t="s">
        <v>148</v>
      </c>
      <c r="E55" s="6" t="s">
        <v>86</v>
      </c>
      <c r="F55" s="7">
        <v>165</v>
      </c>
      <c r="G55" s="41">
        <v>12500</v>
      </c>
      <c r="H55" s="6" t="s">
        <v>197</v>
      </c>
      <c r="I55" s="41"/>
      <c r="J55" s="41">
        <f t="shared" si="0"/>
        <v>12500</v>
      </c>
    </row>
    <row r="56" spans="1:11" x14ac:dyDescent="0.2">
      <c r="A56" s="4">
        <v>48</v>
      </c>
      <c r="B56" s="77">
        <v>46096</v>
      </c>
      <c r="C56" s="5"/>
      <c r="D56" s="5"/>
      <c r="E56" s="6" t="s">
        <v>105</v>
      </c>
      <c r="F56" s="7">
        <v>30</v>
      </c>
      <c r="G56" s="41">
        <v>20000</v>
      </c>
      <c r="H56" s="6" t="s">
        <v>197</v>
      </c>
      <c r="I56" s="41"/>
      <c r="J56" s="41">
        <f t="shared" si="0"/>
        <v>20000</v>
      </c>
      <c r="K56" t="s">
        <v>282</v>
      </c>
    </row>
    <row r="57" spans="1:11" x14ac:dyDescent="0.2">
      <c r="A57" s="4">
        <v>49</v>
      </c>
      <c r="B57" s="77">
        <v>46097</v>
      </c>
      <c r="C57" s="5"/>
      <c r="D57" s="5" t="s">
        <v>148</v>
      </c>
      <c r="E57" s="6" t="s">
        <v>86</v>
      </c>
      <c r="F57" s="7">
        <v>165</v>
      </c>
      <c r="G57" s="41">
        <v>12500</v>
      </c>
      <c r="H57" s="6" t="s">
        <v>197</v>
      </c>
      <c r="I57" s="41"/>
      <c r="J57" s="41">
        <f t="shared" si="0"/>
        <v>12500</v>
      </c>
    </row>
    <row r="58" spans="1:11" x14ac:dyDescent="0.2">
      <c r="A58" s="4">
        <v>50</v>
      </c>
      <c r="B58" s="77">
        <v>46099</v>
      </c>
      <c r="C58" s="5" t="s">
        <v>210</v>
      </c>
      <c r="D58" s="5" t="s">
        <v>1</v>
      </c>
      <c r="E58" s="6" t="s">
        <v>105</v>
      </c>
      <c r="F58" s="7">
        <v>30</v>
      </c>
      <c r="G58" s="41">
        <v>7000</v>
      </c>
      <c r="H58" s="6" t="s">
        <v>197</v>
      </c>
      <c r="I58" s="41"/>
      <c r="J58" s="41">
        <f t="shared" si="0"/>
        <v>7000</v>
      </c>
    </row>
    <row r="59" spans="1:11" x14ac:dyDescent="0.2">
      <c r="A59" s="4">
        <v>51</v>
      </c>
      <c r="B59" s="77">
        <v>46100</v>
      </c>
      <c r="C59" s="5" t="s">
        <v>210</v>
      </c>
      <c r="D59" s="5" t="s">
        <v>139</v>
      </c>
      <c r="E59" s="6" t="s">
        <v>105</v>
      </c>
      <c r="F59" s="7">
        <v>30</v>
      </c>
      <c r="G59" s="41">
        <v>7500</v>
      </c>
      <c r="H59" s="6" t="s">
        <v>197</v>
      </c>
      <c r="I59" s="41"/>
      <c r="J59" s="41">
        <f t="shared" si="0"/>
        <v>7500</v>
      </c>
    </row>
    <row r="60" spans="1:11" x14ac:dyDescent="0.2">
      <c r="A60" s="4">
        <v>52</v>
      </c>
      <c r="B60" s="77">
        <v>46100</v>
      </c>
      <c r="C60" s="5"/>
      <c r="D60" s="5"/>
      <c r="E60" s="6" t="s">
        <v>86</v>
      </c>
      <c r="F60" s="7">
        <v>150</v>
      </c>
      <c r="G60" s="41">
        <v>11500</v>
      </c>
      <c r="H60" s="6" t="s">
        <v>197</v>
      </c>
      <c r="I60" s="41"/>
      <c r="J60" s="41">
        <f t="shared" si="0"/>
        <v>11500</v>
      </c>
      <c r="K60" t="s">
        <v>280</v>
      </c>
    </row>
    <row r="61" spans="1:11" x14ac:dyDescent="0.2">
      <c r="A61" s="4">
        <v>53</v>
      </c>
      <c r="B61" s="77">
        <v>46100</v>
      </c>
      <c r="C61" s="5"/>
      <c r="D61" s="5"/>
      <c r="E61" s="6" t="s">
        <v>86</v>
      </c>
      <c r="F61" s="7">
        <v>150</v>
      </c>
      <c r="G61" s="41">
        <v>7000</v>
      </c>
      <c r="H61" s="6" t="s">
        <v>197</v>
      </c>
      <c r="I61" s="41"/>
      <c r="J61" s="41">
        <f t="shared" si="0"/>
        <v>7000</v>
      </c>
      <c r="K61" t="s">
        <v>283</v>
      </c>
    </row>
    <row r="62" spans="1:11" x14ac:dyDescent="0.2">
      <c r="A62" s="4">
        <v>54</v>
      </c>
      <c r="B62" s="77">
        <v>46107</v>
      </c>
      <c r="C62" s="5"/>
      <c r="D62" s="5"/>
      <c r="E62" s="6" t="s">
        <v>86</v>
      </c>
      <c r="F62" s="7">
        <v>150</v>
      </c>
      <c r="G62" s="41">
        <v>11500</v>
      </c>
      <c r="H62" s="6" t="s">
        <v>197</v>
      </c>
      <c r="I62" s="41"/>
      <c r="J62" s="41">
        <f t="shared" si="0"/>
        <v>11500</v>
      </c>
      <c r="K62" t="s">
        <v>280</v>
      </c>
    </row>
    <row r="63" spans="1:11" x14ac:dyDescent="0.2">
      <c r="A63" s="4">
        <v>55</v>
      </c>
      <c r="B63" s="77">
        <v>46473</v>
      </c>
      <c r="C63" s="5"/>
      <c r="D63" s="5" t="s">
        <v>1</v>
      </c>
      <c r="E63" s="6" t="s">
        <v>105</v>
      </c>
      <c r="F63" s="7">
        <v>24</v>
      </c>
      <c r="G63" s="41">
        <v>13500</v>
      </c>
      <c r="H63" s="6" t="s">
        <v>197</v>
      </c>
      <c r="I63" s="41"/>
      <c r="J63" s="41">
        <f t="shared" si="0"/>
        <v>13500</v>
      </c>
    </row>
    <row r="64" spans="1:11" x14ac:dyDescent="0.2">
      <c r="A64" s="4">
        <v>56</v>
      </c>
      <c r="B64" s="77">
        <v>46109</v>
      </c>
      <c r="C64" s="5" t="s">
        <v>210</v>
      </c>
      <c r="D64" s="5" t="s">
        <v>139</v>
      </c>
      <c r="E64" s="6" t="s">
        <v>105</v>
      </c>
      <c r="F64" s="7">
        <v>30</v>
      </c>
      <c r="G64" s="41">
        <v>7500</v>
      </c>
      <c r="H64" s="6" t="s">
        <v>197</v>
      </c>
      <c r="I64" s="41"/>
      <c r="J64" s="41">
        <f t="shared" si="0"/>
        <v>7500</v>
      </c>
    </row>
    <row r="65" spans="1:11" x14ac:dyDescent="0.2">
      <c r="A65" s="4">
        <v>57</v>
      </c>
      <c r="B65" s="77">
        <v>46111</v>
      </c>
      <c r="C65" s="5"/>
      <c r="D65" s="5"/>
      <c r="E65" s="6" t="s">
        <v>86</v>
      </c>
      <c r="F65" s="7">
        <v>150</v>
      </c>
      <c r="G65" s="41">
        <v>11500</v>
      </c>
      <c r="H65" s="6" t="s">
        <v>197</v>
      </c>
      <c r="I65" s="41"/>
      <c r="J65" s="41">
        <f t="shared" si="0"/>
        <v>11500</v>
      </c>
      <c r="K65" t="s">
        <v>280</v>
      </c>
    </row>
    <row r="66" spans="1:11" x14ac:dyDescent="0.2">
      <c r="A66" s="4">
        <v>58</v>
      </c>
      <c r="B66" s="77">
        <v>46111</v>
      </c>
      <c r="C66" s="5"/>
      <c r="D66" s="5"/>
      <c r="E66" s="6" t="s">
        <v>86</v>
      </c>
      <c r="F66" s="7">
        <v>24</v>
      </c>
      <c r="G66" s="41">
        <v>0</v>
      </c>
      <c r="H66" s="6" t="s">
        <v>197</v>
      </c>
      <c r="I66" s="41"/>
      <c r="J66" s="41">
        <f t="shared" si="0"/>
        <v>0</v>
      </c>
      <c r="K66" t="s">
        <v>283</v>
      </c>
    </row>
    <row r="67" spans="1:11" x14ac:dyDescent="0.2">
      <c r="A67" s="4">
        <v>59</v>
      </c>
      <c r="B67" s="77">
        <v>46111</v>
      </c>
      <c r="C67" s="5"/>
      <c r="D67" s="5"/>
      <c r="E67" s="6" t="s">
        <v>86</v>
      </c>
      <c r="F67" s="7">
        <v>150</v>
      </c>
      <c r="G67" s="41">
        <v>20000</v>
      </c>
      <c r="H67" s="6" t="s">
        <v>197</v>
      </c>
      <c r="I67" s="41"/>
      <c r="J67" s="41">
        <f t="shared" si="0"/>
        <v>20000</v>
      </c>
      <c r="K67" t="s">
        <v>282</v>
      </c>
    </row>
    <row r="68" spans="1:11" x14ac:dyDescent="0.2">
      <c r="A68" s="4">
        <v>60</v>
      </c>
      <c r="B68" s="77">
        <v>46111</v>
      </c>
      <c r="C68" s="5" t="s">
        <v>209</v>
      </c>
      <c r="D68" s="5" t="s">
        <v>1</v>
      </c>
      <c r="E68" s="6" t="s">
        <v>105</v>
      </c>
      <c r="F68" s="7">
        <v>30</v>
      </c>
      <c r="G68" s="41">
        <v>12500</v>
      </c>
      <c r="H68" s="6" t="s">
        <v>197</v>
      </c>
      <c r="I68" s="41"/>
      <c r="J68" s="41">
        <f t="shared" si="0"/>
        <v>12500</v>
      </c>
      <c r="K68" t="s">
        <v>278</v>
      </c>
    </row>
    <row r="69" spans="1:11" x14ac:dyDescent="0.2">
      <c r="A69" s="4">
        <v>61</v>
      </c>
      <c r="B69" s="77">
        <v>46113</v>
      </c>
      <c r="C69" s="5"/>
      <c r="D69" s="5"/>
      <c r="E69" s="6"/>
      <c r="F69" s="7"/>
      <c r="G69" s="41"/>
      <c r="H69" s="6" t="s">
        <v>198</v>
      </c>
      <c r="I69" s="41">
        <v>200000</v>
      </c>
      <c r="J69" s="41">
        <f t="shared" si="0"/>
        <v>-200000</v>
      </c>
    </row>
    <row r="70" spans="1:11" x14ac:dyDescent="0.2">
      <c r="A70" s="4">
        <v>62</v>
      </c>
      <c r="B70" s="77"/>
      <c r="C70" s="5"/>
      <c r="D70" s="5"/>
      <c r="E70" s="6"/>
      <c r="F70" s="7"/>
      <c r="G70" s="41"/>
      <c r="H70" s="6"/>
      <c r="I70" s="41"/>
      <c r="J70" s="41" t="b">
        <f t="shared" si="0"/>
        <v>0</v>
      </c>
    </row>
    <row r="71" spans="1:11" x14ac:dyDescent="0.2">
      <c r="A71" s="4">
        <v>63</v>
      </c>
      <c r="B71" s="77"/>
      <c r="C71" s="5"/>
      <c r="D71" s="5"/>
      <c r="E71" s="6"/>
      <c r="F71" s="7"/>
      <c r="G71" s="41"/>
      <c r="H71" s="6"/>
      <c r="I71" s="41"/>
      <c r="J71" s="41" t="b">
        <f t="shared" si="0"/>
        <v>0</v>
      </c>
    </row>
    <row r="72" spans="1:11" x14ac:dyDescent="0.2">
      <c r="A72" s="4">
        <v>64</v>
      </c>
      <c r="B72" s="77"/>
      <c r="C72" s="5"/>
      <c r="D72" s="5"/>
      <c r="E72" s="6"/>
      <c r="F72" s="7"/>
      <c r="G72" s="41"/>
      <c r="H72" s="6"/>
      <c r="I72" s="41"/>
      <c r="J72" s="41" t="b">
        <f t="shared" si="0"/>
        <v>0</v>
      </c>
    </row>
    <row r="73" spans="1:11" x14ac:dyDescent="0.2">
      <c r="A73" s="4">
        <v>65</v>
      </c>
      <c r="B73" s="77"/>
      <c r="C73" s="5"/>
      <c r="D73" s="5"/>
      <c r="E73" s="6"/>
      <c r="F73" s="7"/>
      <c r="G73" s="41"/>
      <c r="H73" s="6"/>
      <c r="I73" s="41"/>
      <c r="J73" s="41" t="b">
        <f t="shared" si="0"/>
        <v>0</v>
      </c>
    </row>
    <row r="74" spans="1:11" x14ac:dyDescent="0.2">
      <c r="A74" s="4">
        <v>66</v>
      </c>
      <c r="B74" s="77"/>
      <c r="C74" s="5"/>
      <c r="D74" s="5"/>
      <c r="E74" s="6"/>
      <c r="F74" s="7"/>
      <c r="G74" s="41"/>
      <c r="H74" s="6"/>
      <c r="I74" s="41"/>
      <c r="J74" s="41" t="b">
        <f t="shared" ref="J74:J137" si="1">IF(H74=$M$3,G74,IF(H74=$M$4,-I74))</f>
        <v>0</v>
      </c>
    </row>
    <row r="75" spans="1:11" x14ac:dyDescent="0.2">
      <c r="A75" s="4">
        <v>67</v>
      </c>
      <c r="B75" s="77"/>
      <c r="C75" s="5"/>
      <c r="D75" s="5"/>
      <c r="E75" s="6"/>
      <c r="F75" s="7"/>
      <c r="G75" s="41"/>
      <c r="H75" s="6"/>
      <c r="I75" s="41"/>
      <c r="J75" s="41" t="b">
        <f t="shared" si="1"/>
        <v>0</v>
      </c>
    </row>
    <row r="76" spans="1:11" x14ac:dyDescent="0.2">
      <c r="A76" s="4">
        <v>68</v>
      </c>
      <c r="B76" s="77"/>
      <c r="C76" s="5"/>
      <c r="D76" s="5"/>
      <c r="E76" s="6"/>
      <c r="F76" s="7"/>
      <c r="G76" s="41"/>
      <c r="H76" s="6"/>
      <c r="I76" s="41"/>
      <c r="J76" s="41" t="b">
        <f t="shared" si="1"/>
        <v>0</v>
      </c>
    </row>
    <row r="77" spans="1:11" x14ac:dyDescent="0.2">
      <c r="A77" s="4">
        <v>69</v>
      </c>
      <c r="B77" s="77"/>
      <c r="C77" s="5"/>
      <c r="D77" s="5"/>
      <c r="E77" s="6"/>
      <c r="F77" s="7"/>
      <c r="G77" s="41"/>
      <c r="H77" s="6"/>
      <c r="I77" s="41"/>
      <c r="J77" s="41" t="b">
        <f t="shared" si="1"/>
        <v>0</v>
      </c>
    </row>
    <row r="78" spans="1:11" x14ac:dyDescent="0.2">
      <c r="A78" s="4">
        <v>70</v>
      </c>
      <c r="B78" s="77"/>
      <c r="C78" s="5"/>
      <c r="D78" s="5"/>
      <c r="E78" s="6"/>
      <c r="F78" s="7"/>
      <c r="G78" s="41"/>
      <c r="H78" s="6"/>
      <c r="I78" s="41"/>
      <c r="J78" s="41" t="b">
        <f t="shared" si="1"/>
        <v>0</v>
      </c>
    </row>
    <row r="79" spans="1:11" x14ac:dyDescent="0.2">
      <c r="A79" s="4">
        <v>71</v>
      </c>
      <c r="B79" s="77"/>
      <c r="C79" s="5"/>
      <c r="D79" s="5"/>
      <c r="E79" s="6"/>
      <c r="F79" s="7"/>
      <c r="G79" s="41"/>
      <c r="H79" s="6"/>
      <c r="I79" s="41"/>
      <c r="J79" s="41" t="b">
        <f t="shared" si="1"/>
        <v>0</v>
      </c>
    </row>
    <row r="80" spans="1:11" x14ac:dyDescent="0.2">
      <c r="A80" s="4">
        <v>72</v>
      </c>
      <c r="B80" s="77"/>
      <c r="C80" s="5"/>
      <c r="D80" s="5"/>
      <c r="E80" s="6"/>
      <c r="F80" s="7"/>
      <c r="G80" s="41"/>
      <c r="H80" s="6"/>
      <c r="I80" s="41"/>
      <c r="J80" s="41" t="b">
        <f t="shared" si="1"/>
        <v>0</v>
      </c>
    </row>
    <row r="81" spans="1:10" x14ac:dyDescent="0.2">
      <c r="A81" s="4">
        <v>73</v>
      </c>
      <c r="B81" s="77"/>
      <c r="C81" s="5"/>
      <c r="D81" s="5"/>
      <c r="E81" s="6"/>
      <c r="F81" s="7"/>
      <c r="G81" s="41"/>
      <c r="H81" s="6"/>
      <c r="I81" s="41"/>
      <c r="J81" s="41" t="b">
        <f t="shared" si="1"/>
        <v>0</v>
      </c>
    </row>
    <row r="82" spans="1:10" x14ac:dyDescent="0.2">
      <c r="A82" s="4">
        <v>74</v>
      </c>
      <c r="B82" s="77"/>
      <c r="C82" s="5"/>
      <c r="D82" s="5"/>
      <c r="E82" s="6"/>
      <c r="F82" s="7"/>
      <c r="G82" s="41"/>
      <c r="H82" s="6"/>
      <c r="I82" s="41"/>
      <c r="J82" s="41" t="b">
        <f t="shared" si="1"/>
        <v>0</v>
      </c>
    </row>
    <row r="83" spans="1:10" x14ac:dyDescent="0.2">
      <c r="A83" s="4">
        <v>75</v>
      </c>
      <c r="B83" s="77"/>
      <c r="C83" s="5"/>
      <c r="D83" s="5"/>
      <c r="E83" s="6"/>
      <c r="F83" s="7"/>
      <c r="G83" s="41"/>
      <c r="H83" s="6"/>
      <c r="I83" s="41"/>
      <c r="J83" s="41" t="b">
        <f t="shared" si="1"/>
        <v>0</v>
      </c>
    </row>
    <row r="84" spans="1:10" x14ac:dyDescent="0.2">
      <c r="A84" s="4">
        <v>76</v>
      </c>
      <c r="B84" s="77"/>
      <c r="C84" s="5"/>
      <c r="D84" s="5"/>
      <c r="E84" s="6"/>
      <c r="F84" s="7"/>
      <c r="G84" s="41"/>
      <c r="H84" s="6"/>
      <c r="I84" s="41"/>
      <c r="J84" s="41" t="b">
        <f t="shared" si="1"/>
        <v>0</v>
      </c>
    </row>
    <row r="85" spans="1:10" x14ac:dyDescent="0.2">
      <c r="A85" s="4">
        <v>77</v>
      </c>
      <c r="B85" s="77"/>
      <c r="C85" s="5"/>
      <c r="D85" s="5"/>
      <c r="E85" s="6"/>
      <c r="F85" s="7"/>
      <c r="G85" s="41"/>
      <c r="H85" s="6"/>
      <c r="I85" s="41"/>
      <c r="J85" s="41" t="b">
        <f t="shared" si="1"/>
        <v>0</v>
      </c>
    </row>
    <row r="86" spans="1:10" x14ac:dyDescent="0.2">
      <c r="A86" s="4">
        <v>78</v>
      </c>
      <c r="B86" s="77"/>
      <c r="C86" s="5"/>
      <c r="D86" s="5"/>
      <c r="E86" s="6"/>
      <c r="F86" s="7"/>
      <c r="G86" s="41"/>
      <c r="H86" s="6"/>
      <c r="I86" s="41"/>
      <c r="J86" s="41" t="b">
        <f t="shared" si="1"/>
        <v>0</v>
      </c>
    </row>
    <row r="87" spans="1:10" x14ac:dyDescent="0.2">
      <c r="A87" s="4">
        <v>79</v>
      </c>
      <c r="B87" s="77"/>
      <c r="C87" s="5"/>
      <c r="D87" s="5"/>
      <c r="E87" s="6"/>
      <c r="F87" s="7"/>
      <c r="G87" s="41"/>
      <c r="H87" s="6"/>
      <c r="I87" s="41"/>
      <c r="J87" s="41" t="b">
        <f t="shared" si="1"/>
        <v>0</v>
      </c>
    </row>
    <row r="88" spans="1:10" x14ac:dyDescent="0.2">
      <c r="A88" s="4">
        <v>80</v>
      </c>
      <c r="B88" s="77"/>
      <c r="C88" s="5"/>
      <c r="D88" s="5"/>
      <c r="E88" s="6"/>
      <c r="F88" s="7"/>
      <c r="G88" s="41"/>
      <c r="H88" s="6"/>
      <c r="I88" s="41"/>
      <c r="J88" s="41" t="b">
        <f t="shared" si="1"/>
        <v>0</v>
      </c>
    </row>
    <row r="89" spans="1:10" x14ac:dyDescent="0.2">
      <c r="A89" s="4">
        <v>81</v>
      </c>
      <c r="B89" s="77"/>
      <c r="C89" s="5"/>
      <c r="D89" s="5"/>
      <c r="E89" s="6"/>
      <c r="F89" s="7"/>
      <c r="G89" s="41"/>
      <c r="H89" s="6"/>
      <c r="I89" s="41"/>
      <c r="J89" s="41" t="b">
        <f t="shared" si="1"/>
        <v>0</v>
      </c>
    </row>
    <row r="90" spans="1:10" x14ac:dyDescent="0.2">
      <c r="A90" s="4">
        <v>82</v>
      </c>
      <c r="B90" s="77"/>
      <c r="C90" s="5"/>
      <c r="D90" s="5"/>
      <c r="E90" s="6"/>
      <c r="F90" s="7"/>
      <c r="G90" s="41"/>
      <c r="H90" s="6"/>
      <c r="I90" s="41"/>
      <c r="J90" s="41" t="b">
        <f t="shared" si="1"/>
        <v>0</v>
      </c>
    </row>
    <row r="91" spans="1:10" x14ac:dyDescent="0.2">
      <c r="A91" s="4">
        <v>83</v>
      </c>
      <c r="B91" s="77"/>
      <c r="C91" s="5"/>
      <c r="D91" s="5"/>
      <c r="E91" s="6"/>
      <c r="F91" s="7"/>
      <c r="G91" s="41"/>
      <c r="H91" s="6"/>
      <c r="I91" s="41"/>
      <c r="J91" s="41" t="b">
        <f t="shared" si="1"/>
        <v>0</v>
      </c>
    </row>
    <row r="92" spans="1:10" x14ac:dyDescent="0.2">
      <c r="A92" s="4">
        <v>84</v>
      </c>
      <c r="B92" s="77"/>
      <c r="C92" s="5"/>
      <c r="D92" s="5"/>
      <c r="E92" s="6"/>
      <c r="F92" s="7"/>
      <c r="G92" s="41"/>
      <c r="H92" s="6"/>
      <c r="I92" s="41"/>
      <c r="J92" s="41" t="b">
        <f t="shared" si="1"/>
        <v>0</v>
      </c>
    </row>
    <row r="93" spans="1:10" x14ac:dyDescent="0.2">
      <c r="A93" s="4">
        <v>85</v>
      </c>
      <c r="B93" s="77"/>
      <c r="C93" s="5"/>
      <c r="D93" s="5"/>
      <c r="E93" s="6"/>
      <c r="F93" s="7"/>
      <c r="G93" s="41"/>
      <c r="H93" s="6"/>
      <c r="I93" s="41"/>
      <c r="J93" s="41" t="b">
        <f t="shared" si="1"/>
        <v>0</v>
      </c>
    </row>
    <row r="94" spans="1:10" x14ac:dyDescent="0.2">
      <c r="A94" s="4">
        <v>86</v>
      </c>
      <c r="B94" s="77"/>
      <c r="C94" s="5"/>
      <c r="D94" s="5"/>
      <c r="E94" s="6"/>
      <c r="F94" s="7"/>
      <c r="G94" s="41"/>
      <c r="H94" s="6"/>
      <c r="I94" s="41"/>
      <c r="J94" s="41" t="b">
        <f t="shared" si="1"/>
        <v>0</v>
      </c>
    </row>
    <row r="95" spans="1:10" x14ac:dyDescent="0.2">
      <c r="A95" s="4">
        <v>87</v>
      </c>
      <c r="B95" s="77"/>
      <c r="C95" s="5"/>
      <c r="D95" s="5"/>
      <c r="E95" s="6"/>
      <c r="F95" s="7"/>
      <c r="G95" s="41"/>
      <c r="H95" s="6"/>
      <c r="I95" s="41"/>
      <c r="J95" s="41" t="b">
        <f t="shared" si="1"/>
        <v>0</v>
      </c>
    </row>
    <row r="96" spans="1:10" x14ac:dyDescent="0.2">
      <c r="A96" s="4">
        <v>88</v>
      </c>
      <c r="B96" s="77"/>
      <c r="C96" s="5"/>
      <c r="D96" s="5"/>
      <c r="E96" s="6"/>
      <c r="F96" s="7"/>
      <c r="G96" s="41"/>
      <c r="H96" s="6"/>
      <c r="I96" s="41"/>
      <c r="J96" s="41" t="b">
        <f t="shared" si="1"/>
        <v>0</v>
      </c>
    </row>
    <row r="97" spans="1:10" x14ac:dyDescent="0.2">
      <c r="A97" s="4">
        <v>89</v>
      </c>
      <c r="B97" s="77"/>
      <c r="C97" s="5"/>
      <c r="D97" s="5"/>
      <c r="E97" s="6"/>
      <c r="F97" s="7"/>
      <c r="G97" s="41"/>
      <c r="H97" s="6"/>
      <c r="I97" s="41"/>
      <c r="J97" s="41" t="b">
        <f t="shared" si="1"/>
        <v>0</v>
      </c>
    </row>
    <row r="98" spans="1:10" x14ac:dyDescent="0.2">
      <c r="A98" s="4">
        <v>90</v>
      </c>
      <c r="B98" s="77"/>
      <c r="C98" s="5"/>
      <c r="D98" s="5"/>
      <c r="E98" s="6"/>
      <c r="F98" s="7"/>
      <c r="G98" s="41"/>
      <c r="H98" s="6"/>
      <c r="I98" s="41"/>
      <c r="J98" s="41" t="b">
        <f t="shared" si="1"/>
        <v>0</v>
      </c>
    </row>
    <row r="99" spans="1:10" x14ac:dyDescent="0.2">
      <c r="A99" s="4">
        <v>91</v>
      </c>
      <c r="B99" s="77"/>
      <c r="C99" s="5"/>
      <c r="D99" s="5"/>
      <c r="E99" s="6"/>
      <c r="F99" s="7"/>
      <c r="G99" s="41"/>
      <c r="H99" s="6"/>
      <c r="I99" s="41"/>
      <c r="J99" s="41" t="b">
        <f t="shared" si="1"/>
        <v>0</v>
      </c>
    </row>
    <row r="100" spans="1:10" x14ac:dyDescent="0.2">
      <c r="A100" s="4">
        <v>92</v>
      </c>
      <c r="B100" s="77"/>
      <c r="C100" s="5"/>
      <c r="D100" s="5"/>
      <c r="E100" s="6"/>
      <c r="F100" s="7"/>
      <c r="G100" s="41"/>
      <c r="H100" s="6"/>
      <c r="I100" s="41"/>
      <c r="J100" s="41" t="b">
        <f t="shared" si="1"/>
        <v>0</v>
      </c>
    </row>
    <row r="101" spans="1:10" x14ac:dyDescent="0.2">
      <c r="A101" s="4">
        <v>93</v>
      </c>
      <c r="B101" s="77"/>
      <c r="C101" s="5"/>
      <c r="D101" s="5"/>
      <c r="E101" s="6"/>
      <c r="F101" s="7"/>
      <c r="G101" s="41"/>
      <c r="H101" s="6"/>
      <c r="I101" s="41"/>
      <c r="J101" s="41" t="b">
        <f t="shared" si="1"/>
        <v>0</v>
      </c>
    </row>
    <row r="102" spans="1:10" x14ac:dyDescent="0.2">
      <c r="A102" s="4">
        <v>94</v>
      </c>
      <c r="B102" s="77"/>
      <c r="C102" s="5"/>
      <c r="D102" s="5"/>
      <c r="E102" s="6"/>
      <c r="F102" s="7"/>
      <c r="G102" s="41"/>
      <c r="H102" s="6"/>
      <c r="I102" s="41"/>
      <c r="J102" s="41" t="b">
        <f t="shared" si="1"/>
        <v>0</v>
      </c>
    </row>
    <row r="103" spans="1:10" x14ac:dyDescent="0.2">
      <c r="A103" s="4">
        <v>95</v>
      </c>
      <c r="B103" s="77"/>
      <c r="C103" s="5"/>
      <c r="D103" s="5"/>
      <c r="E103" s="6"/>
      <c r="F103" s="7"/>
      <c r="G103" s="41"/>
      <c r="H103" s="6"/>
      <c r="I103" s="41"/>
      <c r="J103" s="41" t="b">
        <f t="shared" si="1"/>
        <v>0</v>
      </c>
    </row>
    <row r="104" spans="1:10" x14ac:dyDescent="0.2">
      <c r="A104" s="4">
        <v>96</v>
      </c>
      <c r="B104" s="77"/>
      <c r="C104" s="5"/>
      <c r="D104" s="5"/>
      <c r="E104" s="6"/>
      <c r="F104" s="7"/>
      <c r="G104" s="41"/>
      <c r="H104" s="6"/>
      <c r="I104" s="41"/>
      <c r="J104" s="41" t="b">
        <f t="shared" si="1"/>
        <v>0</v>
      </c>
    </row>
    <row r="105" spans="1:10" x14ac:dyDescent="0.2">
      <c r="A105" s="4">
        <v>97</v>
      </c>
      <c r="B105" s="77"/>
      <c r="C105" s="5"/>
      <c r="D105" s="5"/>
      <c r="E105" s="6"/>
      <c r="F105" s="7"/>
      <c r="G105" s="41"/>
      <c r="H105" s="6"/>
      <c r="I105" s="41"/>
      <c r="J105" s="41" t="b">
        <f t="shared" si="1"/>
        <v>0</v>
      </c>
    </row>
    <row r="106" spans="1:10" x14ac:dyDescent="0.2">
      <c r="A106" s="4">
        <v>98</v>
      </c>
      <c r="B106" s="77"/>
      <c r="C106" s="5"/>
      <c r="D106" s="5"/>
      <c r="E106" s="6"/>
      <c r="F106" s="7"/>
      <c r="G106" s="41"/>
      <c r="H106" s="6"/>
      <c r="I106" s="41"/>
      <c r="J106" s="41" t="b">
        <f t="shared" si="1"/>
        <v>0</v>
      </c>
    </row>
    <row r="107" spans="1:10" x14ac:dyDescent="0.2">
      <c r="A107" s="4">
        <v>99</v>
      </c>
      <c r="B107" s="77"/>
      <c r="C107" s="5"/>
      <c r="D107" s="5"/>
      <c r="E107" s="6"/>
      <c r="F107" s="7"/>
      <c r="G107" s="41"/>
      <c r="H107" s="6"/>
      <c r="I107" s="41"/>
      <c r="J107" s="41" t="b">
        <f t="shared" si="1"/>
        <v>0</v>
      </c>
    </row>
    <row r="108" spans="1:10" x14ac:dyDescent="0.2">
      <c r="A108" s="4">
        <v>100</v>
      </c>
      <c r="B108" s="77"/>
      <c r="C108" s="5"/>
      <c r="D108" s="5"/>
      <c r="E108" s="6"/>
      <c r="F108" s="7"/>
      <c r="G108" s="41"/>
      <c r="H108" s="6"/>
      <c r="I108" s="41"/>
      <c r="J108" s="41" t="b">
        <f t="shared" si="1"/>
        <v>0</v>
      </c>
    </row>
    <row r="109" spans="1:10" x14ac:dyDescent="0.2">
      <c r="A109" s="4">
        <v>101</v>
      </c>
      <c r="B109" s="77"/>
      <c r="C109" s="5"/>
      <c r="D109" s="5"/>
      <c r="E109" s="6"/>
      <c r="F109" s="7"/>
      <c r="G109" s="41"/>
      <c r="H109" s="6"/>
      <c r="I109" s="41"/>
      <c r="J109" s="41" t="b">
        <f t="shared" si="1"/>
        <v>0</v>
      </c>
    </row>
    <row r="110" spans="1:10" x14ac:dyDescent="0.2">
      <c r="A110" s="4">
        <v>102</v>
      </c>
      <c r="B110" s="77"/>
      <c r="C110" s="5"/>
      <c r="D110" s="5"/>
      <c r="E110" s="6"/>
      <c r="F110" s="7"/>
      <c r="G110" s="41"/>
      <c r="H110" s="6"/>
      <c r="I110" s="41"/>
      <c r="J110" s="41" t="b">
        <f t="shared" si="1"/>
        <v>0</v>
      </c>
    </row>
    <row r="111" spans="1:10" x14ac:dyDescent="0.2">
      <c r="A111" s="4">
        <v>103</v>
      </c>
      <c r="B111" s="77"/>
      <c r="C111" s="5"/>
      <c r="D111" s="5"/>
      <c r="E111" s="6"/>
      <c r="F111" s="7"/>
      <c r="G111" s="41"/>
      <c r="H111" s="6"/>
      <c r="I111" s="41"/>
      <c r="J111" s="41" t="b">
        <f t="shared" si="1"/>
        <v>0</v>
      </c>
    </row>
    <row r="112" spans="1:10" x14ac:dyDescent="0.2">
      <c r="A112" s="4">
        <v>104</v>
      </c>
      <c r="B112" s="77"/>
      <c r="C112" s="5"/>
      <c r="D112" s="5"/>
      <c r="E112" s="6"/>
      <c r="F112" s="7"/>
      <c r="G112" s="41"/>
      <c r="H112" s="6"/>
      <c r="I112" s="41"/>
      <c r="J112" s="41" t="b">
        <f t="shared" si="1"/>
        <v>0</v>
      </c>
    </row>
    <row r="113" spans="1:10" x14ac:dyDescent="0.2">
      <c r="A113" s="4">
        <v>105</v>
      </c>
      <c r="B113" s="77"/>
      <c r="C113" s="5"/>
      <c r="D113" s="5"/>
      <c r="E113" s="6"/>
      <c r="F113" s="7"/>
      <c r="G113" s="41"/>
      <c r="H113" s="6"/>
      <c r="I113" s="41"/>
      <c r="J113" s="41" t="b">
        <f t="shared" si="1"/>
        <v>0</v>
      </c>
    </row>
    <row r="114" spans="1:10" x14ac:dyDescent="0.2">
      <c r="A114" s="4">
        <v>106</v>
      </c>
      <c r="B114" s="77"/>
      <c r="C114" s="5"/>
      <c r="D114" s="5"/>
      <c r="E114" s="6"/>
      <c r="F114" s="7"/>
      <c r="G114" s="41"/>
      <c r="H114" s="6"/>
      <c r="I114" s="41"/>
      <c r="J114" s="41" t="b">
        <f t="shared" si="1"/>
        <v>0</v>
      </c>
    </row>
    <row r="115" spans="1:10" x14ac:dyDescent="0.2">
      <c r="A115" s="4">
        <v>107</v>
      </c>
      <c r="B115" s="77"/>
      <c r="C115" s="5"/>
      <c r="D115" s="5"/>
      <c r="E115" s="6"/>
      <c r="F115" s="7"/>
      <c r="G115" s="41"/>
      <c r="H115" s="6"/>
      <c r="I115" s="41"/>
      <c r="J115" s="41" t="b">
        <f t="shared" si="1"/>
        <v>0</v>
      </c>
    </row>
    <row r="116" spans="1:10" x14ac:dyDescent="0.2">
      <c r="A116" s="4">
        <v>108</v>
      </c>
      <c r="B116" s="77"/>
      <c r="C116" s="5"/>
      <c r="D116" s="5"/>
      <c r="E116" s="6"/>
      <c r="F116" s="7"/>
      <c r="G116" s="41"/>
      <c r="H116" s="6"/>
      <c r="I116" s="41"/>
      <c r="J116" s="41" t="b">
        <f t="shared" si="1"/>
        <v>0</v>
      </c>
    </row>
    <row r="117" spans="1:10" x14ac:dyDescent="0.2">
      <c r="A117" s="4">
        <v>109</v>
      </c>
      <c r="B117" s="77"/>
      <c r="C117" s="5"/>
      <c r="D117" s="5"/>
      <c r="E117" s="6"/>
      <c r="F117" s="7"/>
      <c r="G117" s="41"/>
      <c r="H117" s="6"/>
      <c r="I117" s="41"/>
      <c r="J117" s="41" t="b">
        <f t="shared" si="1"/>
        <v>0</v>
      </c>
    </row>
    <row r="118" spans="1:10" x14ac:dyDescent="0.2">
      <c r="A118" s="4">
        <v>110</v>
      </c>
      <c r="B118" s="77"/>
      <c r="C118" s="5"/>
      <c r="D118" s="5"/>
      <c r="E118" s="6"/>
      <c r="F118" s="7"/>
      <c r="G118" s="41"/>
      <c r="H118" s="6"/>
      <c r="I118" s="41"/>
      <c r="J118" s="41" t="b">
        <f t="shared" si="1"/>
        <v>0</v>
      </c>
    </row>
    <row r="119" spans="1:10" x14ac:dyDescent="0.2">
      <c r="A119" s="4">
        <v>111</v>
      </c>
      <c r="B119" s="77"/>
      <c r="C119" s="5"/>
      <c r="D119" s="5"/>
      <c r="E119" s="6"/>
      <c r="F119" s="7"/>
      <c r="G119" s="41"/>
      <c r="H119" s="6"/>
      <c r="I119" s="41"/>
      <c r="J119" s="41" t="b">
        <f t="shared" si="1"/>
        <v>0</v>
      </c>
    </row>
    <row r="120" spans="1:10" x14ac:dyDescent="0.2">
      <c r="A120" s="4">
        <v>112</v>
      </c>
      <c r="B120" s="77"/>
      <c r="C120" s="5"/>
      <c r="D120" s="5"/>
      <c r="E120" s="6"/>
      <c r="F120" s="7"/>
      <c r="G120" s="41"/>
      <c r="H120" s="6"/>
      <c r="I120" s="41"/>
      <c r="J120" s="41" t="b">
        <f t="shared" si="1"/>
        <v>0</v>
      </c>
    </row>
    <row r="121" spans="1:10" x14ac:dyDescent="0.2">
      <c r="A121" s="4">
        <v>113</v>
      </c>
      <c r="B121" s="77"/>
      <c r="C121" s="5"/>
      <c r="D121" s="5"/>
      <c r="E121" s="6"/>
      <c r="F121" s="7"/>
      <c r="G121" s="41"/>
      <c r="H121" s="6"/>
      <c r="I121" s="41"/>
      <c r="J121" s="41" t="b">
        <f t="shared" si="1"/>
        <v>0</v>
      </c>
    </row>
    <row r="122" spans="1:10" x14ac:dyDescent="0.2">
      <c r="A122" s="4">
        <v>114</v>
      </c>
      <c r="B122" s="77"/>
      <c r="C122" s="5"/>
      <c r="D122" s="5"/>
      <c r="E122" s="6"/>
      <c r="F122" s="7"/>
      <c r="G122" s="41"/>
      <c r="H122" s="6"/>
      <c r="I122" s="41"/>
      <c r="J122" s="41" t="b">
        <f t="shared" si="1"/>
        <v>0</v>
      </c>
    </row>
    <row r="123" spans="1:10" x14ac:dyDescent="0.2">
      <c r="A123" s="4">
        <v>115</v>
      </c>
      <c r="B123" s="77"/>
      <c r="C123" s="5"/>
      <c r="D123" s="5"/>
      <c r="E123" s="6"/>
      <c r="F123" s="7"/>
      <c r="G123" s="41"/>
      <c r="H123" s="6"/>
      <c r="I123" s="41"/>
      <c r="J123" s="41" t="b">
        <f t="shared" si="1"/>
        <v>0</v>
      </c>
    </row>
    <row r="124" spans="1:10" x14ac:dyDescent="0.2">
      <c r="A124" s="4">
        <v>116</v>
      </c>
      <c r="B124" s="77"/>
      <c r="C124" s="5"/>
      <c r="D124" s="5"/>
      <c r="E124" s="6"/>
      <c r="F124" s="7"/>
      <c r="G124" s="41"/>
      <c r="H124" s="6"/>
      <c r="I124" s="41"/>
      <c r="J124" s="41" t="b">
        <f t="shared" si="1"/>
        <v>0</v>
      </c>
    </row>
    <row r="125" spans="1:10" x14ac:dyDescent="0.2">
      <c r="A125" s="4">
        <v>117</v>
      </c>
      <c r="B125" s="77"/>
      <c r="C125" s="5"/>
      <c r="D125" s="5"/>
      <c r="E125" s="6"/>
      <c r="F125" s="7"/>
      <c r="G125" s="41"/>
      <c r="H125" s="6"/>
      <c r="I125" s="41"/>
      <c r="J125" s="41" t="b">
        <f t="shared" si="1"/>
        <v>0</v>
      </c>
    </row>
    <row r="126" spans="1:10" x14ac:dyDescent="0.2">
      <c r="A126" s="4">
        <v>118</v>
      </c>
      <c r="B126" s="77"/>
      <c r="C126" s="5"/>
      <c r="D126" s="5"/>
      <c r="E126" s="6"/>
      <c r="F126" s="7"/>
      <c r="G126" s="41"/>
      <c r="H126" s="6"/>
      <c r="I126" s="41"/>
      <c r="J126" s="41" t="b">
        <f t="shared" si="1"/>
        <v>0</v>
      </c>
    </row>
    <row r="127" spans="1:10" x14ac:dyDescent="0.2">
      <c r="A127" s="4">
        <v>119</v>
      </c>
      <c r="B127" s="77"/>
      <c r="C127" s="5"/>
      <c r="D127" s="5"/>
      <c r="E127" s="6"/>
      <c r="F127" s="7"/>
      <c r="G127" s="41"/>
      <c r="H127" s="6"/>
      <c r="I127" s="41"/>
      <c r="J127" s="41" t="b">
        <f t="shared" si="1"/>
        <v>0</v>
      </c>
    </row>
    <row r="128" spans="1:10" x14ac:dyDescent="0.2">
      <c r="A128" s="4">
        <v>120</v>
      </c>
      <c r="B128" s="77"/>
      <c r="C128" s="5"/>
      <c r="D128" s="5"/>
      <c r="E128" s="6"/>
      <c r="F128" s="7"/>
      <c r="G128" s="41"/>
      <c r="H128" s="6"/>
      <c r="I128" s="41"/>
      <c r="J128" s="41" t="b">
        <f t="shared" si="1"/>
        <v>0</v>
      </c>
    </row>
    <row r="129" spans="1:10" x14ac:dyDescent="0.2">
      <c r="A129" s="4">
        <v>121</v>
      </c>
      <c r="B129" s="77"/>
      <c r="C129" s="5"/>
      <c r="D129" s="5"/>
      <c r="E129" s="6"/>
      <c r="F129" s="7"/>
      <c r="G129" s="41"/>
      <c r="H129" s="6"/>
      <c r="I129" s="41"/>
      <c r="J129" s="41" t="b">
        <f t="shared" si="1"/>
        <v>0</v>
      </c>
    </row>
    <row r="130" spans="1:10" x14ac:dyDescent="0.2">
      <c r="A130" s="4">
        <v>122</v>
      </c>
      <c r="B130" s="77"/>
      <c r="C130" s="5"/>
      <c r="D130" s="5"/>
      <c r="E130" s="6"/>
      <c r="F130" s="7"/>
      <c r="G130" s="41"/>
      <c r="H130" s="6"/>
      <c r="I130" s="41"/>
      <c r="J130" s="41" t="b">
        <f t="shared" si="1"/>
        <v>0</v>
      </c>
    </row>
    <row r="131" spans="1:10" x14ac:dyDescent="0.2">
      <c r="A131" s="4">
        <v>123</v>
      </c>
      <c r="B131" s="77"/>
      <c r="C131" s="5"/>
      <c r="D131" s="5"/>
      <c r="E131" s="6"/>
      <c r="F131" s="7"/>
      <c r="G131" s="41"/>
      <c r="H131" s="6"/>
      <c r="I131" s="41"/>
      <c r="J131" s="41" t="b">
        <f t="shared" si="1"/>
        <v>0</v>
      </c>
    </row>
    <row r="132" spans="1:10" x14ac:dyDescent="0.2">
      <c r="A132" s="4">
        <v>124</v>
      </c>
      <c r="B132" s="77"/>
      <c r="C132" s="5"/>
      <c r="D132" s="5"/>
      <c r="E132" s="6"/>
      <c r="F132" s="7"/>
      <c r="G132" s="41"/>
      <c r="H132" s="6"/>
      <c r="I132" s="41"/>
      <c r="J132" s="41" t="b">
        <f t="shared" si="1"/>
        <v>0</v>
      </c>
    </row>
    <row r="133" spans="1:10" x14ac:dyDescent="0.2">
      <c r="A133" s="4">
        <v>125</v>
      </c>
      <c r="B133" s="77"/>
      <c r="C133" s="5"/>
      <c r="D133" s="5"/>
      <c r="E133" s="6"/>
      <c r="F133" s="7"/>
      <c r="G133" s="41"/>
      <c r="H133" s="6"/>
      <c r="I133" s="41"/>
      <c r="J133" s="41" t="b">
        <f t="shared" si="1"/>
        <v>0</v>
      </c>
    </row>
    <row r="134" spans="1:10" x14ac:dyDescent="0.2">
      <c r="A134" s="4">
        <v>126</v>
      </c>
      <c r="B134" s="77"/>
      <c r="C134" s="5"/>
      <c r="D134" s="5"/>
      <c r="E134" s="6"/>
      <c r="F134" s="7"/>
      <c r="G134" s="41"/>
      <c r="H134" s="6"/>
      <c r="I134" s="41"/>
      <c r="J134" s="41" t="b">
        <f t="shared" si="1"/>
        <v>0</v>
      </c>
    </row>
    <row r="135" spans="1:10" x14ac:dyDescent="0.2">
      <c r="A135" s="4">
        <v>127</v>
      </c>
      <c r="B135" s="77"/>
      <c r="C135" s="5"/>
      <c r="D135" s="5"/>
      <c r="E135" s="6"/>
      <c r="F135" s="7"/>
      <c r="G135" s="41"/>
      <c r="H135" s="6"/>
      <c r="I135" s="41"/>
      <c r="J135" s="41" t="b">
        <f t="shared" si="1"/>
        <v>0</v>
      </c>
    </row>
    <row r="136" spans="1:10" x14ac:dyDescent="0.2">
      <c r="A136" s="4">
        <v>128</v>
      </c>
      <c r="B136" s="77"/>
      <c r="C136" s="5"/>
      <c r="D136" s="5"/>
      <c r="E136" s="6"/>
      <c r="F136" s="7"/>
      <c r="G136" s="41"/>
      <c r="H136" s="6"/>
      <c r="I136" s="41"/>
      <c r="J136" s="41" t="b">
        <f t="shared" si="1"/>
        <v>0</v>
      </c>
    </row>
    <row r="137" spans="1:10" x14ac:dyDescent="0.2">
      <c r="A137" s="4">
        <v>129</v>
      </c>
      <c r="B137" s="77"/>
      <c r="C137" s="5"/>
      <c r="D137" s="5"/>
      <c r="E137" s="6"/>
      <c r="F137" s="7"/>
      <c r="G137" s="41"/>
      <c r="H137" s="6"/>
      <c r="I137" s="41"/>
      <c r="J137" s="41" t="b">
        <f t="shared" si="1"/>
        <v>0</v>
      </c>
    </row>
    <row r="138" spans="1:10" x14ac:dyDescent="0.2">
      <c r="A138" s="4">
        <v>130</v>
      </c>
      <c r="B138" s="77"/>
      <c r="C138" s="5"/>
      <c r="D138" s="5"/>
      <c r="E138" s="6"/>
      <c r="F138" s="7"/>
      <c r="G138" s="41"/>
      <c r="H138" s="6"/>
      <c r="I138" s="41"/>
      <c r="J138" s="41" t="b">
        <f t="shared" ref="J138:J201" si="2">IF(H138=$M$3,G138,IF(H138=$M$4,-I138))</f>
        <v>0</v>
      </c>
    </row>
    <row r="139" spans="1:10" x14ac:dyDescent="0.2">
      <c r="A139" s="4">
        <v>131</v>
      </c>
      <c r="B139" s="77"/>
      <c r="C139" s="5"/>
      <c r="D139" s="5"/>
      <c r="E139" s="6"/>
      <c r="F139" s="7"/>
      <c r="G139" s="41"/>
      <c r="H139" s="6"/>
      <c r="I139" s="41"/>
      <c r="J139" s="41" t="b">
        <f t="shared" si="2"/>
        <v>0</v>
      </c>
    </row>
    <row r="140" spans="1:10" x14ac:dyDescent="0.2">
      <c r="A140" s="4">
        <v>132</v>
      </c>
      <c r="B140" s="77"/>
      <c r="C140" s="5"/>
      <c r="D140" s="5"/>
      <c r="E140" s="6"/>
      <c r="F140" s="7"/>
      <c r="G140" s="41"/>
      <c r="H140" s="6"/>
      <c r="I140" s="41"/>
      <c r="J140" s="41" t="b">
        <f t="shared" si="2"/>
        <v>0</v>
      </c>
    </row>
    <row r="141" spans="1:10" x14ac:dyDescent="0.2">
      <c r="A141" s="4">
        <v>133</v>
      </c>
      <c r="B141" s="77"/>
      <c r="C141" s="5"/>
      <c r="D141" s="5"/>
      <c r="E141" s="6"/>
      <c r="F141" s="7"/>
      <c r="G141" s="41"/>
      <c r="H141" s="6"/>
      <c r="I141" s="41"/>
      <c r="J141" s="41" t="b">
        <f t="shared" si="2"/>
        <v>0</v>
      </c>
    </row>
    <row r="142" spans="1:10" x14ac:dyDescent="0.2">
      <c r="A142" s="4">
        <v>134</v>
      </c>
      <c r="B142" s="77"/>
      <c r="C142" s="5"/>
      <c r="D142" s="5"/>
      <c r="E142" s="6"/>
      <c r="F142" s="7"/>
      <c r="G142" s="41"/>
      <c r="H142" s="6"/>
      <c r="I142" s="41"/>
      <c r="J142" s="41" t="b">
        <f t="shared" si="2"/>
        <v>0</v>
      </c>
    </row>
    <row r="143" spans="1:10" x14ac:dyDescent="0.2">
      <c r="A143" s="4">
        <v>135</v>
      </c>
      <c r="B143" s="77"/>
      <c r="C143" s="5"/>
      <c r="D143" s="5"/>
      <c r="E143" s="6"/>
      <c r="F143" s="7"/>
      <c r="G143" s="41"/>
      <c r="H143" s="6"/>
      <c r="I143" s="41"/>
      <c r="J143" s="41" t="b">
        <f t="shared" si="2"/>
        <v>0</v>
      </c>
    </row>
    <row r="144" spans="1:10" x14ac:dyDescent="0.2">
      <c r="A144" s="4">
        <v>136</v>
      </c>
      <c r="B144" s="77"/>
      <c r="C144" s="5"/>
      <c r="D144" s="5"/>
      <c r="E144" s="6"/>
      <c r="F144" s="7"/>
      <c r="G144" s="41"/>
      <c r="H144" s="6"/>
      <c r="I144" s="41"/>
      <c r="J144" s="41" t="b">
        <f t="shared" si="2"/>
        <v>0</v>
      </c>
    </row>
    <row r="145" spans="1:10" x14ac:dyDescent="0.2">
      <c r="A145" s="4">
        <v>137</v>
      </c>
      <c r="B145" s="77"/>
      <c r="C145" s="5"/>
      <c r="D145" s="5"/>
      <c r="E145" s="6"/>
      <c r="F145" s="7"/>
      <c r="G145" s="41"/>
      <c r="H145" s="6"/>
      <c r="I145" s="41"/>
      <c r="J145" s="41" t="b">
        <f t="shared" si="2"/>
        <v>0</v>
      </c>
    </row>
    <row r="146" spans="1:10" x14ac:dyDescent="0.2">
      <c r="A146" s="4">
        <v>138</v>
      </c>
      <c r="B146" s="77"/>
      <c r="C146" s="5"/>
      <c r="D146" s="5"/>
      <c r="E146" s="6"/>
      <c r="F146" s="7"/>
      <c r="G146" s="41"/>
      <c r="H146" s="6"/>
      <c r="I146" s="41"/>
      <c r="J146" s="41" t="b">
        <f t="shared" si="2"/>
        <v>0</v>
      </c>
    </row>
    <row r="147" spans="1:10" x14ac:dyDescent="0.2">
      <c r="A147" s="4">
        <v>139</v>
      </c>
      <c r="B147" s="77"/>
      <c r="C147" s="5"/>
      <c r="D147" s="5"/>
      <c r="E147" s="6"/>
      <c r="F147" s="7"/>
      <c r="G147" s="41"/>
      <c r="H147" s="6"/>
      <c r="I147" s="41"/>
      <c r="J147" s="41" t="b">
        <f t="shared" si="2"/>
        <v>0</v>
      </c>
    </row>
    <row r="148" spans="1:10" x14ac:dyDescent="0.2">
      <c r="A148" s="4">
        <v>140</v>
      </c>
      <c r="B148" s="77"/>
      <c r="C148" s="5"/>
      <c r="D148" s="5"/>
      <c r="E148" s="6"/>
      <c r="F148" s="7"/>
      <c r="G148" s="41"/>
      <c r="H148" s="6"/>
      <c r="I148" s="41"/>
      <c r="J148" s="41" t="b">
        <f t="shared" si="2"/>
        <v>0</v>
      </c>
    </row>
    <row r="149" spans="1:10" x14ac:dyDescent="0.2">
      <c r="A149" s="4">
        <v>141</v>
      </c>
      <c r="B149" s="77"/>
      <c r="C149" s="5"/>
      <c r="D149" s="5"/>
      <c r="E149" s="6"/>
      <c r="F149" s="7"/>
      <c r="G149" s="41"/>
      <c r="H149" s="6"/>
      <c r="I149" s="41"/>
      <c r="J149" s="41" t="b">
        <f t="shared" si="2"/>
        <v>0</v>
      </c>
    </row>
    <row r="150" spans="1:10" x14ac:dyDescent="0.2">
      <c r="A150" s="4">
        <v>142</v>
      </c>
      <c r="B150" s="77"/>
      <c r="C150" s="5"/>
      <c r="D150" s="5"/>
      <c r="E150" s="6"/>
      <c r="F150" s="7"/>
      <c r="G150" s="41"/>
      <c r="H150" s="6"/>
      <c r="I150" s="41"/>
      <c r="J150" s="41" t="b">
        <f t="shared" si="2"/>
        <v>0</v>
      </c>
    </row>
    <row r="151" spans="1:10" x14ac:dyDescent="0.2">
      <c r="A151" s="4">
        <v>143</v>
      </c>
      <c r="B151" s="77"/>
      <c r="C151" s="5"/>
      <c r="D151" s="5"/>
      <c r="E151" s="6"/>
      <c r="F151" s="7"/>
      <c r="G151" s="41"/>
      <c r="H151" s="6"/>
      <c r="I151" s="41"/>
      <c r="J151" s="41" t="b">
        <f t="shared" si="2"/>
        <v>0</v>
      </c>
    </row>
    <row r="152" spans="1:10" x14ac:dyDescent="0.2">
      <c r="A152" s="4">
        <v>144</v>
      </c>
      <c r="B152" s="77"/>
      <c r="C152" s="5"/>
      <c r="D152" s="5"/>
      <c r="E152" s="6"/>
      <c r="F152" s="7"/>
      <c r="G152" s="41"/>
      <c r="H152" s="6"/>
      <c r="I152" s="41"/>
      <c r="J152" s="41" t="b">
        <f t="shared" si="2"/>
        <v>0</v>
      </c>
    </row>
    <row r="153" spans="1:10" x14ac:dyDescent="0.2">
      <c r="A153" s="4">
        <v>145</v>
      </c>
      <c r="B153" s="77"/>
      <c r="C153" s="5"/>
      <c r="D153" s="5"/>
      <c r="E153" s="6"/>
      <c r="F153" s="7"/>
      <c r="G153" s="41"/>
      <c r="H153" s="6"/>
      <c r="I153" s="41"/>
      <c r="J153" s="41" t="b">
        <f t="shared" si="2"/>
        <v>0</v>
      </c>
    </row>
    <row r="154" spans="1:10" x14ac:dyDescent="0.2">
      <c r="A154" s="4">
        <v>146</v>
      </c>
      <c r="B154" s="77"/>
      <c r="C154" s="5"/>
      <c r="D154" s="5"/>
      <c r="E154" s="6"/>
      <c r="F154" s="7"/>
      <c r="G154" s="41"/>
      <c r="H154" s="6"/>
      <c r="I154" s="41"/>
      <c r="J154" s="41" t="b">
        <f t="shared" si="2"/>
        <v>0</v>
      </c>
    </row>
    <row r="155" spans="1:10" x14ac:dyDescent="0.2">
      <c r="A155" s="4">
        <v>147</v>
      </c>
      <c r="B155" s="77"/>
      <c r="C155" s="5"/>
      <c r="D155" s="5"/>
      <c r="E155" s="6"/>
      <c r="F155" s="7"/>
      <c r="G155" s="41"/>
      <c r="H155" s="6"/>
      <c r="I155" s="41"/>
      <c r="J155" s="41" t="b">
        <f t="shared" si="2"/>
        <v>0</v>
      </c>
    </row>
    <row r="156" spans="1:10" x14ac:dyDescent="0.2">
      <c r="A156" s="4">
        <v>148</v>
      </c>
      <c r="B156" s="77"/>
      <c r="C156" s="5"/>
      <c r="D156" s="5"/>
      <c r="E156" s="6"/>
      <c r="F156" s="7"/>
      <c r="G156" s="41"/>
      <c r="H156" s="6"/>
      <c r="I156" s="41"/>
      <c r="J156" s="41" t="b">
        <f t="shared" si="2"/>
        <v>0</v>
      </c>
    </row>
    <row r="157" spans="1:10" x14ac:dyDescent="0.2">
      <c r="A157" s="4">
        <v>149</v>
      </c>
      <c r="B157" s="77"/>
      <c r="C157" s="5"/>
      <c r="D157" s="5"/>
      <c r="E157" s="6"/>
      <c r="F157" s="7"/>
      <c r="G157" s="41"/>
      <c r="H157" s="6"/>
      <c r="I157" s="41"/>
      <c r="J157" s="41" t="b">
        <f t="shared" si="2"/>
        <v>0</v>
      </c>
    </row>
    <row r="158" spans="1:10" x14ac:dyDescent="0.2">
      <c r="A158" s="4">
        <v>150</v>
      </c>
      <c r="B158" s="77"/>
      <c r="C158" s="5"/>
      <c r="D158" s="5"/>
      <c r="E158" s="6"/>
      <c r="F158" s="7"/>
      <c r="G158" s="41"/>
      <c r="H158" s="6"/>
      <c r="I158" s="41"/>
      <c r="J158" s="41" t="b">
        <f t="shared" si="2"/>
        <v>0</v>
      </c>
    </row>
    <row r="159" spans="1:10" x14ac:dyDescent="0.2">
      <c r="A159" s="4">
        <v>151</v>
      </c>
      <c r="B159" s="77"/>
      <c r="C159" s="5"/>
      <c r="D159" s="5"/>
      <c r="E159" s="6"/>
      <c r="F159" s="7"/>
      <c r="G159" s="41"/>
      <c r="H159" s="6"/>
      <c r="I159" s="41"/>
      <c r="J159" s="41" t="b">
        <f t="shared" si="2"/>
        <v>0</v>
      </c>
    </row>
    <row r="160" spans="1:10" x14ac:dyDescent="0.2">
      <c r="A160" s="4">
        <v>152</v>
      </c>
      <c r="B160" s="77"/>
      <c r="C160" s="5"/>
      <c r="D160" s="5"/>
      <c r="E160" s="6"/>
      <c r="F160" s="7"/>
      <c r="G160" s="41"/>
      <c r="H160" s="6"/>
      <c r="I160" s="41"/>
      <c r="J160" s="41" t="b">
        <f t="shared" si="2"/>
        <v>0</v>
      </c>
    </row>
    <row r="161" spans="1:10" x14ac:dyDescent="0.2">
      <c r="A161" s="4">
        <v>153</v>
      </c>
      <c r="B161" s="77"/>
      <c r="C161" s="5"/>
      <c r="D161" s="5"/>
      <c r="E161" s="6"/>
      <c r="F161" s="7"/>
      <c r="G161" s="41"/>
      <c r="H161" s="6"/>
      <c r="I161" s="41"/>
      <c r="J161" s="41" t="b">
        <f t="shared" si="2"/>
        <v>0</v>
      </c>
    </row>
    <row r="162" spans="1:10" x14ac:dyDescent="0.2">
      <c r="A162" s="4">
        <v>154</v>
      </c>
      <c r="B162" s="77"/>
      <c r="C162" s="5"/>
      <c r="D162" s="5"/>
      <c r="E162" s="6"/>
      <c r="F162" s="7"/>
      <c r="G162" s="41"/>
      <c r="H162" s="6"/>
      <c r="I162" s="41"/>
      <c r="J162" s="41" t="b">
        <f t="shared" si="2"/>
        <v>0</v>
      </c>
    </row>
    <row r="163" spans="1:10" x14ac:dyDescent="0.2">
      <c r="A163" s="4">
        <v>155</v>
      </c>
      <c r="B163" s="77"/>
      <c r="C163" s="5"/>
      <c r="D163" s="5"/>
      <c r="E163" s="6"/>
      <c r="F163" s="7"/>
      <c r="G163" s="41"/>
      <c r="H163" s="6"/>
      <c r="I163" s="41"/>
      <c r="J163" s="41" t="b">
        <f t="shared" si="2"/>
        <v>0</v>
      </c>
    </row>
    <row r="164" spans="1:10" x14ac:dyDescent="0.2">
      <c r="A164" s="4">
        <v>156</v>
      </c>
      <c r="B164" s="77"/>
      <c r="C164" s="5"/>
      <c r="D164" s="5"/>
      <c r="E164" s="6"/>
      <c r="F164" s="7"/>
      <c r="G164" s="41"/>
      <c r="H164" s="6"/>
      <c r="I164" s="41"/>
      <c r="J164" s="41" t="b">
        <f t="shared" si="2"/>
        <v>0</v>
      </c>
    </row>
    <row r="165" spans="1:10" x14ac:dyDescent="0.2">
      <c r="A165" s="4">
        <v>157</v>
      </c>
      <c r="B165" s="77"/>
      <c r="C165" s="5"/>
      <c r="D165" s="5"/>
      <c r="E165" s="6"/>
      <c r="F165" s="7"/>
      <c r="G165" s="41"/>
      <c r="H165" s="6"/>
      <c r="I165" s="41"/>
      <c r="J165" s="41" t="b">
        <f t="shared" si="2"/>
        <v>0</v>
      </c>
    </row>
    <row r="166" spans="1:10" x14ac:dyDescent="0.2">
      <c r="A166" s="4">
        <v>158</v>
      </c>
      <c r="B166" s="77"/>
      <c r="C166" s="5"/>
      <c r="D166" s="5"/>
      <c r="E166" s="6"/>
      <c r="F166" s="7"/>
      <c r="G166" s="41"/>
      <c r="H166" s="6"/>
      <c r="I166" s="41"/>
      <c r="J166" s="41" t="b">
        <f t="shared" si="2"/>
        <v>0</v>
      </c>
    </row>
    <row r="167" spans="1:10" x14ac:dyDescent="0.2">
      <c r="A167" s="4">
        <v>159</v>
      </c>
      <c r="B167" s="77"/>
      <c r="C167" s="5"/>
      <c r="D167" s="5"/>
      <c r="E167" s="6"/>
      <c r="F167" s="7"/>
      <c r="G167" s="41"/>
      <c r="H167" s="6"/>
      <c r="I167" s="41"/>
      <c r="J167" s="41" t="b">
        <f t="shared" si="2"/>
        <v>0</v>
      </c>
    </row>
    <row r="168" spans="1:10" x14ac:dyDescent="0.2">
      <c r="A168" s="4">
        <v>160</v>
      </c>
      <c r="B168" s="77"/>
      <c r="C168" s="5"/>
      <c r="D168" s="5"/>
      <c r="E168" s="6"/>
      <c r="F168" s="7"/>
      <c r="G168" s="41"/>
      <c r="H168" s="6"/>
      <c r="I168" s="41"/>
      <c r="J168" s="41" t="b">
        <f t="shared" si="2"/>
        <v>0</v>
      </c>
    </row>
    <row r="169" spans="1:10" x14ac:dyDescent="0.2">
      <c r="A169" s="4">
        <v>161</v>
      </c>
      <c r="B169" s="77"/>
      <c r="C169" s="5"/>
      <c r="D169" s="5"/>
      <c r="E169" s="6"/>
      <c r="F169" s="7"/>
      <c r="G169" s="41"/>
      <c r="H169" s="6"/>
      <c r="I169" s="41"/>
      <c r="J169" s="41" t="b">
        <f t="shared" si="2"/>
        <v>0</v>
      </c>
    </row>
    <row r="170" spans="1:10" x14ac:dyDescent="0.2">
      <c r="A170" s="4">
        <v>162</v>
      </c>
      <c r="B170" s="77"/>
      <c r="C170" s="5"/>
      <c r="D170" s="5"/>
      <c r="E170" s="6"/>
      <c r="F170" s="7"/>
      <c r="G170" s="41"/>
      <c r="H170" s="6"/>
      <c r="I170" s="41"/>
      <c r="J170" s="41" t="b">
        <f t="shared" si="2"/>
        <v>0</v>
      </c>
    </row>
    <row r="171" spans="1:10" x14ac:dyDescent="0.2">
      <c r="A171" s="4">
        <v>163</v>
      </c>
      <c r="B171" s="77"/>
      <c r="C171" s="5"/>
      <c r="D171" s="5"/>
      <c r="E171" s="6"/>
      <c r="F171" s="7"/>
      <c r="G171" s="41"/>
      <c r="H171" s="6"/>
      <c r="I171" s="41"/>
      <c r="J171" s="41" t="b">
        <f t="shared" si="2"/>
        <v>0</v>
      </c>
    </row>
    <row r="172" spans="1:10" x14ac:dyDescent="0.2">
      <c r="A172" s="4">
        <v>164</v>
      </c>
      <c r="B172" s="77"/>
      <c r="C172" s="5"/>
      <c r="D172" s="5"/>
      <c r="E172" s="6"/>
      <c r="F172" s="7"/>
      <c r="G172" s="41"/>
      <c r="H172" s="6"/>
      <c r="I172" s="41"/>
      <c r="J172" s="41" t="b">
        <f t="shared" si="2"/>
        <v>0</v>
      </c>
    </row>
    <row r="173" spans="1:10" x14ac:dyDescent="0.2">
      <c r="A173" s="4">
        <v>165</v>
      </c>
      <c r="B173" s="77"/>
      <c r="C173" s="5"/>
      <c r="D173" s="5"/>
      <c r="E173" s="6"/>
      <c r="F173" s="7"/>
      <c r="G173" s="41"/>
      <c r="H173" s="6"/>
      <c r="I173" s="41"/>
      <c r="J173" s="41" t="b">
        <f t="shared" si="2"/>
        <v>0</v>
      </c>
    </row>
    <row r="174" spans="1:10" x14ac:dyDescent="0.2">
      <c r="A174" s="4">
        <v>166</v>
      </c>
      <c r="B174" s="77"/>
      <c r="C174" s="5"/>
      <c r="D174" s="5"/>
      <c r="E174" s="6"/>
      <c r="F174" s="7"/>
      <c r="G174" s="41"/>
      <c r="H174" s="6"/>
      <c r="I174" s="41"/>
      <c r="J174" s="41" t="b">
        <f t="shared" si="2"/>
        <v>0</v>
      </c>
    </row>
    <row r="175" spans="1:10" x14ac:dyDescent="0.2">
      <c r="A175" s="4">
        <v>167</v>
      </c>
      <c r="B175" s="77"/>
      <c r="C175" s="5"/>
      <c r="D175" s="5"/>
      <c r="E175" s="6"/>
      <c r="F175" s="7"/>
      <c r="G175" s="41"/>
      <c r="H175" s="6"/>
      <c r="I175" s="41"/>
      <c r="J175" s="41" t="b">
        <f t="shared" si="2"/>
        <v>0</v>
      </c>
    </row>
    <row r="176" spans="1:10" x14ac:dyDescent="0.2">
      <c r="A176" s="4">
        <v>168</v>
      </c>
      <c r="B176" s="77"/>
      <c r="C176" s="5"/>
      <c r="D176" s="5"/>
      <c r="E176" s="6"/>
      <c r="F176" s="7"/>
      <c r="G176" s="41"/>
      <c r="H176" s="6"/>
      <c r="I176" s="41"/>
      <c r="J176" s="41" t="b">
        <f t="shared" si="2"/>
        <v>0</v>
      </c>
    </row>
    <row r="177" spans="1:10" x14ac:dyDescent="0.2">
      <c r="A177" s="4">
        <v>169</v>
      </c>
      <c r="B177" s="77"/>
      <c r="C177" s="5"/>
      <c r="D177" s="5"/>
      <c r="E177" s="6"/>
      <c r="F177" s="7"/>
      <c r="G177" s="41"/>
      <c r="H177" s="6"/>
      <c r="I177" s="41"/>
      <c r="J177" s="41" t="b">
        <f t="shared" si="2"/>
        <v>0</v>
      </c>
    </row>
    <row r="178" spans="1:10" x14ac:dyDescent="0.2">
      <c r="A178" s="4">
        <v>170</v>
      </c>
      <c r="B178" s="77"/>
      <c r="C178" s="5"/>
      <c r="D178" s="5"/>
      <c r="E178" s="6"/>
      <c r="F178" s="7"/>
      <c r="G178" s="41"/>
      <c r="H178" s="6"/>
      <c r="I178" s="41"/>
      <c r="J178" s="41" t="b">
        <f t="shared" si="2"/>
        <v>0</v>
      </c>
    </row>
    <row r="179" spans="1:10" x14ac:dyDescent="0.2">
      <c r="A179" s="4">
        <v>171</v>
      </c>
      <c r="B179" s="77"/>
      <c r="C179" s="5"/>
      <c r="D179" s="5"/>
      <c r="E179" s="6"/>
      <c r="F179" s="7"/>
      <c r="G179" s="41"/>
      <c r="H179" s="6"/>
      <c r="I179" s="41"/>
      <c r="J179" s="41" t="b">
        <f t="shared" si="2"/>
        <v>0</v>
      </c>
    </row>
    <row r="180" spans="1:10" x14ac:dyDescent="0.2">
      <c r="A180" s="4">
        <v>172</v>
      </c>
      <c r="B180" s="77"/>
      <c r="C180" s="5"/>
      <c r="D180" s="5"/>
      <c r="E180" s="6"/>
      <c r="F180" s="7"/>
      <c r="G180" s="41"/>
      <c r="H180" s="6"/>
      <c r="I180" s="41"/>
      <c r="J180" s="41" t="b">
        <f t="shared" si="2"/>
        <v>0</v>
      </c>
    </row>
    <row r="181" spans="1:10" x14ac:dyDescent="0.2">
      <c r="A181" s="4">
        <v>173</v>
      </c>
      <c r="B181" s="77"/>
      <c r="C181" s="5"/>
      <c r="D181" s="5"/>
      <c r="E181" s="6"/>
      <c r="F181" s="7"/>
      <c r="G181" s="41"/>
      <c r="H181" s="6"/>
      <c r="I181" s="41"/>
      <c r="J181" s="41" t="b">
        <f t="shared" si="2"/>
        <v>0</v>
      </c>
    </row>
    <row r="182" spans="1:10" x14ac:dyDescent="0.2">
      <c r="A182" s="4">
        <v>174</v>
      </c>
      <c r="B182" s="77"/>
      <c r="C182" s="5"/>
      <c r="D182" s="5"/>
      <c r="E182" s="6"/>
      <c r="F182" s="7"/>
      <c r="G182" s="41"/>
      <c r="H182" s="6"/>
      <c r="I182" s="41"/>
      <c r="J182" s="41" t="b">
        <f t="shared" si="2"/>
        <v>0</v>
      </c>
    </row>
    <row r="183" spans="1:10" x14ac:dyDescent="0.2">
      <c r="A183" s="4">
        <v>175</v>
      </c>
      <c r="B183" s="77"/>
      <c r="C183" s="5"/>
      <c r="D183" s="5"/>
      <c r="E183" s="6"/>
      <c r="F183" s="7"/>
      <c r="G183" s="41"/>
      <c r="H183" s="6"/>
      <c r="I183" s="41"/>
      <c r="J183" s="41" t="b">
        <f t="shared" si="2"/>
        <v>0</v>
      </c>
    </row>
    <row r="184" spans="1:10" x14ac:dyDescent="0.2">
      <c r="A184" s="4">
        <v>176</v>
      </c>
      <c r="B184" s="77"/>
      <c r="C184" s="5"/>
      <c r="D184" s="5"/>
      <c r="E184" s="6"/>
      <c r="F184" s="7"/>
      <c r="G184" s="41"/>
      <c r="H184" s="6"/>
      <c r="I184" s="41"/>
      <c r="J184" s="41" t="b">
        <f t="shared" si="2"/>
        <v>0</v>
      </c>
    </row>
    <row r="185" spans="1:10" x14ac:dyDescent="0.2">
      <c r="A185" s="4">
        <v>177</v>
      </c>
      <c r="B185" s="77"/>
      <c r="C185" s="5"/>
      <c r="D185" s="5"/>
      <c r="E185" s="6"/>
      <c r="F185" s="7"/>
      <c r="G185" s="41"/>
      <c r="H185" s="6"/>
      <c r="I185" s="41"/>
      <c r="J185" s="41" t="b">
        <f t="shared" si="2"/>
        <v>0</v>
      </c>
    </row>
    <row r="186" spans="1:10" x14ac:dyDescent="0.2">
      <c r="A186" s="4">
        <v>178</v>
      </c>
      <c r="B186" s="77"/>
      <c r="C186" s="5"/>
      <c r="D186" s="5"/>
      <c r="E186" s="6"/>
      <c r="F186" s="7"/>
      <c r="G186" s="41"/>
      <c r="H186" s="6"/>
      <c r="I186" s="41"/>
      <c r="J186" s="41" t="b">
        <f t="shared" si="2"/>
        <v>0</v>
      </c>
    </row>
    <row r="187" spans="1:10" x14ac:dyDescent="0.2">
      <c r="A187" s="4">
        <v>179</v>
      </c>
      <c r="B187" s="77"/>
      <c r="C187" s="5"/>
      <c r="D187" s="5"/>
      <c r="E187" s="6"/>
      <c r="F187" s="7"/>
      <c r="G187" s="41"/>
      <c r="H187" s="6"/>
      <c r="I187" s="41"/>
      <c r="J187" s="41" t="b">
        <f t="shared" si="2"/>
        <v>0</v>
      </c>
    </row>
    <row r="188" spans="1:10" x14ac:dyDescent="0.2">
      <c r="A188" s="4">
        <v>180</v>
      </c>
      <c r="B188" s="77"/>
      <c r="C188" s="5"/>
      <c r="D188" s="5"/>
      <c r="E188" s="6"/>
      <c r="F188" s="7"/>
      <c r="G188" s="41"/>
      <c r="H188" s="6"/>
      <c r="I188" s="41"/>
      <c r="J188" s="41" t="b">
        <f t="shared" si="2"/>
        <v>0</v>
      </c>
    </row>
    <row r="189" spans="1:10" x14ac:dyDescent="0.2">
      <c r="A189" s="4">
        <v>181</v>
      </c>
      <c r="B189" s="77"/>
      <c r="C189" s="5"/>
      <c r="D189" s="5"/>
      <c r="E189" s="6"/>
      <c r="F189" s="7"/>
      <c r="G189" s="41"/>
      <c r="H189" s="6"/>
      <c r="I189" s="41"/>
      <c r="J189" s="41" t="b">
        <f t="shared" si="2"/>
        <v>0</v>
      </c>
    </row>
    <row r="190" spans="1:10" x14ac:dyDescent="0.2">
      <c r="A190" s="4">
        <v>182</v>
      </c>
      <c r="B190" s="77"/>
      <c r="C190" s="5"/>
      <c r="D190" s="5"/>
      <c r="E190" s="6"/>
      <c r="F190" s="7"/>
      <c r="G190" s="41"/>
      <c r="H190" s="6"/>
      <c r="I190" s="41"/>
      <c r="J190" s="41" t="b">
        <f t="shared" si="2"/>
        <v>0</v>
      </c>
    </row>
    <row r="191" spans="1:10" x14ac:dyDescent="0.2">
      <c r="A191" s="4">
        <v>183</v>
      </c>
      <c r="B191" s="77"/>
      <c r="C191" s="5"/>
      <c r="D191" s="5"/>
      <c r="E191" s="6"/>
      <c r="F191" s="7"/>
      <c r="G191" s="41"/>
      <c r="H191" s="6"/>
      <c r="I191" s="41"/>
      <c r="J191" s="41" t="b">
        <f t="shared" si="2"/>
        <v>0</v>
      </c>
    </row>
    <row r="192" spans="1:10" x14ac:dyDescent="0.2">
      <c r="A192" s="4">
        <v>184</v>
      </c>
      <c r="B192" s="77"/>
      <c r="C192" s="5"/>
      <c r="D192" s="5"/>
      <c r="E192" s="6"/>
      <c r="F192" s="7"/>
      <c r="G192" s="41"/>
      <c r="H192" s="6"/>
      <c r="I192" s="41"/>
      <c r="J192" s="41" t="b">
        <f t="shared" si="2"/>
        <v>0</v>
      </c>
    </row>
    <row r="193" spans="1:10" x14ac:dyDescent="0.2">
      <c r="A193" s="4">
        <v>185</v>
      </c>
      <c r="B193" s="77"/>
      <c r="C193" s="5"/>
      <c r="D193" s="5"/>
      <c r="E193" s="6"/>
      <c r="F193" s="7"/>
      <c r="G193" s="41"/>
      <c r="H193" s="6"/>
      <c r="I193" s="41"/>
      <c r="J193" s="41" t="b">
        <f t="shared" si="2"/>
        <v>0</v>
      </c>
    </row>
    <row r="194" spans="1:10" x14ac:dyDescent="0.2">
      <c r="A194" s="4">
        <v>186</v>
      </c>
      <c r="B194" s="77"/>
      <c r="C194" s="5"/>
      <c r="D194" s="5"/>
      <c r="E194" s="6"/>
      <c r="F194" s="7"/>
      <c r="G194" s="41"/>
      <c r="H194" s="6"/>
      <c r="I194" s="41"/>
      <c r="J194" s="41" t="b">
        <f t="shared" si="2"/>
        <v>0</v>
      </c>
    </row>
    <row r="195" spans="1:10" x14ac:dyDescent="0.2">
      <c r="A195" s="4">
        <v>187</v>
      </c>
      <c r="B195" s="77"/>
      <c r="C195" s="5"/>
      <c r="D195" s="5"/>
      <c r="E195" s="6"/>
      <c r="F195" s="7"/>
      <c r="G195" s="41"/>
      <c r="H195" s="6"/>
      <c r="I195" s="41"/>
      <c r="J195" s="41" t="b">
        <f t="shared" si="2"/>
        <v>0</v>
      </c>
    </row>
    <row r="196" spans="1:10" x14ac:dyDescent="0.2">
      <c r="A196" s="4">
        <v>188</v>
      </c>
      <c r="B196" s="77"/>
      <c r="C196" s="5"/>
      <c r="D196" s="5"/>
      <c r="E196" s="6"/>
      <c r="F196" s="7"/>
      <c r="G196" s="41"/>
      <c r="H196" s="6"/>
      <c r="I196" s="41"/>
      <c r="J196" s="41" t="b">
        <f t="shared" si="2"/>
        <v>0</v>
      </c>
    </row>
    <row r="197" spans="1:10" x14ac:dyDescent="0.2">
      <c r="A197" s="4">
        <v>189</v>
      </c>
      <c r="B197" s="77"/>
      <c r="C197" s="5"/>
      <c r="D197" s="5"/>
      <c r="E197" s="6"/>
      <c r="F197" s="7"/>
      <c r="G197" s="41"/>
      <c r="H197" s="6"/>
      <c r="I197" s="41"/>
      <c r="J197" s="41" t="b">
        <f t="shared" si="2"/>
        <v>0</v>
      </c>
    </row>
    <row r="198" spans="1:10" x14ac:dyDescent="0.2">
      <c r="A198" s="4">
        <v>190</v>
      </c>
      <c r="B198" s="77"/>
      <c r="C198" s="5"/>
      <c r="D198" s="5"/>
      <c r="E198" s="6"/>
      <c r="F198" s="7"/>
      <c r="G198" s="41"/>
      <c r="H198" s="6"/>
      <c r="I198" s="41"/>
      <c r="J198" s="41" t="b">
        <f t="shared" si="2"/>
        <v>0</v>
      </c>
    </row>
    <row r="199" spans="1:10" x14ac:dyDescent="0.2">
      <c r="A199" s="4">
        <v>191</v>
      </c>
      <c r="B199" s="77"/>
      <c r="C199" s="5"/>
      <c r="D199" s="5"/>
      <c r="E199" s="6"/>
      <c r="F199" s="7"/>
      <c r="G199" s="41"/>
      <c r="H199" s="6"/>
      <c r="I199" s="41"/>
      <c r="J199" s="41" t="b">
        <f t="shared" si="2"/>
        <v>0</v>
      </c>
    </row>
    <row r="200" spans="1:10" x14ac:dyDescent="0.2">
      <c r="A200" s="4">
        <v>192</v>
      </c>
      <c r="B200" s="77"/>
      <c r="C200" s="5"/>
      <c r="D200" s="5"/>
      <c r="E200" s="6"/>
      <c r="F200" s="7"/>
      <c r="G200" s="41"/>
      <c r="H200" s="6"/>
      <c r="I200" s="41"/>
      <c r="J200" s="41" t="b">
        <f t="shared" si="2"/>
        <v>0</v>
      </c>
    </row>
    <row r="201" spans="1:10" x14ac:dyDescent="0.2">
      <c r="A201" s="4">
        <v>193</v>
      </c>
      <c r="B201" s="77"/>
      <c r="C201" s="5"/>
      <c r="D201" s="5"/>
      <c r="E201" s="6"/>
      <c r="F201" s="7"/>
      <c r="G201" s="41"/>
      <c r="H201" s="6"/>
      <c r="I201" s="41"/>
      <c r="J201" s="41" t="b">
        <f t="shared" si="2"/>
        <v>0</v>
      </c>
    </row>
    <row r="202" spans="1:10" x14ac:dyDescent="0.2">
      <c r="A202" s="4">
        <v>194</v>
      </c>
      <c r="B202" s="77"/>
      <c r="C202" s="5"/>
      <c r="D202" s="5"/>
      <c r="E202" s="6"/>
      <c r="F202" s="7"/>
      <c r="G202" s="41"/>
      <c r="H202" s="6"/>
      <c r="I202" s="41"/>
      <c r="J202" s="41" t="b">
        <f t="shared" ref="J202:J208" si="3">IF(H202=$M$3,G202,IF(H202=$M$4,-I202))</f>
        <v>0</v>
      </c>
    </row>
    <row r="203" spans="1:10" x14ac:dyDescent="0.2">
      <c r="A203" s="4">
        <v>195</v>
      </c>
      <c r="B203" s="77"/>
      <c r="C203" s="5"/>
      <c r="D203" s="5"/>
      <c r="E203" s="6"/>
      <c r="F203" s="7"/>
      <c r="G203" s="41"/>
      <c r="H203" s="6"/>
      <c r="I203" s="41"/>
      <c r="J203" s="41" t="b">
        <f t="shared" si="3"/>
        <v>0</v>
      </c>
    </row>
    <row r="204" spans="1:10" x14ac:dyDescent="0.2">
      <c r="A204" s="4">
        <v>196</v>
      </c>
      <c r="B204" s="77"/>
      <c r="C204" s="5"/>
      <c r="D204" s="5"/>
      <c r="E204" s="6"/>
      <c r="F204" s="7"/>
      <c r="G204" s="41"/>
      <c r="H204" s="6"/>
      <c r="I204" s="41"/>
      <c r="J204" s="41" t="b">
        <f t="shared" si="3"/>
        <v>0</v>
      </c>
    </row>
    <row r="205" spans="1:10" x14ac:dyDescent="0.2">
      <c r="A205" s="4">
        <v>197</v>
      </c>
      <c r="B205" s="77"/>
      <c r="C205" s="5"/>
      <c r="D205" s="5"/>
      <c r="E205" s="6"/>
      <c r="F205" s="7"/>
      <c r="G205" s="41"/>
      <c r="H205" s="6"/>
      <c r="I205" s="41"/>
      <c r="J205" s="41" t="b">
        <f t="shared" si="3"/>
        <v>0</v>
      </c>
    </row>
    <row r="206" spans="1:10" x14ac:dyDescent="0.2">
      <c r="A206" s="4">
        <v>198</v>
      </c>
      <c r="B206" s="77"/>
      <c r="C206" s="5"/>
      <c r="D206" s="5"/>
      <c r="E206" s="6"/>
      <c r="F206" s="7"/>
      <c r="G206" s="41"/>
      <c r="H206" s="6"/>
      <c r="I206" s="41"/>
      <c r="J206" s="41" t="b">
        <f t="shared" si="3"/>
        <v>0</v>
      </c>
    </row>
    <row r="207" spans="1:10" x14ac:dyDescent="0.2">
      <c r="A207" s="4">
        <v>199</v>
      </c>
      <c r="B207" s="77"/>
      <c r="C207" s="5"/>
      <c r="D207" s="5"/>
      <c r="E207" s="6"/>
      <c r="F207" s="7"/>
      <c r="G207" s="41"/>
      <c r="H207" s="6"/>
      <c r="I207" s="41"/>
      <c r="J207" s="41" t="b">
        <f t="shared" si="3"/>
        <v>0</v>
      </c>
    </row>
    <row r="208" spans="1:10" x14ac:dyDescent="0.2">
      <c r="A208" s="4">
        <v>200</v>
      </c>
      <c r="B208" s="77"/>
      <c r="C208" s="5"/>
      <c r="D208" s="5"/>
      <c r="E208" s="6"/>
      <c r="F208" s="7"/>
      <c r="G208" s="41"/>
      <c r="H208" s="6"/>
      <c r="I208" s="41"/>
      <c r="J208" s="41" t="b">
        <f t="shared" si="3"/>
        <v>0</v>
      </c>
    </row>
  </sheetData>
  <autoFilter ref="A8:J208" xr:uid="{00000000-0009-0000-0000-000009000000}"/>
  <mergeCells count="2">
    <mergeCell ref="A1:E1"/>
    <mergeCell ref="I1:J1"/>
  </mergeCells>
  <conditionalFormatting sqref="J8:J1048576">
    <cfRule type="cellIs" dxfId="173" priority="3" operator="equal">
      <formula>"ERROR"</formula>
    </cfRule>
  </conditionalFormatting>
  <conditionalFormatting sqref="D4">
    <cfRule type="cellIs" dxfId="172" priority="1" operator="lessThanOrEqual">
      <formula>0</formula>
    </cfRule>
    <cfRule type="cellIs" dxfId="171" priority="2" operator="greaterThan">
      <formula>0</formula>
    </cfRule>
  </conditionalFormatting>
  <dataValidations count="2">
    <dataValidation type="list" allowBlank="1" showInputMessage="1" showErrorMessage="1" sqref="H9:H1048576" xr:uid="{5D51B165-A8FE-8042-B597-6845A2D0EE98}">
      <formula1>$M$3:$M$4</formula1>
    </dataValidation>
    <dataValidation type="list" allowBlank="1" showInputMessage="1" showErrorMessage="1" sqref="C10:C1048576" xr:uid="{933147E4-F450-0348-833D-FDA732246482}">
      <formula1>$P$3:$P$5</formula1>
    </dataValidation>
  </dataValidations>
  <hyperlinks>
    <hyperlink ref="I1:J1" location="'Master Sheet'!A1" display="GO BACK TO MASTER SHEET" xr:uid="{08CB578E-DCEF-714F-9721-AAB87EDADC6D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82205784-5D6C-7A42-AB8B-51C660A8CD9D}">
          <x14:formula1>
            <xm:f>'Master Sheet'!$AE$5:$AE$28</xm:f>
          </x14:formula1>
          <xm:sqref>E9:E1048576</xm:sqref>
        </x14:dataValidation>
        <x14:dataValidation type="list" allowBlank="1" showInputMessage="1" showErrorMessage="1" xr:uid="{12DB07EE-8432-BA4F-86B6-F2FFF70C5E84}">
          <x14:formula1>
            <xm:f>'Master Sheet'!$AT$5:$AT$59</xm:f>
          </x14:formula1>
          <xm:sqref>C9:D9 D10:D1048576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DC07C-42B4-8346-B1F5-F635E6529E07}">
  <sheetPr codeName="Sheet6"/>
  <dimension ref="A1:P208"/>
  <sheetViews>
    <sheetView showGridLines="0" zoomScale="90" workbookViewId="0">
      <pane ySplit="8" topLeftCell="A9" activePane="bottomLeft" state="frozen"/>
      <selection pane="bottomLeft" activeCell="C4" sqref="C4:D4"/>
    </sheetView>
  </sheetViews>
  <sheetFormatPr baseColWidth="10" defaultColWidth="8.83203125" defaultRowHeight="15" x14ac:dyDescent="0.2"/>
  <cols>
    <col min="1" max="1" width="10" customWidth="1"/>
    <col min="2" max="4" width="12" customWidth="1"/>
    <col min="5" max="6" width="13" customWidth="1"/>
    <col min="7" max="7" width="13" style="42" customWidth="1"/>
    <col min="8" max="8" width="23.83203125" bestFit="1" customWidth="1"/>
    <col min="9" max="9" width="14.6640625" style="42" bestFit="1" customWidth="1"/>
    <col min="10" max="10" width="16" style="42" customWidth="1"/>
  </cols>
  <sheetData>
    <row r="1" spans="1:16" ht="24" customHeight="1" x14ac:dyDescent="0.2">
      <c r="A1" s="86" t="str">
        <f ca="1">VLOOKUP(A2,'Master Sheet'!O5:P6,2)</f>
        <v>Pehlwaan Transporter</v>
      </c>
      <c r="B1" s="86"/>
      <c r="C1" s="86"/>
      <c r="D1" s="86"/>
      <c r="E1" s="86"/>
      <c r="F1" s="49"/>
      <c r="G1" s="49"/>
      <c r="I1" s="87" t="s">
        <v>202</v>
      </c>
      <c r="J1" s="87"/>
    </row>
    <row r="2" spans="1:16" ht="20" thickBot="1" x14ac:dyDescent="0.3">
      <c r="A2" s="48" t="str" cm="1">
        <f t="array" aca="1" ref="A2" ca="1">MID(CELL("filename",A1),FIND("]",CELL("filename",A1))+1,99)</f>
        <v>T002</v>
      </c>
      <c r="G2"/>
      <c r="I2"/>
      <c r="J2"/>
    </row>
    <row r="3" spans="1:16" ht="16" thickBot="1" x14ac:dyDescent="0.25">
      <c r="A3" s="3"/>
      <c r="G3"/>
      <c r="I3"/>
      <c r="J3"/>
      <c r="M3" s="43" t="s">
        <v>197</v>
      </c>
      <c r="N3" s="44"/>
      <c r="P3" s="19" t="s">
        <v>208</v>
      </c>
    </row>
    <row r="4" spans="1:16" ht="16" thickBot="1" x14ac:dyDescent="0.25">
      <c r="A4" s="3"/>
      <c r="C4" s="20" t="s">
        <v>201</v>
      </c>
      <c r="D4" s="51">
        <f>SUM(J9:J1048576)</f>
        <v>0</v>
      </c>
      <c r="G4"/>
      <c r="I4"/>
      <c r="J4"/>
      <c r="M4" s="30" t="s">
        <v>198</v>
      </c>
      <c r="N4" s="45"/>
      <c r="P4" s="18" t="s">
        <v>209</v>
      </c>
    </row>
    <row r="5" spans="1:16" ht="16" thickBot="1" x14ac:dyDescent="0.25">
      <c r="A5" s="3"/>
      <c r="G5"/>
      <c r="I5"/>
      <c r="J5"/>
      <c r="P5" s="9" t="s">
        <v>210</v>
      </c>
    </row>
    <row r="6" spans="1:16" x14ac:dyDescent="0.2">
      <c r="A6" s="3"/>
      <c r="G6"/>
      <c r="I6"/>
      <c r="J6"/>
    </row>
    <row r="7" spans="1:16" x14ac:dyDescent="0.2">
      <c r="A7" s="3"/>
      <c r="G7"/>
      <c r="I7"/>
      <c r="J7"/>
    </row>
    <row r="8" spans="1:16" ht="36" customHeight="1" x14ac:dyDescent="0.2">
      <c r="A8" s="1" t="s">
        <v>70</v>
      </c>
      <c r="B8" s="1" t="s">
        <v>71</v>
      </c>
      <c r="C8" s="1" t="s">
        <v>205</v>
      </c>
      <c r="D8" s="1" t="s">
        <v>206</v>
      </c>
      <c r="E8" s="1" t="s">
        <v>78</v>
      </c>
      <c r="F8" s="1" t="s">
        <v>74</v>
      </c>
      <c r="G8" s="1" t="s">
        <v>207</v>
      </c>
      <c r="H8" s="1" t="s">
        <v>81</v>
      </c>
      <c r="I8" s="1" t="s">
        <v>211</v>
      </c>
      <c r="J8" s="1" t="s">
        <v>196</v>
      </c>
    </row>
    <row r="9" spans="1:16" x14ac:dyDescent="0.2">
      <c r="A9" s="4">
        <v>1</v>
      </c>
      <c r="B9" s="5"/>
      <c r="C9" s="5"/>
      <c r="D9" s="5"/>
      <c r="E9" s="6"/>
      <c r="F9" s="7"/>
      <c r="G9" s="41"/>
      <c r="H9" s="6"/>
      <c r="I9" s="41"/>
      <c r="J9" s="41" t="b">
        <f>IF(H9=$M$3,G9,IF(H9=$M$4,-I9))</f>
        <v>0</v>
      </c>
    </row>
    <row r="10" spans="1:16" x14ac:dyDescent="0.2">
      <c r="A10" s="4">
        <v>2</v>
      </c>
      <c r="B10" s="5"/>
      <c r="C10" s="5"/>
      <c r="D10" s="5"/>
      <c r="E10" s="6"/>
      <c r="F10" s="7"/>
      <c r="G10" s="41"/>
      <c r="H10" s="6"/>
      <c r="I10" s="41"/>
      <c r="J10" s="41" t="b">
        <f t="shared" ref="J10:J73" si="0">IF(H10=$M$3,G10,IF(H10=$M$4,-I10))</f>
        <v>0</v>
      </c>
    </row>
    <row r="11" spans="1:16" x14ac:dyDescent="0.2">
      <c r="A11" s="4">
        <v>3</v>
      </c>
      <c r="B11" s="5"/>
      <c r="C11" s="5"/>
      <c r="D11" s="5"/>
      <c r="E11" s="6"/>
      <c r="F11" s="7"/>
      <c r="G11" s="41"/>
      <c r="H11" s="6"/>
      <c r="I11" s="41"/>
      <c r="J11" s="41" t="b">
        <f t="shared" si="0"/>
        <v>0</v>
      </c>
    </row>
    <row r="12" spans="1:16" x14ac:dyDescent="0.2">
      <c r="A12" s="4">
        <v>4</v>
      </c>
      <c r="B12" s="5"/>
      <c r="C12" s="5"/>
      <c r="D12" s="5"/>
      <c r="E12" s="6"/>
      <c r="F12" s="7"/>
      <c r="G12" s="41"/>
      <c r="H12" s="6"/>
      <c r="I12" s="41"/>
      <c r="J12" s="41" t="b">
        <f t="shared" si="0"/>
        <v>0</v>
      </c>
    </row>
    <row r="13" spans="1:16" x14ac:dyDescent="0.2">
      <c r="A13" s="4">
        <v>5</v>
      </c>
      <c r="B13" s="5"/>
      <c r="C13" s="5"/>
      <c r="D13" s="5"/>
      <c r="E13" s="6"/>
      <c r="F13" s="7"/>
      <c r="G13" s="41"/>
      <c r="H13" s="6"/>
      <c r="I13" s="41"/>
      <c r="J13" s="41" t="b">
        <f t="shared" si="0"/>
        <v>0</v>
      </c>
    </row>
    <row r="14" spans="1:16" x14ac:dyDescent="0.2">
      <c r="A14" s="4">
        <v>6</v>
      </c>
      <c r="B14" s="5"/>
      <c r="C14" s="5"/>
      <c r="D14" s="5"/>
      <c r="E14" s="6"/>
      <c r="F14" s="7"/>
      <c r="G14" s="41"/>
      <c r="H14" s="6"/>
      <c r="I14" s="41"/>
      <c r="J14" s="41" t="b">
        <f t="shared" si="0"/>
        <v>0</v>
      </c>
    </row>
    <row r="15" spans="1:16" x14ac:dyDescent="0.2">
      <c r="A15" s="4">
        <v>7</v>
      </c>
      <c r="B15" s="5"/>
      <c r="C15" s="5"/>
      <c r="D15" s="5"/>
      <c r="E15" s="6"/>
      <c r="F15" s="7"/>
      <c r="G15" s="41"/>
      <c r="H15" s="6"/>
      <c r="I15" s="41"/>
      <c r="J15" s="41" t="b">
        <f t="shared" si="0"/>
        <v>0</v>
      </c>
    </row>
    <row r="16" spans="1:16" x14ac:dyDescent="0.2">
      <c r="A16" s="4">
        <v>8</v>
      </c>
      <c r="B16" s="5"/>
      <c r="C16" s="5"/>
      <c r="D16" s="5"/>
      <c r="E16" s="6"/>
      <c r="F16" s="7"/>
      <c r="G16" s="41"/>
      <c r="H16" s="6"/>
      <c r="I16" s="41"/>
      <c r="J16" s="41" t="b">
        <f t="shared" si="0"/>
        <v>0</v>
      </c>
    </row>
    <row r="17" spans="1:10" x14ac:dyDescent="0.2">
      <c r="A17" s="4">
        <v>9</v>
      </c>
      <c r="B17" s="5"/>
      <c r="C17" s="5"/>
      <c r="D17" s="5"/>
      <c r="E17" s="6"/>
      <c r="F17" s="7"/>
      <c r="G17" s="41"/>
      <c r="H17" s="6"/>
      <c r="I17" s="41"/>
      <c r="J17" s="41" t="b">
        <f t="shared" si="0"/>
        <v>0</v>
      </c>
    </row>
    <row r="18" spans="1:10" x14ac:dyDescent="0.2">
      <c r="A18" s="4">
        <v>10</v>
      </c>
      <c r="B18" s="5"/>
      <c r="C18" s="5"/>
      <c r="D18" s="5"/>
      <c r="E18" s="6"/>
      <c r="F18" s="7"/>
      <c r="G18" s="41"/>
      <c r="H18" s="6"/>
      <c r="I18" s="41"/>
      <c r="J18" s="41" t="b">
        <f t="shared" si="0"/>
        <v>0</v>
      </c>
    </row>
    <row r="19" spans="1:10" x14ac:dyDescent="0.2">
      <c r="A19" s="4">
        <v>11</v>
      </c>
      <c r="B19" s="5"/>
      <c r="C19" s="5"/>
      <c r="D19" s="5"/>
      <c r="E19" s="6"/>
      <c r="F19" s="7"/>
      <c r="G19" s="41"/>
      <c r="H19" s="6"/>
      <c r="I19" s="41"/>
      <c r="J19" s="41" t="b">
        <f t="shared" si="0"/>
        <v>0</v>
      </c>
    </row>
    <row r="20" spans="1:10" x14ac:dyDescent="0.2">
      <c r="A20" s="4">
        <v>12</v>
      </c>
      <c r="B20" s="5"/>
      <c r="C20" s="5"/>
      <c r="D20" s="5"/>
      <c r="E20" s="6"/>
      <c r="F20" s="7"/>
      <c r="G20" s="41"/>
      <c r="H20" s="6"/>
      <c r="I20" s="41"/>
      <c r="J20" s="41" t="b">
        <f t="shared" si="0"/>
        <v>0</v>
      </c>
    </row>
    <row r="21" spans="1:10" x14ac:dyDescent="0.2">
      <c r="A21" s="4">
        <v>13</v>
      </c>
      <c r="B21" s="5"/>
      <c r="C21" s="5"/>
      <c r="D21" s="5"/>
      <c r="E21" s="6"/>
      <c r="F21" s="7"/>
      <c r="G21" s="41"/>
      <c r="H21" s="6"/>
      <c r="I21" s="41"/>
      <c r="J21" s="41" t="b">
        <f t="shared" si="0"/>
        <v>0</v>
      </c>
    </row>
    <row r="22" spans="1:10" x14ac:dyDescent="0.2">
      <c r="A22" s="4">
        <v>14</v>
      </c>
      <c r="B22" s="5"/>
      <c r="C22" s="5"/>
      <c r="D22" s="5"/>
      <c r="E22" s="6"/>
      <c r="F22" s="7"/>
      <c r="G22" s="41"/>
      <c r="H22" s="6"/>
      <c r="I22" s="41"/>
      <c r="J22" s="41" t="b">
        <f t="shared" si="0"/>
        <v>0</v>
      </c>
    </row>
    <row r="23" spans="1:10" x14ac:dyDescent="0.2">
      <c r="A23" s="4">
        <v>15</v>
      </c>
      <c r="B23" s="5"/>
      <c r="C23" s="5"/>
      <c r="D23" s="5"/>
      <c r="E23" s="6"/>
      <c r="F23" s="7"/>
      <c r="G23" s="41"/>
      <c r="H23" s="6"/>
      <c r="I23" s="41"/>
      <c r="J23" s="41" t="b">
        <f t="shared" si="0"/>
        <v>0</v>
      </c>
    </row>
    <row r="24" spans="1:10" x14ac:dyDescent="0.2">
      <c r="A24" s="4">
        <v>16</v>
      </c>
      <c r="B24" s="5"/>
      <c r="C24" s="5"/>
      <c r="D24" s="5"/>
      <c r="E24" s="6"/>
      <c r="F24" s="7"/>
      <c r="G24" s="41"/>
      <c r="H24" s="6"/>
      <c r="I24" s="41"/>
      <c r="J24" s="41" t="b">
        <f t="shared" si="0"/>
        <v>0</v>
      </c>
    </row>
    <row r="25" spans="1:10" x14ac:dyDescent="0.2">
      <c r="A25" s="4">
        <v>17</v>
      </c>
      <c r="B25" s="5"/>
      <c r="C25" s="5"/>
      <c r="D25" s="5"/>
      <c r="E25" s="6"/>
      <c r="F25" s="7"/>
      <c r="G25" s="41"/>
      <c r="H25" s="6"/>
      <c r="I25" s="41"/>
      <c r="J25" s="41" t="b">
        <f t="shared" si="0"/>
        <v>0</v>
      </c>
    </row>
    <row r="26" spans="1:10" x14ac:dyDescent="0.2">
      <c r="A26" s="4">
        <v>18</v>
      </c>
      <c r="B26" s="5"/>
      <c r="C26" s="5"/>
      <c r="D26" s="5"/>
      <c r="E26" s="6"/>
      <c r="F26" s="7"/>
      <c r="G26" s="41"/>
      <c r="H26" s="6"/>
      <c r="I26" s="41"/>
      <c r="J26" s="41" t="b">
        <f t="shared" si="0"/>
        <v>0</v>
      </c>
    </row>
    <row r="27" spans="1:10" x14ac:dyDescent="0.2">
      <c r="A27" s="4">
        <v>19</v>
      </c>
      <c r="B27" s="5"/>
      <c r="C27" s="5"/>
      <c r="D27" s="5"/>
      <c r="E27" s="6"/>
      <c r="F27" s="7"/>
      <c r="G27" s="41"/>
      <c r="H27" s="6"/>
      <c r="I27" s="41"/>
      <c r="J27" s="41" t="b">
        <f t="shared" si="0"/>
        <v>0</v>
      </c>
    </row>
    <row r="28" spans="1:10" x14ac:dyDescent="0.2">
      <c r="A28" s="4">
        <v>20</v>
      </c>
      <c r="B28" s="5"/>
      <c r="C28" s="5"/>
      <c r="D28" s="5"/>
      <c r="E28" s="6"/>
      <c r="F28" s="7"/>
      <c r="G28" s="41"/>
      <c r="H28" s="6"/>
      <c r="I28" s="41"/>
      <c r="J28" s="41" t="b">
        <f t="shared" si="0"/>
        <v>0</v>
      </c>
    </row>
    <row r="29" spans="1:10" x14ac:dyDescent="0.2">
      <c r="A29" s="4">
        <v>21</v>
      </c>
      <c r="B29" s="5"/>
      <c r="C29" s="5"/>
      <c r="D29" s="5"/>
      <c r="E29" s="6"/>
      <c r="F29" s="7"/>
      <c r="G29" s="41"/>
      <c r="H29" s="6"/>
      <c r="I29" s="41"/>
      <c r="J29" s="41" t="b">
        <f t="shared" si="0"/>
        <v>0</v>
      </c>
    </row>
    <row r="30" spans="1:10" x14ac:dyDescent="0.2">
      <c r="A30" s="4">
        <v>22</v>
      </c>
      <c r="B30" s="5"/>
      <c r="C30" s="5"/>
      <c r="D30" s="5"/>
      <c r="E30" s="6"/>
      <c r="F30" s="7"/>
      <c r="G30" s="41"/>
      <c r="H30" s="6"/>
      <c r="I30" s="41"/>
      <c r="J30" s="41" t="b">
        <f t="shared" si="0"/>
        <v>0</v>
      </c>
    </row>
    <row r="31" spans="1:10" x14ac:dyDescent="0.2">
      <c r="A31" s="4">
        <v>23</v>
      </c>
      <c r="B31" s="5"/>
      <c r="C31" s="5"/>
      <c r="D31" s="5"/>
      <c r="E31" s="6"/>
      <c r="F31" s="7"/>
      <c r="G31" s="41"/>
      <c r="H31" s="6"/>
      <c r="I31" s="41"/>
      <c r="J31" s="41" t="b">
        <f t="shared" si="0"/>
        <v>0</v>
      </c>
    </row>
    <row r="32" spans="1:10" x14ac:dyDescent="0.2">
      <c r="A32" s="4">
        <v>24</v>
      </c>
      <c r="B32" s="5"/>
      <c r="C32" s="5"/>
      <c r="D32" s="5"/>
      <c r="E32" s="6"/>
      <c r="F32" s="7"/>
      <c r="G32" s="41"/>
      <c r="H32" s="6"/>
      <c r="I32" s="41"/>
      <c r="J32" s="41" t="b">
        <f t="shared" si="0"/>
        <v>0</v>
      </c>
    </row>
    <row r="33" spans="1:10" x14ac:dyDescent="0.2">
      <c r="A33" s="4">
        <v>25</v>
      </c>
      <c r="B33" s="5"/>
      <c r="C33" s="5"/>
      <c r="D33" s="5"/>
      <c r="E33" s="6"/>
      <c r="F33" s="7"/>
      <c r="G33" s="41"/>
      <c r="H33" s="6"/>
      <c r="I33" s="41"/>
      <c r="J33" s="41" t="b">
        <f t="shared" si="0"/>
        <v>0</v>
      </c>
    </row>
    <row r="34" spans="1:10" x14ac:dyDescent="0.2">
      <c r="A34" s="4">
        <v>26</v>
      </c>
      <c r="B34" s="5"/>
      <c r="C34" s="5"/>
      <c r="D34" s="5"/>
      <c r="E34" s="6"/>
      <c r="F34" s="7"/>
      <c r="G34" s="41"/>
      <c r="H34" s="6"/>
      <c r="I34" s="41"/>
      <c r="J34" s="41" t="b">
        <f t="shared" si="0"/>
        <v>0</v>
      </c>
    </row>
    <row r="35" spans="1:10" x14ac:dyDescent="0.2">
      <c r="A35" s="4">
        <v>27</v>
      </c>
      <c r="B35" s="5"/>
      <c r="C35" s="5"/>
      <c r="D35" s="5"/>
      <c r="E35" s="6"/>
      <c r="F35" s="7"/>
      <c r="G35" s="41"/>
      <c r="H35" s="6"/>
      <c r="I35" s="41"/>
      <c r="J35" s="41" t="b">
        <f t="shared" si="0"/>
        <v>0</v>
      </c>
    </row>
    <row r="36" spans="1:10" x14ac:dyDescent="0.2">
      <c r="A36" s="4">
        <v>28</v>
      </c>
      <c r="B36" s="5"/>
      <c r="C36" s="5"/>
      <c r="D36" s="5"/>
      <c r="E36" s="6"/>
      <c r="F36" s="7"/>
      <c r="G36" s="41"/>
      <c r="H36" s="6"/>
      <c r="I36" s="41"/>
      <c r="J36" s="41" t="b">
        <f t="shared" si="0"/>
        <v>0</v>
      </c>
    </row>
    <row r="37" spans="1:10" x14ac:dyDescent="0.2">
      <c r="A37" s="4">
        <v>29</v>
      </c>
      <c r="B37" s="5"/>
      <c r="C37" s="5"/>
      <c r="D37" s="5"/>
      <c r="E37" s="6"/>
      <c r="F37" s="7"/>
      <c r="G37" s="41"/>
      <c r="H37" s="6"/>
      <c r="I37" s="41"/>
      <c r="J37" s="41" t="b">
        <f t="shared" si="0"/>
        <v>0</v>
      </c>
    </row>
    <row r="38" spans="1:10" x14ac:dyDescent="0.2">
      <c r="A38" s="4">
        <v>30</v>
      </c>
      <c r="B38" s="5"/>
      <c r="C38" s="5"/>
      <c r="D38" s="5"/>
      <c r="E38" s="6"/>
      <c r="F38" s="7"/>
      <c r="G38" s="41"/>
      <c r="H38" s="6"/>
      <c r="I38" s="41"/>
      <c r="J38" s="41" t="b">
        <f t="shared" si="0"/>
        <v>0</v>
      </c>
    </row>
    <row r="39" spans="1:10" x14ac:dyDescent="0.2">
      <c r="A39" s="4">
        <v>31</v>
      </c>
      <c r="B39" s="5"/>
      <c r="C39" s="5"/>
      <c r="D39" s="5"/>
      <c r="E39" s="6"/>
      <c r="F39" s="7"/>
      <c r="G39" s="41"/>
      <c r="H39" s="6"/>
      <c r="I39" s="41"/>
      <c r="J39" s="41" t="b">
        <f t="shared" si="0"/>
        <v>0</v>
      </c>
    </row>
    <row r="40" spans="1:10" x14ac:dyDescent="0.2">
      <c r="A40" s="4">
        <v>32</v>
      </c>
      <c r="B40" s="5"/>
      <c r="C40" s="5"/>
      <c r="D40" s="5"/>
      <c r="E40" s="6"/>
      <c r="F40" s="7"/>
      <c r="G40" s="41"/>
      <c r="H40" s="6"/>
      <c r="I40" s="41"/>
      <c r="J40" s="41" t="b">
        <f t="shared" si="0"/>
        <v>0</v>
      </c>
    </row>
    <row r="41" spans="1:10" x14ac:dyDescent="0.2">
      <c r="A41" s="4">
        <v>33</v>
      </c>
      <c r="B41" s="5"/>
      <c r="C41" s="5"/>
      <c r="D41" s="5"/>
      <c r="E41" s="6"/>
      <c r="F41" s="7"/>
      <c r="G41" s="41"/>
      <c r="H41" s="6"/>
      <c r="I41" s="41"/>
      <c r="J41" s="41" t="b">
        <f t="shared" si="0"/>
        <v>0</v>
      </c>
    </row>
    <row r="42" spans="1:10" x14ac:dyDescent="0.2">
      <c r="A42" s="4">
        <v>34</v>
      </c>
      <c r="B42" s="5"/>
      <c r="C42" s="5"/>
      <c r="D42" s="5"/>
      <c r="E42" s="6"/>
      <c r="F42" s="7"/>
      <c r="G42" s="41"/>
      <c r="H42" s="6"/>
      <c r="I42" s="41"/>
      <c r="J42" s="41" t="b">
        <f t="shared" si="0"/>
        <v>0</v>
      </c>
    </row>
    <row r="43" spans="1:10" x14ac:dyDescent="0.2">
      <c r="A43" s="4">
        <v>35</v>
      </c>
      <c r="B43" s="5"/>
      <c r="C43" s="5"/>
      <c r="D43" s="5"/>
      <c r="E43" s="6"/>
      <c r="F43" s="7"/>
      <c r="G43" s="41"/>
      <c r="H43" s="6"/>
      <c r="I43" s="41"/>
      <c r="J43" s="41" t="b">
        <f t="shared" si="0"/>
        <v>0</v>
      </c>
    </row>
    <row r="44" spans="1:10" x14ac:dyDescent="0.2">
      <c r="A44" s="4">
        <v>36</v>
      </c>
      <c r="B44" s="5"/>
      <c r="C44" s="5"/>
      <c r="D44" s="5"/>
      <c r="E44" s="6"/>
      <c r="F44" s="7"/>
      <c r="G44" s="41"/>
      <c r="H44" s="6"/>
      <c r="I44" s="41"/>
      <c r="J44" s="41" t="b">
        <f t="shared" si="0"/>
        <v>0</v>
      </c>
    </row>
    <row r="45" spans="1:10" x14ac:dyDescent="0.2">
      <c r="A45" s="4">
        <v>37</v>
      </c>
      <c r="B45" s="5"/>
      <c r="C45" s="5"/>
      <c r="D45" s="5"/>
      <c r="E45" s="6"/>
      <c r="F45" s="7"/>
      <c r="G45" s="41"/>
      <c r="H45" s="6"/>
      <c r="I45" s="41"/>
      <c r="J45" s="41" t="b">
        <f t="shared" si="0"/>
        <v>0</v>
      </c>
    </row>
    <row r="46" spans="1:10" x14ac:dyDescent="0.2">
      <c r="A46" s="4">
        <v>38</v>
      </c>
      <c r="B46" s="5"/>
      <c r="C46" s="5"/>
      <c r="D46" s="5"/>
      <c r="E46" s="6"/>
      <c r="F46" s="7"/>
      <c r="G46" s="41"/>
      <c r="H46" s="6"/>
      <c r="I46" s="41"/>
      <c r="J46" s="41" t="b">
        <f t="shared" si="0"/>
        <v>0</v>
      </c>
    </row>
    <row r="47" spans="1:10" x14ac:dyDescent="0.2">
      <c r="A47" s="4">
        <v>39</v>
      </c>
      <c r="B47" s="5"/>
      <c r="C47" s="5"/>
      <c r="D47" s="5"/>
      <c r="E47" s="6"/>
      <c r="F47" s="7"/>
      <c r="G47" s="41"/>
      <c r="H47" s="6"/>
      <c r="I47" s="41"/>
      <c r="J47" s="41" t="b">
        <f t="shared" si="0"/>
        <v>0</v>
      </c>
    </row>
    <row r="48" spans="1:10" x14ac:dyDescent="0.2">
      <c r="A48" s="4">
        <v>40</v>
      </c>
      <c r="B48" s="5"/>
      <c r="C48" s="5"/>
      <c r="D48" s="5"/>
      <c r="E48" s="6"/>
      <c r="F48" s="7"/>
      <c r="G48" s="41"/>
      <c r="H48" s="6"/>
      <c r="I48" s="41"/>
      <c r="J48" s="41" t="b">
        <f t="shared" si="0"/>
        <v>0</v>
      </c>
    </row>
    <row r="49" spans="1:10" x14ac:dyDescent="0.2">
      <c r="A49" s="4">
        <v>41</v>
      </c>
      <c r="B49" s="5"/>
      <c r="C49" s="5"/>
      <c r="D49" s="5"/>
      <c r="E49" s="6"/>
      <c r="F49" s="7"/>
      <c r="G49" s="41"/>
      <c r="H49" s="6"/>
      <c r="I49" s="41"/>
      <c r="J49" s="41" t="b">
        <f t="shared" si="0"/>
        <v>0</v>
      </c>
    </row>
    <row r="50" spans="1:10" x14ac:dyDescent="0.2">
      <c r="A50" s="4">
        <v>42</v>
      </c>
      <c r="B50" s="5"/>
      <c r="C50" s="5"/>
      <c r="D50" s="5"/>
      <c r="E50" s="6"/>
      <c r="F50" s="7"/>
      <c r="G50" s="41"/>
      <c r="H50" s="6"/>
      <c r="I50" s="41"/>
      <c r="J50" s="41" t="b">
        <f t="shared" si="0"/>
        <v>0</v>
      </c>
    </row>
    <row r="51" spans="1:10" x14ac:dyDescent="0.2">
      <c r="A51" s="4">
        <v>43</v>
      </c>
      <c r="B51" s="5"/>
      <c r="C51" s="5"/>
      <c r="D51" s="5"/>
      <c r="E51" s="6"/>
      <c r="F51" s="7"/>
      <c r="G51" s="41"/>
      <c r="H51" s="6"/>
      <c r="I51" s="41"/>
      <c r="J51" s="41" t="b">
        <f t="shared" si="0"/>
        <v>0</v>
      </c>
    </row>
    <row r="52" spans="1:10" x14ac:dyDescent="0.2">
      <c r="A52" s="4">
        <v>44</v>
      </c>
      <c r="B52" s="5"/>
      <c r="C52" s="5"/>
      <c r="D52" s="5"/>
      <c r="E52" s="6"/>
      <c r="F52" s="7"/>
      <c r="G52" s="41"/>
      <c r="H52" s="6"/>
      <c r="I52" s="41"/>
      <c r="J52" s="41" t="b">
        <f t="shared" si="0"/>
        <v>0</v>
      </c>
    </row>
    <row r="53" spans="1:10" x14ac:dyDescent="0.2">
      <c r="A53" s="4">
        <v>45</v>
      </c>
      <c r="B53" s="5"/>
      <c r="C53" s="5"/>
      <c r="D53" s="5"/>
      <c r="E53" s="6"/>
      <c r="F53" s="7"/>
      <c r="G53" s="41"/>
      <c r="H53" s="6"/>
      <c r="I53" s="41"/>
      <c r="J53" s="41" t="b">
        <f t="shared" si="0"/>
        <v>0</v>
      </c>
    </row>
    <row r="54" spans="1:10" x14ac:dyDescent="0.2">
      <c r="A54" s="4">
        <v>46</v>
      </c>
      <c r="B54" s="5"/>
      <c r="C54" s="5"/>
      <c r="D54" s="5"/>
      <c r="E54" s="6"/>
      <c r="F54" s="7"/>
      <c r="G54" s="41"/>
      <c r="H54" s="6"/>
      <c r="I54" s="41"/>
      <c r="J54" s="41" t="b">
        <f t="shared" si="0"/>
        <v>0</v>
      </c>
    </row>
    <row r="55" spans="1:10" x14ac:dyDescent="0.2">
      <c r="A55" s="4">
        <v>47</v>
      </c>
      <c r="B55" s="5"/>
      <c r="C55" s="5"/>
      <c r="D55" s="5"/>
      <c r="E55" s="6"/>
      <c r="F55" s="7"/>
      <c r="G55" s="41"/>
      <c r="H55" s="6"/>
      <c r="I55" s="41"/>
      <c r="J55" s="41" t="b">
        <f t="shared" si="0"/>
        <v>0</v>
      </c>
    </row>
    <row r="56" spans="1:10" x14ac:dyDescent="0.2">
      <c r="A56" s="4">
        <v>48</v>
      </c>
      <c r="B56" s="5"/>
      <c r="C56" s="5"/>
      <c r="D56" s="5"/>
      <c r="E56" s="6"/>
      <c r="F56" s="7"/>
      <c r="G56" s="41"/>
      <c r="H56" s="6"/>
      <c r="I56" s="41"/>
      <c r="J56" s="41" t="b">
        <f t="shared" si="0"/>
        <v>0</v>
      </c>
    </row>
    <row r="57" spans="1:10" x14ac:dyDescent="0.2">
      <c r="A57" s="4">
        <v>49</v>
      </c>
      <c r="B57" s="5"/>
      <c r="C57" s="5"/>
      <c r="D57" s="5"/>
      <c r="E57" s="6"/>
      <c r="F57" s="7"/>
      <c r="G57" s="41"/>
      <c r="H57" s="6"/>
      <c r="I57" s="41"/>
      <c r="J57" s="41" t="b">
        <f t="shared" si="0"/>
        <v>0</v>
      </c>
    </row>
    <row r="58" spans="1:10" x14ac:dyDescent="0.2">
      <c r="A58" s="4">
        <v>50</v>
      </c>
      <c r="B58" s="5"/>
      <c r="C58" s="5"/>
      <c r="D58" s="5"/>
      <c r="E58" s="6"/>
      <c r="F58" s="7"/>
      <c r="G58" s="41"/>
      <c r="H58" s="6"/>
      <c r="I58" s="41"/>
      <c r="J58" s="41" t="b">
        <f t="shared" si="0"/>
        <v>0</v>
      </c>
    </row>
    <row r="59" spans="1:10" x14ac:dyDescent="0.2">
      <c r="A59" s="4">
        <v>51</v>
      </c>
      <c r="B59" s="5"/>
      <c r="C59" s="5"/>
      <c r="D59" s="5"/>
      <c r="E59" s="6"/>
      <c r="F59" s="7"/>
      <c r="G59" s="41"/>
      <c r="H59" s="6"/>
      <c r="I59" s="41"/>
      <c r="J59" s="41" t="b">
        <f t="shared" si="0"/>
        <v>0</v>
      </c>
    </row>
    <row r="60" spans="1:10" x14ac:dyDescent="0.2">
      <c r="A60" s="4">
        <v>52</v>
      </c>
      <c r="B60" s="5"/>
      <c r="C60" s="5"/>
      <c r="D60" s="5"/>
      <c r="E60" s="6"/>
      <c r="F60" s="7"/>
      <c r="G60" s="41"/>
      <c r="H60" s="6"/>
      <c r="I60" s="41"/>
      <c r="J60" s="41" t="b">
        <f t="shared" si="0"/>
        <v>0</v>
      </c>
    </row>
    <row r="61" spans="1:10" x14ac:dyDescent="0.2">
      <c r="A61" s="4">
        <v>53</v>
      </c>
      <c r="B61" s="5"/>
      <c r="C61" s="5"/>
      <c r="D61" s="5"/>
      <c r="E61" s="6"/>
      <c r="F61" s="7"/>
      <c r="G61" s="41"/>
      <c r="H61" s="6"/>
      <c r="I61" s="41"/>
      <c r="J61" s="41" t="b">
        <f t="shared" si="0"/>
        <v>0</v>
      </c>
    </row>
    <row r="62" spans="1:10" x14ac:dyDescent="0.2">
      <c r="A62" s="4">
        <v>54</v>
      </c>
      <c r="B62" s="5"/>
      <c r="C62" s="5"/>
      <c r="D62" s="5"/>
      <c r="E62" s="6"/>
      <c r="F62" s="7"/>
      <c r="G62" s="41"/>
      <c r="H62" s="6"/>
      <c r="I62" s="41"/>
      <c r="J62" s="41" t="b">
        <f t="shared" si="0"/>
        <v>0</v>
      </c>
    </row>
    <row r="63" spans="1:10" x14ac:dyDescent="0.2">
      <c r="A63" s="4">
        <v>55</v>
      </c>
      <c r="B63" s="5"/>
      <c r="C63" s="5"/>
      <c r="D63" s="5"/>
      <c r="E63" s="6"/>
      <c r="F63" s="7"/>
      <c r="G63" s="41"/>
      <c r="H63" s="6"/>
      <c r="I63" s="41"/>
      <c r="J63" s="41" t="b">
        <f t="shared" si="0"/>
        <v>0</v>
      </c>
    </row>
    <row r="64" spans="1:10" x14ac:dyDescent="0.2">
      <c r="A64" s="4">
        <v>56</v>
      </c>
      <c r="B64" s="5"/>
      <c r="C64" s="5"/>
      <c r="D64" s="5"/>
      <c r="E64" s="6"/>
      <c r="F64" s="7"/>
      <c r="G64" s="41"/>
      <c r="H64" s="6"/>
      <c r="I64" s="41"/>
      <c r="J64" s="41" t="b">
        <f t="shared" si="0"/>
        <v>0</v>
      </c>
    </row>
    <row r="65" spans="1:10" x14ac:dyDescent="0.2">
      <c r="A65" s="4">
        <v>57</v>
      </c>
      <c r="B65" s="5"/>
      <c r="C65" s="5"/>
      <c r="D65" s="5"/>
      <c r="E65" s="6"/>
      <c r="F65" s="7"/>
      <c r="G65" s="41"/>
      <c r="H65" s="6"/>
      <c r="I65" s="41"/>
      <c r="J65" s="41" t="b">
        <f t="shared" si="0"/>
        <v>0</v>
      </c>
    </row>
    <row r="66" spans="1:10" x14ac:dyDescent="0.2">
      <c r="A66" s="4">
        <v>58</v>
      </c>
      <c r="B66" s="5"/>
      <c r="C66" s="5"/>
      <c r="D66" s="5"/>
      <c r="E66" s="6"/>
      <c r="F66" s="7"/>
      <c r="G66" s="41"/>
      <c r="H66" s="6"/>
      <c r="I66" s="41"/>
      <c r="J66" s="41" t="b">
        <f t="shared" si="0"/>
        <v>0</v>
      </c>
    </row>
    <row r="67" spans="1:10" x14ac:dyDescent="0.2">
      <c r="A67" s="4">
        <v>59</v>
      </c>
      <c r="B67" s="5"/>
      <c r="C67" s="5"/>
      <c r="D67" s="5"/>
      <c r="E67" s="6"/>
      <c r="F67" s="7"/>
      <c r="G67" s="41"/>
      <c r="H67" s="6"/>
      <c r="I67" s="41"/>
      <c r="J67" s="41" t="b">
        <f t="shared" si="0"/>
        <v>0</v>
      </c>
    </row>
    <row r="68" spans="1:10" x14ac:dyDescent="0.2">
      <c r="A68" s="4">
        <v>60</v>
      </c>
      <c r="B68" s="5"/>
      <c r="C68" s="5"/>
      <c r="D68" s="5"/>
      <c r="E68" s="6"/>
      <c r="F68" s="7"/>
      <c r="G68" s="41"/>
      <c r="H68" s="6"/>
      <c r="I68" s="41"/>
      <c r="J68" s="41" t="b">
        <f t="shared" si="0"/>
        <v>0</v>
      </c>
    </row>
    <row r="69" spans="1:10" x14ac:dyDescent="0.2">
      <c r="A69" s="4">
        <v>61</v>
      </c>
      <c r="B69" s="5"/>
      <c r="C69" s="5"/>
      <c r="D69" s="5"/>
      <c r="E69" s="6"/>
      <c r="F69" s="7"/>
      <c r="G69" s="41"/>
      <c r="H69" s="6"/>
      <c r="I69" s="41"/>
      <c r="J69" s="41" t="b">
        <f t="shared" si="0"/>
        <v>0</v>
      </c>
    </row>
    <row r="70" spans="1:10" x14ac:dyDescent="0.2">
      <c r="A70" s="4">
        <v>62</v>
      </c>
      <c r="B70" s="5"/>
      <c r="C70" s="5"/>
      <c r="D70" s="5"/>
      <c r="E70" s="6"/>
      <c r="F70" s="7"/>
      <c r="G70" s="41"/>
      <c r="H70" s="6"/>
      <c r="I70" s="41"/>
      <c r="J70" s="41" t="b">
        <f t="shared" si="0"/>
        <v>0</v>
      </c>
    </row>
    <row r="71" spans="1:10" x14ac:dyDescent="0.2">
      <c r="A71" s="4">
        <v>63</v>
      </c>
      <c r="B71" s="5"/>
      <c r="C71" s="5"/>
      <c r="D71" s="5"/>
      <c r="E71" s="6"/>
      <c r="F71" s="7"/>
      <c r="G71" s="41"/>
      <c r="H71" s="6"/>
      <c r="I71" s="41"/>
      <c r="J71" s="41" t="b">
        <f t="shared" si="0"/>
        <v>0</v>
      </c>
    </row>
    <row r="72" spans="1:10" x14ac:dyDescent="0.2">
      <c r="A72" s="4">
        <v>64</v>
      </c>
      <c r="B72" s="5"/>
      <c r="C72" s="5"/>
      <c r="D72" s="5"/>
      <c r="E72" s="6"/>
      <c r="F72" s="7"/>
      <c r="G72" s="41"/>
      <c r="H72" s="6"/>
      <c r="I72" s="41"/>
      <c r="J72" s="41" t="b">
        <f t="shared" si="0"/>
        <v>0</v>
      </c>
    </row>
    <row r="73" spans="1:10" x14ac:dyDescent="0.2">
      <c r="A73" s="4">
        <v>65</v>
      </c>
      <c r="B73" s="5"/>
      <c r="C73" s="5"/>
      <c r="D73" s="5"/>
      <c r="E73" s="6"/>
      <c r="F73" s="7"/>
      <c r="G73" s="41"/>
      <c r="H73" s="6"/>
      <c r="I73" s="41"/>
      <c r="J73" s="41" t="b">
        <f t="shared" si="0"/>
        <v>0</v>
      </c>
    </row>
    <row r="74" spans="1:10" x14ac:dyDescent="0.2">
      <c r="A74" s="4">
        <v>66</v>
      </c>
      <c r="B74" s="5"/>
      <c r="C74" s="5"/>
      <c r="D74" s="5"/>
      <c r="E74" s="6"/>
      <c r="F74" s="7"/>
      <c r="G74" s="41"/>
      <c r="H74" s="6"/>
      <c r="I74" s="41"/>
      <c r="J74" s="41" t="b">
        <f t="shared" ref="J74:J137" si="1">IF(H74=$M$3,G74,IF(H74=$M$4,-I74))</f>
        <v>0</v>
      </c>
    </row>
    <row r="75" spans="1:10" x14ac:dyDescent="0.2">
      <c r="A75" s="4">
        <v>67</v>
      </c>
      <c r="B75" s="5"/>
      <c r="C75" s="5"/>
      <c r="D75" s="5"/>
      <c r="E75" s="6"/>
      <c r="F75" s="7"/>
      <c r="G75" s="41"/>
      <c r="H75" s="6"/>
      <c r="I75" s="41"/>
      <c r="J75" s="41" t="b">
        <f t="shared" si="1"/>
        <v>0</v>
      </c>
    </row>
    <row r="76" spans="1:10" x14ac:dyDescent="0.2">
      <c r="A76" s="4">
        <v>68</v>
      </c>
      <c r="B76" s="5"/>
      <c r="C76" s="5"/>
      <c r="D76" s="5"/>
      <c r="E76" s="6"/>
      <c r="F76" s="7"/>
      <c r="G76" s="41"/>
      <c r="H76" s="6"/>
      <c r="I76" s="41"/>
      <c r="J76" s="41" t="b">
        <f t="shared" si="1"/>
        <v>0</v>
      </c>
    </row>
    <row r="77" spans="1:10" x14ac:dyDescent="0.2">
      <c r="A77" s="4">
        <v>69</v>
      </c>
      <c r="B77" s="5"/>
      <c r="C77" s="5"/>
      <c r="D77" s="5"/>
      <c r="E77" s="6"/>
      <c r="F77" s="7"/>
      <c r="G77" s="41"/>
      <c r="H77" s="6"/>
      <c r="I77" s="41"/>
      <c r="J77" s="41" t="b">
        <f t="shared" si="1"/>
        <v>0</v>
      </c>
    </row>
    <row r="78" spans="1:10" x14ac:dyDescent="0.2">
      <c r="A78" s="4">
        <v>70</v>
      </c>
      <c r="B78" s="5"/>
      <c r="C78" s="5"/>
      <c r="D78" s="5"/>
      <c r="E78" s="6"/>
      <c r="F78" s="7"/>
      <c r="G78" s="41"/>
      <c r="H78" s="6"/>
      <c r="I78" s="41"/>
      <c r="J78" s="41" t="b">
        <f t="shared" si="1"/>
        <v>0</v>
      </c>
    </row>
    <row r="79" spans="1:10" x14ac:dyDescent="0.2">
      <c r="A79" s="4">
        <v>71</v>
      </c>
      <c r="B79" s="5"/>
      <c r="C79" s="5"/>
      <c r="D79" s="5"/>
      <c r="E79" s="6"/>
      <c r="F79" s="7"/>
      <c r="G79" s="41"/>
      <c r="H79" s="6"/>
      <c r="I79" s="41"/>
      <c r="J79" s="41" t="b">
        <f t="shared" si="1"/>
        <v>0</v>
      </c>
    </row>
    <row r="80" spans="1:10" x14ac:dyDescent="0.2">
      <c r="A80" s="4">
        <v>72</v>
      </c>
      <c r="B80" s="5"/>
      <c r="C80" s="5"/>
      <c r="D80" s="5"/>
      <c r="E80" s="6"/>
      <c r="F80" s="7"/>
      <c r="G80" s="41"/>
      <c r="H80" s="6"/>
      <c r="I80" s="41"/>
      <c r="J80" s="41" t="b">
        <f t="shared" si="1"/>
        <v>0</v>
      </c>
    </row>
    <row r="81" spans="1:10" x14ac:dyDescent="0.2">
      <c r="A81" s="4">
        <v>73</v>
      </c>
      <c r="B81" s="5"/>
      <c r="C81" s="5"/>
      <c r="D81" s="5"/>
      <c r="E81" s="6"/>
      <c r="F81" s="7"/>
      <c r="G81" s="41"/>
      <c r="H81" s="6"/>
      <c r="I81" s="41"/>
      <c r="J81" s="41" t="b">
        <f t="shared" si="1"/>
        <v>0</v>
      </c>
    </row>
    <row r="82" spans="1:10" x14ac:dyDescent="0.2">
      <c r="A82" s="4">
        <v>74</v>
      </c>
      <c r="B82" s="5"/>
      <c r="C82" s="5"/>
      <c r="D82" s="5"/>
      <c r="E82" s="6"/>
      <c r="F82" s="7"/>
      <c r="G82" s="41"/>
      <c r="H82" s="6"/>
      <c r="I82" s="41"/>
      <c r="J82" s="41" t="b">
        <f t="shared" si="1"/>
        <v>0</v>
      </c>
    </row>
    <row r="83" spans="1:10" x14ac:dyDescent="0.2">
      <c r="A83" s="4">
        <v>75</v>
      </c>
      <c r="B83" s="5"/>
      <c r="C83" s="5"/>
      <c r="D83" s="5"/>
      <c r="E83" s="6"/>
      <c r="F83" s="7"/>
      <c r="G83" s="41"/>
      <c r="H83" s="6"/>
      <c r="I83" s="41"/>
      <c r="J83" s="41" t="b">
        <f t="shared" si="1"/>
        <v>0</v>
      </c>
    </row>
    <row r="84" spans="1:10" x14ac:dyDescent="0.2">
      <c r="A84" s="4">
        <v>76</v>
      </c>
      <c r="B84" s="5"/>
      <c r="C84" s="5"/>
      <c r="D84" s="5"/>
      <c r="E84" s="6"/>
      <c r="F84" s="7"/>
      <c r="G84" s="41"/>
      <c r="H84" s="6"/>
      <c r="I84" s="41"/>
      <c r="J84" s="41" t="b">
        <f t="shared" si="1"/>
        <v>0</v>
      </c>
    </row>
    <row r="85" spans="1:10" x14ac:dyDescent="0.2">
      <c r="A85" s="4">
        <v>77</v>
      </c>
      <c r="B85" s="5"/>
      <c r="C85" s="5"/>
      <c r="D85" s="5"/>
      <c r="E85" s="6"/>
      <c r="F85" s="7"/>
      <c r="G85" s="41"/>
      <c r="H85" s="6"/>
      <c r="I85" s="41"/>
      <c r="J85" s="41" t="b">
        <f t="shared" si="1"/>
        <v>0</v>
      </c>
    </row>
    <row r="86" spans="1:10" x14ac:dyDescent="0.2">
      <c r="A86" s="4">
        <v>78</v>
      </c>
      <c r="B86" s="5"/>
      <c r="C86" s="5"/>
      <c r="D86" s="5"/>
      <c r="E86" s="6"/>
      <c r="F86" s="7"/>
      <c r="G86" s="41"/>
      <c r="H86" s="6"/>
      <c r="I86" s="41"/>
      <c r="J86" s="41" t="b">
        <f t="shared" si="1"/>
        <v>0</v>
      </c>
    </row>
    <row r="87" spans="1:10" x14ac:dyDescent="0.2">
      <c r="A87" s="4">
        <v>79</v>
      </c>
      <c r="B87" s="5"/>
      <c r="C87" s="5"/>
      <c r="D87" s="5"/>
      <c r="E87" s="6"/>
      <c r="F87" s="7"/>
      <c r="G87" s="41"/>
      <c r="H87" s="6"/>
      <c r="I87" s="41"/>
      <c r="J87" s="41" t="b">
        <f t="shared" si="1"/>
        <v>0</v>
      </c>
    </row>
    <row r="88" spans="1:10" x14ac:dyDescent="0.2">
      <c r="A88" s="4">
        <v>80</v>
      </c>
      <c r="B88" s="5"/>
      <c r="C88" s="5"/>
      <c r="D88" s="5"/>
      <c r="E88" s="6"/>
      <c r="F88" s="7"/>
      <c r="G88" s="41"/>
      <c r="H88" s="6"/>
      <c r="I88" s="41"/>
      <c r="J88" s="41" t="b">
        <f t="shared" si="1"/>
        <v>0</v>
      </c>
    </row>
    <row r="89" spans="1:10" x14ac:dyDescent="0.2">
      <c r="A89" s="4">
        <v>81</v>
      </c>
      <c r="B89" s="5"/>
      <c r="C89" s="5"/>
      <c r="D89" s="5"/>
      <c r="E89" s="6"/>
      <c r="F89" s="7"/>
      <c r="G89" s="41"/>
      <c r="H89" s="6"/>
      <c r="I89" s="41"/>
      <c r="J89" s="41" t="b">
        <f t="shared" si="1"/>
        <v>0</v>
      </c>
    </row>
    <row r="90" spans="1:10" x14ac:dyDescent="0.2">
      <c r="A90" s="4">
        <v>82</v>
      </c>
      <c r="B90" s="5"/>
      <c r="C90" s="5"/>
      <c r="D90" s="5"/>
      <c r="E90" s="6"/>
      <c r="F90" s="7"/>
      <c r="G90" s="41"/>
      <c r="H90" s="6"/>
      <c r="I90" s="41"/>
      <c r="J90" s="41" t="b">
        <f t="shared" si="1"/>
        <v>0</v>
      </c>
    </row>
    <row r="91" spans="1:10" x14ac:dyDescent="0.2">
      <c r="A91" s="4">
        <v>83</v>
      </c>
      <c r="B91" s="5"/>
      <c r="C91" s="5"/>
      <c r="D91" s="5"/>
      <c r="E91" s="6"/>
      <c r="F91" s="7"/>
      <c r="G91" s="41"/>
      <c r="H91" s="6"/>
      <c r="I91" s="41"/>
      <c r="J91" s="41" t="b">
        <f t="shared" si="1"/>
        <v>0</v>
      </c>
    </row>
    <row r="92" spans="1:10" x14ac:dyDescent="0.2">
      <c r="A92" s="4">
        <v>84</v>
      </c>
      <c r="B92" s="5"/>
      <c r="C92" s="5"/>
      <c r="D92" s="5"/>
      <c r="E92" s="6"/>
      <c r="F92" s="7"/>
      <c r="G92" s="41"/>
      <c r="H92" s="6"/>
      <c r="I92" s="41"/>
      <c r="J92" s="41" t="b">
        <f t="shared" si="1"/>
        <v>0</v>
      </c>
    </row>
    <row r="93" spans="1:10" x14ac:dyDescent="0.2">
      <c r="A93" s="4">
        <v>85</v>
      </c>
      <c r="B93" s="5"/>
      <c r="C93" s="5"/>
      <c r="D93" s="5"/>
      <c r="E93" s="6"/>
      <c r="F93" s="7"/>
      <c r="G93" s="41"/>
      <c r="H93" s="6"/>
      <c r="I93" s="41"/>
      <c r="J93" s="41" t="b">
        <f t="shared" si="1"/>
        <v>0</v>
      </c>
    </row>
    <row r="94" spans="1:10" x14ac:dyDescent="0.2">
      <c r="A94" s="4">
        <v>86</v>
      </c>
      <c r="B94" s="5"/>
      <c r="C94" s="5"/>
      <c r="D94" s="5"/>
      <c r="E94" s="6"/>
      <c r="F94" s="7"/>
      <c r="G94" s="41"/>
      <c r="H94" s="6"/>
      <c r="I94" s="41"/>
      <c r="J94" s="41" t="b">
        <f t="shared" si="1"/>
        <v>0</v>
      </c>
    </row>
    <row r="95" spans="1:10" x14ac:dyDescent="0.2">
      <c r="A95" s="4">
        <v>87</v>
      </c>
      <c r="B95" s="5"/>
      <c r="C95" s="5"/>
      <c r="D95" s="5"/>
      <c r="E95" s="6"/>
      <c r="F95" s="7"/>
      <c r="G95" s="41"/>
      <c r="H95" s="6"/>
      <c r="I95" s="41"/>
      <c r="J95" s="41" t="b">
        <f t="shared" si="1"/>
        <v>0</v>
      </c>
    </row>
    <row r="96" spans="1:10" x14ac:dyDescent="0.2">
      <c r="A96" s="4">
        <v>88</v>
      </c>
      <c r="B96" s="5"/>
      <c r="C96" s="5"/>
      <c r="D96" s="5"/>
      <c r="E96" s="6"/>
      <c r="F96" s="7"/>
      <c r="G96" s="41"/>
      <c r="H96" s="6"/>
      <c r="I96" s="41"/>
      <c r="J96" s="41" t="b">
        <f t="shared" si="1"/>
        <v>0</v>
      </c>
    </row>
    <row r="97" spans="1:10" x14ac:dyDescent="0.2">
      <c r="A97" s="4">
        <v>89</v>
      </c>
      <c r="B97" s="5"/>
      <c r="C97" s="5"/>
      <c r="D97" s="5"/>
      <c r="E97" s="6"/>
      <c r="F97" s="7"/>
      <c r="G97" s="41"/>
      <c r="H97" s="6"/>
      <c r="I97" s="41"/>
      <c r="J97" s="41" t="b">
        <f t="shared" si="1"/>
        <v>0</v>
      </c>
    </row>
    <row r="98" spans="1:10" x14ac:dyDescent="0.2">
      <c r="A98" s="4">
        <v>90</v>
      </c>
      <c r="B98" s="5"/>
      <c r="C98" s="5"/>
      <c r="D98" s="5"/>
      <c r="E98" s="6"/>
      <c r="F98" s="7"/>
      <c r="G98" s="41"/>
      <c r="H98" s="6"/>
      <c r="I98" s="41"/>
      <c r="J98" s="41" t="b">
        <f t="shared" si="1"/>
        <v>0</v>
      </c>
    </row>
    <row r="99" spans="1:10" x14ac:dyDescent="0.2">
      <c r="A99" s="4">
        <v>91</v>
      </c>
      <c r="B99" s="5"/>
      <c r="C99" s="5"/>
      <c r="D99" s="5"/>
      <c r="E99" s="6"/>
      <c r="F99" s="7"/>
      <c r="G99" s="41"/>
      <c r="H99" s="6"/>
      <c r="I99" s="41"/>
      <c r="J99" s="41" t="b">
        <f t="shared" si="1"/>
        <v>0</v>
      </c>
    </row>
    <row r="100" spans="1:10" x14ac:dyDescent="0.2">
      <c r="A100" s="4">
        <v>92</v>
      </c>
      <c r="B100" s="5"/>
      <c r="C100" s="5"/>
      <c r="D100" s="5"/>
      <c r="E100" s="6"/>
      <c r="F100" s="7"/>
      <c r="G100" s="41"/>
      <c r="H100" s="6"/>
      <c r="I100" s="41"/>
      <c r="J100" s="41" t="b">
        <f t="shared" si="1"/>
        <v>0</v>
      </c>
    </row>
    <row r="101" spans="1:10" x14ac:dyDescent="0.2">
      <c r="A101" s="4">
        <v>93</v>
      </c>
      <c r="B101" s="5"/>
      <c r="C101" s="5"/>
      <c r="D101" s="5"/>
      <c r="E101" s="6"/>
      <c r="F101" s="7"/>
      <c r="G101" s="41"/>
      <c r="H101" s="6"/>
      <c r="I101" s="41"/>
      <c r="J101" s="41" t="b">
        <f t="shared" si="1"/>
        <v>0</v>
      </c>
    </row>
    <row r="102" spans="1:10" x14ac:dyDescent="0.2">
      <c r="A102" s="4">
        <v>94</v>
      </c>
      <c r="B102" s="5"/>
      <c r="C102" s="5"/>
      <c r="D102" s="5"/>
      <c r="E102" s="6"/>
      <c r="F102" s="7"/>
      <c r="G102" s="41"/>
      <c r="H102" s="6"/>
      <c r="I102" s="41"/>
      <c r="J102" s="41" t="b">
        <f t="shared" si="1"/>
        <v>0</v>
      </c>
    </row>
    <row r="103" spans="1:10" x14ac:dyDescent="0.2">
      <c r="A103" s="4">
        <v>95</v>
      </c>
      <c r="B103" s="5"/>
      <c r="C103" s="5"/>
      <c r="D103" s="5"/>
      <c r="E103" s="6"/>
      <c r="F103" s="7"/>
      <c r="G103" s="41"/>
      <c r="H103" s="6"/>
      <c r="I103" s="41"/>
      <c r="J103" s="41" t="b">
        <f t="shared" si="1"/>
        <v>0</v>
      </c>
    </row>
    <row r="104" spans="1:10" x14ac:dyDescent="0.2">
      <c r="A104" s="4">
        <v>96</v>
      </c>
      <c r="B104" s="5"/>
      <c r="C104" s="5"/>
      <c r="D104" s="5"/>
      <c r="E104" s="6"/>
      <c r="F104" s="7"/>
      <c r="G104" s="41"/>
      <c r="H104" s="6"/>
      <c r="I104" s="41"/>
      <c r="J104" s="41" t="b">
        <f t="shared" si="1"/>
        <v>0</v>
      </c>
    </row>
    <row r="105" spans="1:10" x14ac:dyDescent="0.2">
      <c r="A105" s="4">
        <v>97</v>
      </c>
      <c r="B105" s="5"/>
      <c r="C105" s="5"/>
      <c r="D105" s="5"/>
      <c r="E105" s="6"/>
      <c r="F105" s="7"/>
      <c r="G105" s="41"/>
      <c r="H105" s="6"/>
      <c r="I105" s="41"/>
      <c r="J105" s="41" t="b">
        <f t="shared" si="1"/>
        <v>0</v>
      </c>
    </row>
    <row r="106" spans="1:10" x14ac:dyDescent="0.2">
      <c r="A106" s="4">
        <v>98</v>
      </c>
      <c r="B106" s="5"/>
      <c r="C106" s="5"/>
      <c r="D106" s="5"/>
      <c r="E106" s="6"/>
      <c r="F106" s="7"/>
      <c r="G106" s="41"/>
      <c r="H106" s="6"/>
      <c r="I106" s="41"/>
      <c r="J106" s="41" t="b">
        <f t="shared" si="1"/>
        <v>0</v>
      </c>
    </row>
    <row r="107" spans="1:10" x14ac:dyDescent="0.2">
      <c r="A107" s="4">
        <v>99</v>
      </c>
      <c r="B107" s="5"/>
      <c r="C107" s="5"/>
      <c r="D107" s="5"/>
      <c r="E107" s="6"/>
      <c r="F107" s="7"/>
      <c r="G107" s="41"/>
      <c r="H107" s="6"/>
      <c r="I107" s="41"/>
      <c r="J107" s="41" t="b">
        <f t="shared" si="1"/>
        <v>0</v>
      </c>
    </row>
    <row r="108" spans="1:10" x14ac:dyDescent="0.2">
      <c r="A108" s="4">
        <v>100</v>
      </c>
      <c r="B108" s="5"/>
      <c r="C108" s="5"/>
      <c r="D108" s="5"/>
      <c r="E108" s="6"/>
      <c r="F108" s="7"/>
      <c r="G108" s="41"/>
      <c r="H108" s="6"/>
      <c r="I108" s="41"/>
      <c r="J108" s="41" t="b">
        <f t="shared" si="1"/>
        <v>0</v>
      </c>
    </row>
    <row r="109" spans="1:10" x14ac:dyDescent="0.2">
      <c r="A109" s="4">
        <v>101</v>
      </c>
      <c r="B109" s="5"/>
      <c r="C109" s="5"/>
      <c r="D109" s="5"/>
      <c r="E109" s="6"/>
      <c r="F109" s="7"/>
      <c r="G109" s="41"/>
      <c r="H109" s="6"/>
      <c r="I109" s="41"/>
      <c r="J109" s="41" t="b">
        <f t="shared" si="1"/>
        <v>0</v>
      </c>
    </row>
    <row r="110" spans="1:10" x14ac:dyDescent="0.2">
      <c r="A110" s="4">
        <v>102</v>
      </c>
      <c r="B110" s="5"/>
      <c r="C110" s="5"/>
      <c r="D110" s="5"/>
      <c r="E110" s="6"/>
      <c r="F110" s="7"/>
      <c r="G110" s="41"/>
      <c r="H110" s="6"/>
      <c r="I110" s="41"/>
      <c r="J110" s="41" t="b">
        <f t="shared" si="1"/>
        <v>0</v>
      </c>
    </row>
    <row r="111" spans="1:10" x14ac:dyDescent="0.2">
      <c r="A111" s="4">
        <v>103</v>
      </c>
      <c r="B111" s="5"/>
      <c r="C111" s="5"/>
      <c r="D111" s="5"/>
      <c r="E111" s="6"/>
      <c r="F111" s="7"/>
      <c r="G111" s="41"/>
      <c r="H111" s="6"/>
      <c r="I111" s="41"/>
      <c r="J111" s="41" t="b">
        <f t="shared" si="1"/>
        <v>0</v>
      </c>
    </row>
    <row r="112" spans="1:10" x14ac:dyDescent="0.2">
      <c r="A112" s="4">
        <v>104</v>
      </c>
      <c r="B112" s="5"/>
      <c r="C112" s="5"/>
      <c r="D112" s="5"/>
      <c r="E112" s="6"/>
      <c r="F112" s="7"/>
      <c r="G112" s="41"/>
      <c r="H112" s="6"/>
      <c r="I112" s="41"/>
      <c r="J112" s="41" t="b">
        <f t="shared" si="1"/>
        <v>0</v>
      </c>
    </row>
    <row r="113" spans="1:10" x14ac:dyDescent="0.2">
      <c r="A113" s="4">
        <v>105</v>
      </c>
      <c r="B113" s="5"/>
      <c r="C113" s="5"/>
      <c r="D113" s="5"/>
      <c r="E113" s="6"/>
      <c r="F113" s="7"/>
      <c r="G113" s="41"/>
      <c r="H113" s="6"/>
      <c r="I113" s="41"/>
      <c r="J113" s="41" t="b">
        <f t="shared" si="1"/>
        <v>0</v>
      </c>
    </row>
    <row r="114" spans="1:10" x14ac:dyDescent="0.2">
      <c r="A114" s="4">
        <v>106</v>
      </c>
      <c r="B114" s="5"/>
      <c r="C114" s="5"/>
      <c r="D114" s="5"/>
      <c r="E114" s="6"/>
      <c r="F114" s="7"/>
      <c r="G114" s="41"/>
      <c r="H114" s="6"/>
      <c r="I114" s="41"/>
      <c r="J114" s="41" t="b">
        <f t="shared" si="1"/>
        <v>0</v>
      </c>
    </row>
    <row r="115" spans="1:10" x14ac:dyDescent="0.2">
      <c r="A115" s="4">
        <v>107</v>
      </c>
      <c r="B115" s="5"/>
      <c r="C115" s="5"/>
      <c r="D115" s="5"/>
      <c r="E115" s="6"/>
      <c r="F115" s="7"/>
      <c r="G115" s="41"/>
      <c r="H115" s="6"/>
      <c r="I115" s="41"/>
      <c r="J115" s="41" t="b">
        <f t="shared" si="1"/>
        <v>0</v>
      </c>
    </row>
    <row r="116" spans="1:10" x14ac:dyDescent="0.2">
      <c r="A116" s="4">
        <v>108</v>
      </c>
      <c r="B116" s="5"/>
      <c r="C116" s="5"/>
      <c r="D116" s="5"/>
      <c r="E116" s="6"/>
      <c r="F116" s="7"/>
      <c r="G116" s="41"/>
      <c r="H116" s="6"/>
      <c r="I116" s="41"/>
      <c r="J116" s="41" t="b">
        <f t="shared" si="1"/>
        <v>0</v>
      </c>
    </row>
    <row r="117" spans="1:10" x14ac:dyDescent="0.2">
      <c r="A117" s="4">
        <v>109</v>
      </c>
      <c r="B117" s="5"/>
      <c r="C117" s="5"/>
      <c r="D117" s="5"/>
      <c r="E117" s="6"/>
      <c r="F117" s="7"/>
      <c r="G117" s="41"/>
      <c r="H117" s="6"/>
      <c r="I117" s="41"/>
      <c r="J117" s="41" t="b">
        <f t="shared" si="1"/>
        <v>0</v>
      </c>
    </row>
    <row r="118" spans="1:10" x14ac:dyDescent="0.2">
      <c r="A118" s="4">
        <v>110</v>
      </c>
      <c r="B118" s="5"/>
      <c r="C118" s="5"/>
      <c r="D118" s="5"/>
      <c r="E118" s="6"/>
      <c r="F118" s="7"/>
      <c r="G118" s="41"/>
      <c r="H118" s="6"/>
      <c r="I118" s="41"/>
      <c r="J118" s="41" t="b">
        <f t="shared" si="1"/>
        <v>0</v>
      </c>
    </row>
    <row r="119" spans="1:10" x14ac:dyDescent="0.2">
      <c r="A119" s="4">
        <v>111</v>
      </c>
      <c r="B119" s="5"/>
      <c r="C119" s="5"/>
      <c r="D119" s="5"/>
      <c r="E119" s="6"/>
      <c r="F119" s="7"/>
      <c r="G119" s="41"/>
      <c r="H119" s="6"/>
      <c r="I119" s="41"/>
      <c r="J119" s="41" t="b">
        <f t="shared" si="1"/>
        <v>0</v>
      </c>
    </row>
    <row r="120" spans="1:10" x14ac:dyDescent="0.2">
      <c r="A120" s="4">
        <v>112</v>
      </c>
      <c r="B120" s="5"/>
      <c r="C120" s="5"/>
      <c r="D120" s="5"/>
      <c r="E120" s="6"/>
      <c r="F120" s="7"/>
      <c r="G120" s="41"/>
      <c r="H120" s="6"/>
      <c r="I120" s="41"/>
      <c r="J120" s="41" t="b">
        <f t="shared" si="1"/>
        <v>0</v>
      </c>
    </row>
    <row r="121" spans="1:10" x14ac:dyDescent="0.2">
      <c r="A121" s="4">
        <v>113</v>
      </c>
      <c r="B121" s="5"/>
      <c r="C121" s="5"/>
      <c r="D121" s="5"/>
      <c r="E121" s="6"/>
      <c r="F121" s="7"/>
      <c r="G121" s="41"/>
      <c r="H121" s="6"/>
      <c r="I121" s="41"/>
      <c r="J121" s="41" t="b">
        <f t="shared" si="1"/>
        <v>0</v>
      </c>
    </row>
    <row r="122" spans="1:10" x14ac:dyDescent="0.2">
      <c r="A122" s="4">
        <v>114</v>
      </c>
      <c r="B122" s="5"/>
      <c r="C122" s="5"/>
      <c r="D122" s="5"/>
      <c r="E122" s="6"/>
      <c r="F122" s="7"/>
      <c r="G122" s="41"/>
      <c r="H122" s="6"/>
      <c r="I122" s="41"/>
      <c r="J122" s="41" t="b">
        <f t="shared" si="1"/>
        <v>0</v>
      </c>
    </row>
    <row r="123" spans="1:10" x14ac:dyDescent="0.2">
      <c r="A123" s="4">
        <v>115</v>
      </c>
      <c r="B123" s="5"/>
      <c r="C123" s="5"/>
      <c r="D123" s="5"/>
      <c r="E123" s="6"/>
      <c r="F123" s="7"/>
      <c r="G123" s="41"/>
      <c r="H123" s="6"/>
      <c r="I123" s="41"/>
      <c r="J123" s="41" t="b">
        <f t="shared" si="1"/>
        <v>0</v>
      </c>
    </row>
    <row r="124" spans="1:10" x14ac:dyDescent="0.2">
      <c r="A124" s="4">
        <v>116</v>
      </c>
      <c r="B124" s="5"/>
      <c r="C124" s="5"/>
      <c r="D124" s="5"/>
      <c r="E124" s="6"/>
      <c r="F124" s="7"/>
      <c r="G124" s="41"/>
      <c r="H124" s="6"/>
      <c r="I124" s="41"/>
      <c r="J124" s="41" t="b">
        <f t="shared" si="1"/>
        <v>0</v>
      </c>
    </row>
    <row r="125" spans="1:10" x14ac:dyDescent="0.2">
      <c r="A125" s="4">
        <v>117</v>
      </c>
      <c r="B125" s="5"/>
      <c r="C125" s="5"/>
      <c r="D125" s="5"/>
      <c r="E125" s="6"/>
      <c r="F125" s="7"/>
      <c r="G125" s="41"/>
      <c r="H125" s="6"/>
      <c r="I125" s="41"/>
      <c r="J125" s="41" t="b">
        <f t="shared" si="1"/>
        <v>0</v>
      </c>
    </row>
    <row r="126" spans="1:10" x14ac:dyDescent="0.2">
      <c r="A126" s="4">
        <v>118</v>
      </c>
      <c r="B126" s="5"/>
      <c r="C126" s="5"/>
      <c r="D126" s="5"/>
      <c r="E126" s="6"/>
      <c r="F126" s="7"/>
      <c r="G126" s="41"/>
      <c r="H126" s="6"/>
      <c r="I126" s="41"/>
      <c r="J126" s="41" t="b">
        <f t="shared" si="1"/>
        <v>0</v>
      </c>
    </row>
    <row r="127" spans="1:10" x14ac:dyDescent="0.2">
      <c r="A127" s="4">
        <v>119</v>
      </c>
      <c r="B127" s="5"/>
      <c r="C127" s="5"/>
      <c r="D127" s="5"/>
      <c r="E127" s="6"/>
      <c r="F127" s="7"/>
      <c r="G127" s="41"/>
      <c r="H127" s="6"/>
      <c r="I127" s="41"/>
      <c r="J127" s="41" t="b">
        <f t="shared" si="1"/>
        <v>0</v>
      </c>
    </row>
    <row r="128" spans="1:10" x14ac:dyDescent="0.2">
      <c r="A128" s="4">
        <v>120</v>
      </c>
      <c r="B128" s="5"/>
      <c r="C128" s="5"/>
      <c r="D128" s="5"/>
      <c r="E128" s="6"/>
      <c r="F128" s="7"/>
      <c r="G128" s="41"/>
      <c r="H128" s="6"/>
      <c r="I128" s="41"/>
      <c r="J128" s="41" t="b">
        <f t="shared" si="1"/>
        <v>0</v>
      </c>
    </row>
    <row r="129" spans="1:10" x14ac:dyDescent="0.2">
      <c r="A129" s="4">
        <v>121</v>
      </c>
      <c r="B129" s="5"/>
      <c r="C129" s="5"/>
      <c r="D129" s="5"/>
      <c r="E129" s="6"/>
      <c r="F129" s="7"/>
      <c r="G129" s="41"/>
      <c r="H129" s="6"/>
      <c r="I129" s="41"/>
      <c r="J129" s="41" t="b">
        <f t="shared" si="1"/>
        <v>0</v>
      </c>
    </row>
    <row r="130" spans="1:10" x14ac:dyDescent="0.2">
      <c r="A130" s="4">
        <v>122</v>
      </c>
      <c r="B130" s="5"/>
      <c r="C130" s="5"/>
      <c r="D130" s="5"/>
      <c r="E130" s="6"/>
      <c r="F130" s="7"/>
      <c r="G130" s="41"/>
      <c r="H130" s="6"/>
      <c r="I130" s="41"/>
      <c r="J130" s="41" t="b">
        <f t="shared" si="1"/>
        <v>0</v>
      </c>
    </row>
    <row r="131" spans="1:10" x14ac:dyDescent="0.2">
      <c r="A131" s="4">
        <v>123</v>
      </c>
      <c r="B131" s="5"/>
      <c r="C131" s="5"/>
      <c r="D131" s="5"/>
      <c r="E131" s="6"/>
      <c r="F131" s="7"/>
      <c r="G131" s="41"/>
      <c r="H131" s="6"/>
      <c r="I131" s="41"/>
      <c r="J131" s="41" t="b">
        <f t="shared" si="1"/>
        <v>0</v>
      </c>
    </row>
    <row r="132" spans="1:10" x14ac:dyDescent="0.2">
      <c r="A132" s="4">
        <v>124</v>
      </c>
      <c r="B132" s="5"/>
      <c r="C132" s="5"/>
      <c r="D132" s="5"/>
      <c r="E132" s="6"/>
      <c r="F132" s="7"/>
      <c r="G132" s="41"/>
      <c r="H132" s="6"/>
      <c r="I132" s="41"/>
      <c r="J132" s="41" t="b">
        <f t="shared" si="1"/>
        <v>0</v>
      </c>
    </row>
    <row r="133" spans="1:10" x14ac:dyDescent="0.2">
      <c r="A133" s="4">
        <v>125</v>
      </c>
      <c r="B133" s="5"/>
      <c r="C133" s="5"/>
      <c r="D133" s="5"/>
      <c r="E133" s="6"/>
      <c r="F133" s="7"/>
      <c r="G133" s="41"/>
      <c r="H133" s="6"/>
      <c r="I133" s="41"/>
      <c r="J133" s="41" t="b">
        <f t="shared" si="1"/>
        <v>0</v>
      </c>
    </row>
    <row r="134" spans="1:10" x14ac:dyDescent="0.2">
      <c r="A134" s="4">
        <v>126</v>
      </c>
      <c r="B134" s="5"/>
      <c r="C134" s="5"/>
      <c r="D134" s="5"/>
      <c r="E134" s="6"/>
      <c r="F134" s="7"/>
      <c r="G134" s="41"/>
      <c r="H134" s="6"/>
      <c r="I134" s="41"/>
      <c r="J134" s="41" t="b">
        <f t="shared" si="1"/>
        <v>0</v>
      </c>
    </row>
    <row r="135" spans="1:10" x14ac:dyDescent="0.2">
      <c r="A135" s="4">
        <v>127</v>
      </c>
      <c r="B135" s="5"/>
      <c r="C135" s="5"/>
      <c r="D135" s="5"/>
      <c r="E135" s="6"/>
      <c r="F135" s="7"/>
      <c r="G135" s="41"/>
      <c r="H135" s="6"/>
      <c r="I135" s="41"/>
      <c r="J135" s="41" t="b">
        <f t="shared" si="1"/>
        <v>0</v>
      </c>
    </row>
    <row r="136" spans="1:10" x14ac:dyDescent="0.2">
      <c r="A136" s="4">
        <v>128</v>
      </c>
      <c r="B136" s="5"/>
      <c r="C136" s="5"/>
      <c r="D136" s="5"/>
      <c r="E136" s="6"/>
      <c r="F136" s="7"/>
      <c r="G136" s="41"/>
      <c r="H136" s="6"/>
      <c r="I136" s="41"/>
      <c r="J136" s="41" t="b">
        <f t="shared" si="1"/>
        <v>0</v>
      </c>
    </row>
    <row r="137" spans="1:10" x14ac:dyDescent="0.2">
      <c r="A137" s="4">
        <v>129</v>
      </c>
      <c r="B137" s="5"/>
      <c r="C137" s="5"/>
      <c r="D137" s="5"/>
      <c r="E137" s="6"/>
      <c r="F137" s="7"/>
      <c r="G137" s="41"/>
      <c r="H137" s="6"/>
      <c r="I137" s="41"/>
      <c r="J137" s="41" t="b">
        <f t="shared" si="1"/>
        <v>0</v>
      </c>
    </row>
    <row r="138" spans="1:10" x14ac:dyDescent="0.2">
      <c r="A138" s="4">
        <v>130</v>
      </c>
      <c r="B138" s="5"/>
      <c r="C138" s="5"/>
      <c r="D138" s="5"/>
      <c r="E138" s="6"/>
      <c r="F138" s="7"/>
      <c r="G138" s="41"/>
      <c r="H138" s="6"/>
      <c r="I138" s="41"/>
      <c r="J138" s="41" t="b">
        <f t="shared" ref="J138:J201" si="2">IF(H138=$M$3,G138,IF(H138=$M$4,-I138))</f>
        <v>0</v>
      </c>
    </row>
    <row r="139" spans="1:10" x14ac:dyDescent="0.2">
      <c r="A139" s="4">
        <v>131</v>
      </c>
      <c r="B139" s="5"/>
      <c r="C139" s="5"/>
      <c r="D139" s="5"/>
      <c r="E139" s="6"/>
      <c r="F139" s="7"/>
      <c r="G139" s="41"/>
      <c r="H139" s="6"/>
      <c r="I139" s="41"/>
      <c r="J139" s="41" t="b">
        <f t="shared" si="2"/>
        <v>0</v>
      </c>
    </row>
    <row r="140" spans="1:10" x14ac:dyDescent="0.2">
      <c r="A140" s="4">
        <v>132</v>
      </c>
      <c r="B140" s="5"/>
      <c r="C140" s="5"/>
      <c r="D140" s="5"/>
      <c r="E140" s="6"/>
      <c r="F140" s="7"/>
      <c r="G140" s="41"/>
      <c r="H140" s="6"/>
      <c r="I140" s="41"/>
      <c r="J140" s="41" t="b">
        <f t="shared" si="2"/>
        <v>0</v>
      </c>
    </row>
    <row r="141" spans="1:10" x14ac:dyDescent="0.2">
      <c r="A141" s="4">
        <v>133</v>
      </c>
      <c r="B141" s="5"/>
      <c r="C141" s="5"/>
      <c r="D141" s="5"/>
      <c r="E141" s="6"/>
      <c r="F141" s="7"/>
      <c r="G141" s="41"/>
      <c r="H141" s="6"/>
      <c r="I141" s="41"/>
      <c r="J141" s="41" t="b">
        <f t="shared" si="2"/>
        <v>0</v>
      </c>
    </row>
    <row r="142" spans="1:10" x14ac:dyDescent="0.2">
      <c r="A142" s="4">
        <v>134</v>
      </c>
      <c r="B142" s="5"/>
      <c r="C142" s="5"/>
      <c r="D142" s="5"/>
      <c r="E142" s="6"/>
      <c r="F142" s="7"/>
      <c r="G142" s="41"/>
      <c r="H142" s="6"/>
      <c r="I142" s="41"/>
      <c r="J142" s="41" t="b">
        <f t="shared" si="2"/>
        <v>0</v>
      </c>
    </row>
    <row r="143" spans="1:10" x14ac:dyDescent="0.2">
      <c r="A143" s="4">
        <v>135</v>
      </c>
      <c r="B143" s="5"/>
      <c r="C143" s="5"/>
      <c r="D143" s="5"/>
      <c r="E143" s="6"/>
      <c r="F143" s="7"/>
      <c r="G143" s="41"/>
      <c r="H143" s="6"/>
      <c r="I143" s="41"/>
      <c r="J143" s="41" t="b">
        <f t="shared" si="2"/>
        <v>0</v>
      </c>
    </row>
    <row r="144" spans="1:10" x14ac:dyDescent="0.2">
      <c r="A144" s="4">
        <v>136</v>
      </c>
      <c r="B144" s="5"/>
      <c r="C144" s="5"/>
      <c r="D144" s="5"/>
      <c r="E144" s="6"/>
      <c r="F144" s="7"/>
      <c r="G144" s="41"/>
      <c r="H144" s="6"/>
      <c r="I144" s="41"/>
      <c r="J144" s="41" t="b">
        <f t="shared" si="2"/>
        <v>0</v>
      </c>
    </row>
    <row r="145" spans="1:10" x14ac:dyDescent="0.2">
      <c r="A145" s="4">
        <v>137</v>
      </c>
      <c r="B145" s="5"/>
      <c r="C145" s="5"/>
      <c r="D145" s="5"/>
      <c r="E145" s="6"/>
      <c r="F145" s="7"/>
      <c r="G145" s="41"/>
      <c r="H145" s="6"/>
      <c r="I145" s="41"/>
      <c r="J145" s="41" t="b">
        <f t="shared" si="2"/>
        <v>0</v>
      </c>
    </row>
    <row r="146" spans="1:10" x14ac:dyDescent="0.2">
      <c r="A146" s="4">
        <v>138</v>
      </c>
      <c r="B146" s="5"/>
      <c r="C146" s="5"/>
      <c r="D146" s="5"/>
      <c r="E146" s="6"/>
      <c r="F146" s="7"/>
      <c r="G146" s="41"/>
      <c r="H146" s="6"/>
      <c r="I146" s="41"/>
      <c r="J146" s="41" t="b">
        <f t="shared" si="2"/>
        <v>0</v>
      </c>
    </row>
    <row r="147" spans="1:10" x14ac:dyDescent="0.2">
      <c r="A147" s="4">
        <v>139</v>
      </c>
      <c r="B147" s="5"/>
      <c r="C147" s="5"/>
      <c r="D147" s="5"/>
      <c r="E147" s="6"/>
      <c r="F147" s="7"/>
      <c r="G147" s="41"/>
      <c r="H147" s="6"/>
      <c r="I147" s="41"/>
      <c r="J147" s="41" t="b">
        <f t="shared" si="2"/>
        <v>0</v>
      </c>
    </row>
    <row r="148" spans="1:10" x14ac:dyDescent="0.2">
      <c r="A148" s="4">
        <v>140</v>
      </c>
      <c r="B148" s="5"/>
      <c r="C148" s="5"/>
      <c r="D148" s="5"/>
      <c r="E148" s="6"/>
      <c r="F148" s="7"/>
      <c r="G148" s="41"/>
      <c r="H148" s="6"/>
      <c r="I148" s="41"/>
      <c r="J148" s="41" t="b">
        <f t="shared" si="2"/>
        <v>0</v>
      </c>
    </row>
    <row r="149" spans="1:10" x14ac:dyDescent="0.2">
      <c r="A149" s="4">
        <v>141</v>
      </c>
      <c r="B149" s="5"/>
      <c r="C149" s="5"/>
      <c r="D149" s="5"/>
      <c r="E149" s="6"/>
      <c r="F149" s="7"/>
      <c r="G149" s="41"/>
      <c r="H149" s="6"/>
      <c r="I149" s="41"/>
      <c r="J149" s="41" t="b">
        <f t="shared" si="2"/>
        <v>0</v>
      </c>
    </row>
    <row r="150" spans="1:10" x14ac:dyDescent="0.2">
      <c r="A150" s="4">
        <v>142</v>
      </c>
      <c r="B150" s="5"/>
      <c r="C150" s="5"/>
      <c r="D150" s="5"/>
      <c r="E150" s="6"/>
      <c r="F150" s="7"/>
      <c r="G150" s="41"/>
      <c r="H150" s="6"/>
      <c r="I150" s="41"/>
      <c r="J150" s="41" t="b">
        <f t="shared" si="2"/>
        <v>0</v>
      </c>
    </row>
    <row r="151" spans="1:10" x14ac:dyDescent="0.2">
      <c r="A151" s="4">
        <v>143</v>
      </c>
      <c r="B151" s="5"/>
      <c r="C151" s="5"/>
      <c r="D151" s="5"/>
      <c r="E151" s="6"/>
      <c r="F151" s="7"/>
      <c r="G151" s="41"/>
      <c r="H151" s="6"/>
      <c r="I151" s="41"/>
      <c r="J151" s="41" t="b">
        <f t="shared" si="2"/>
        <v>0</v>
      </c>
    </row>
    <row r="152" spans="1:10" x14ac:dyDescent="0.2">
      <c r="A152" s="4">
        <v>144</v>
      </c>
      <c r="B152" s="5"/>
      <c r="C152" s="5"/>
      <c r="D152" s="5"/>
      <c r="E152" s="6"/>
      <c r="F152" s="7"/>
      <c r="G152" s="41"/>
      <c r="H152" s="6"/>
      <c r="I152" s="41"/>
      <c r="J152" s="41" t="b">
        <f t="shared" si="2"/>
        <v>0</v>
      </c>
    </row>
    <row r="153" spans="1:10" x14ac:dyDescent="0.2">
      <c r="A153" s="4">
        <v>145</v>
      </c>
      <c r="B153" s="5"/>
      <c r="C153" s="5"/>
      <c r="D153" s="5"/>
      <c r="E153" s="6"/>
      <c r="F153" s="7"/>
      <c r="G153" s="41"/>
      <c r="H153" s="6"/>
      <c r="I153" s="41"/>
      <c r="J153" s="41" t="b">
        <f t="shared" si="2"/>
        <v>0</v>
      </c>
    </row>
    <row r="154" spans="1:10" x14ac:dyDescent="0.2">
      <c r="A154" s="4">
        <v>146</v>
      </c>
      <c r="B154" s="5"/>
      <c r="C154" s="5"/>
      <c r="D154" s="5"/>
      <c r="E154" s="6"/>
      <c r="F154" s="7"/>
      <c r="G154" s="41"/>
      <c r="H154" s="6"/>
      <c r="I154" s="41"/>
      <c r="J154" s="41" t="b">
        <f t="shared" si="2"/>
        <v>0</v>
      </c>
    </row>
    <row r="155" spans="1:10" x14ac:dyDescent="0.2">
      <c r="A155" s="4">
        <v>147</v>
      </c>
      <c r="B155" s="5"/>
      <c r="C155" s="5"/>
      <c r="D155" s="5"/>
      <c r="E155" s="6"/>
      <c r="F155" s="7"/>
      <c r="G155" s="41"/>
      <c r="H155" s="6"/>
      <c r="I155" s="41"/>
      <c r="J155" s="41" t="b">
        <f t="shared" si="2"/>
        <v>0</v>
      </c>
    </row>
    <row r="156" spans="1:10" x14ac:dyDescent="0.2">
      <c r="A156" s="4">
        <v>148</v>
      </c>
      <c r="B156" s="5"/>
      <c r="C156" s="5"/>
      <c r="D156" s="5"/>
      <c r="E156" s="6"/>
      <c r="F156" s="7"/>
      <c r="G156" s="41"/>
      <c r="H156" s="6"/>
      <c r="I156" s="41"/>
      <c r="J156" s="41" t="b">
        <f t="shared" si="2"/>
        <v>0</v>
      </c>
    </row>
    <row r="157" spans="1:10" x14ac:dyDescent="0.2">
      <c r="A157" s="4">
        <v>149</v>
      </c>
      <c r="B157" s="5"/>
      <c r="C157" s="5"/>
      <c r="D157" s="5"/>
      <c r="E157" s="6"/>
      <c r="F157" s="7"/>
      <c r="G157" s="41"/>
      <c r="H157" s="6"/>
      <c r="I157" s="41"/>
      <c r="J157" s="41" t="b">
        <f t="shared" si="2"/>
        <v>0</v>
      </c>
    </row>
    <row r="158" spans="1:10" x14ac:dyDescent="0.2">
      <c r="A158" s="4">
        <v>150</v>
      </c>
      <c r="B158" s="5"/>
      <c r="C158" s="5"/>
      <c r="D158" s="5"/>
      <c r="E158" s="6"/>
      <c r="F158" s="7"/>
      <c r="G158" s="41"/>
      <c r="H158" s="6"/>
      <c r="I158" s="41"/>
      <c r="J158" s="41" t="b">
        <f t="shared" si="2"/>
        <v>0</v>
      </c>
    </row>
    <row r="159" spans="1:10" x14ac:dyDescent="0.2">
      <c r="A159" s="4">
        <v>151</v>
      </c>
      <c r="B159" s="5"/>
      <c r="C159" s="5"/>
      <c r="D159" s="5"/>
      <c r="E159" s="6"/>
      <c r="F159" s="7"/>
      <c r="G159" s="41"/>
      <c r="H159" s="6"/>
      <c r="I159" s="41"/>
      <c r="J159" s="41" t="b">
        <f t="shared" si="2"/>
        <v>0</v>
      </c>
    </row>
    <row r="160" spans="1:10" x14ac:dyDescent="0.2">
      <c r="A160" s="4">
        <v>152</v>
      </c>
      <c r="B160" s="5"/>
      <c r="C160" s="5"/>
      <c r="D160" s="5"/>
      <c r="E160" s="6"/>
      <c r="F160" s="7"/>
      <c r="G160" s="41"/>
      <c r="H160" s="6"/>
      <c r="I160" s="41"/>
      <c r="J160" s="41" t="b">
        <f t="shared" si="2"/>
        <v>0</v>
      </c>
    </row>
    <row r="161" spans="1:10" x14ac:dyDescent="0.2">
      <c r="A161" s="4">
        <v>153</v>
      </c>
      <c r="B161" s="5"/>
      <c r="C161" s="5"/>
      <c r="D161" s="5"/>
      <c r="E161" s="6"/>
      <c r="F161" s="7"/>
      <c r="G161" s="41"/>
      <c r="H161" s="6"/>
      <c r="I161" s="41"/>
      <c r="J161" s="41" t="b">
        <f t="shared" si="2"/>
        <v>0</v>
      </c>
    </row>
    <row r="162" spans="1:10" x14ac:dyDescent="0.2">
      <c r="A162" s="4">
        <v>154</v>
      </c>
      <c r="B162" s="5"/>
      <c r="C162" s="5"/>
      <c r="D162" s="5"/>
      <c r="E162" s="6"/>
      <c r="F162" s="7"/>
      <c r="G162" s="41"/>
      <c r="H162" s="6"/>
      <c r="I162" s="41"/>
      <c r="J162" s="41" t="b">
        <f t="shared" si="2"/>
        <v>0</v>
      </c>
    </row>
    <row r="163" spans="1:10" x14ac:dyDescent="0.2">
      <c r="A163" s="4">
        <v>155</v>
      </c>
      <c r="B163" s="5"/>
      <c r="C163" s="5"/>
      <c r="D163" s="5"/>
      <c r="E163" s="6"/>
      <c r="F163" s="7"/>
      <c r="G163" s="41"/>
      <c r="H163" s="6"/>
      <c r="I163" s="41"/>
      <c r="J163" s="41" t="b">
        <f t="shared" si="2"/>
        <v>0</v>
      </c>
    </row>
    <row r="164" spans="1:10" x14ac:dyDescent="0.2">
      <c r="A164" s="4">
        <v>156</v>
      </c>
      <c r="B164" s="5"/>
      <c r="C164" s="5"/>
      <c r="D164" s="5"/>
      <c r="E164" s="6"/>
      <c r="F164" s="7"/>
      <c r="G164" s="41"/>
      <c r="H164" s="6"/>
      <c r="I164" s="41"/>
      <c r="J164" s="41" t="b">
        <f t="shared" si="2"/>
        <v>0</v>
      </c>
    </row>
    <row r="165" spans="1:10" x14ac:dyDescent="0.2">
      <c r="A165" s="4">
        <v>157</v>
      </c>
      <c r="B165" s="5"/>
      <c r="C165" s="5"/>
      <c r="D165" s="5"/>
      <c r="E165" s="6"/>
      <c r="F165" s="7"/>
      <c r="G165" s="41"/>
      <c r="H165" s="6"/>
      <c r="I165" s="41"/>
      <c r="J165" s="41" t="b">
        <f t="shared" si="2"/>
        <v>0</v>
      </c>
    </row>
    <row r="166" spans="1:10" x14ac:dyDescent="0.2">
      <c r="A166" s="4">
        <v>158</v>
      </c>
      <c r="B166" s="5"/>
      <c r="C166" s="5"/>
      <c r="D166" s="5"/>
      <c r="E166" s="6"/>
      <c r="F166" s="7"/>
      <c r="G166" s="41"/>
      <c r="H166" s="6"/>
      <c r="I166" s="41"/>
      <c r="J166" s="41" t="b">
        <f t="shared" si="2"/>
        <v>0</v>
      </c>
    </row>
    <row r="167" spans="1:10" x14ac:dyDescent="0.2">
      <c r="A167" s="4">
        <v>159</v>
      </c>
      <c r="B167" s="5"/>
      <c r="C167" s="5"/>
      <c r="D167" s="5"/>
      <c r="E167" s="6"/>
      <c r="F167" s="7"/>
      <c r="G167" s="41"/>
      <c r="H167" s="6"/>
      <c r="I167" s="41"/>
      <c r="J167" s="41" t="b">
        <f t="shared" si="2"/>
        <v>0</v>
      </c>
    </row>
    <row r="168" spans="1:10" x14ac:dyDescent="0.2">
      <c r="A168" s="4">
        <v>160</v>
      </c>
      <c r="B168" s="5"/>
      <c r="C168" s="5"/>
      <c r="D168" s="5"/>
      <c r="E168" s="6"/>
      <c r="F168" s="7"/>
      <c r="G168" s="41"/>
      <c r="H168" s="6"/>
      <c r="I168" s="41"/>
      <c r="J168" s="41" t="b">
        <f t="shared" si="2"/>
        <v>0</v>
      </c>
    </row>
    <row r="169" spans="1:10" x14ac:dyDescent="0.2">
      <c r="A169" s="4">
        <v>161</v>
      </c>
      <c r="B169" s="5"/>
      <c r="C169" s="5"/>
      <c r="D169" s="5"/>
      <c r="E169" s="6"/>
      <c r="F169" s="7"/>
      <c r="G169" s="41"/>
      <c r="H169" s="6"/>
      <c r="I169" s="41"/>
      <c r="J169" s="41" t="b">
        <f t="shared" si="2"/>
        <v>0</v>
      </c>
    </row>
    <row r="170" spans="1:10" x14ac:dyDescent="0.2">
      <c r="A170" s="4">
        <v>162</v>
      </c>
      <c r="B170" s="5"/>
      <c r="C170" s="5"/>
      <c r="D170" s="5"/>
      <c r="E170" s="6"/>
      <c r="F170" s="7"/>
      <c r="G170" s="41"/>
      <c r="H170" s="6"/>
      <c r="I170" s="41"/>
      <c r="J170" s="41" t="b">
        <f t="shared" si="2"/>
        <v>0</v>
      </c>
    </row>
    <row r="171" spans="1:10" x14ac:dyDescent="0.2">
      <c r="A171" s="4">
        <v>163</v>
      </c>
      <c r="B171" s="5"/>
      <c r="C171" s="5"/>
      <c r="D171" s="5"/>
      <c r="E171" s="6"/>
      <c r="F171" s="7"/>
      <c r="G171" s="41"/>
      <c r="H171" s="6"/>
      <c r="I171" s="41"/>
      <c r="J171" s="41" t="b">
        <f t="shared" si="2"/>
        <v>0</v>
      </c>
    </row>
    <row r="172" spans="1:10" x14ac:dyDescent="0.2">
      <c r="A172" s="4">
        <v>164</v>
      </c>
      <c r="B172" s="5"/>
      <c r="C172" s="5"/>
      <c r="D172" s="5"/>
      <c r="E172" s="6"/>
      <c r="F172" s="7"/>
      <c r="G172" s="41"/>
      <c r="H172" s="6"/>
      <c r="I172" s="41"/>
      <c r="J172" s="41" t="b">
        <f t="shared" si="2"/>
        <v>0</v>
      </c>
    </row>
    <row r="173" spans="1:10" x14ac:dyDescent="0.2">
      <c r="A173" s="4">
        <v>165</v>
      </c>
      <c r="B173" s="5"/>
      <c r="C173" s="5"/>
      <c r="D173" s="5"/>
      <c r="E173" s="6"/>
      <c r="F173" s="7"/>
      <c r="G173" s="41"/>
      <c r="H173" s="6"/>
      <c r="I173" s="41"/>
      <c r="J173" s="41" t="b">
        <f t="shared" si="2"/>
        <v>0</v>
      </c>
    </row>
    <row r="174" spans="1:10" x14ac:dyDescent="0.2">
      <c r="A174" s="4">
        <v>166</v>
      </c>
      <c r="B174" s="5"/>
      <c r="C174" s="5"/>
      <c r="D174" s="5"/>
      <c r="E174" s="6"/>
      <c r="F174" s="7"/>
      <c r="G174" s="41"/>
      <c r="H174" s="6"/>
      <c r="I174" s="41"/>
      <c r="J174" s="41" t="b">
        <f t="shared" si="2"/>
        <v>0</v>
      </c>
    </row>
    <row r="175" spans="1:10" x14ac:dyDescent="0.2">
      <c r="A175" s="4">
        <v>167</v>
      </c>
      <c r="B175" s="5"/>
      <c r="C175" s="5"/>
      <c r="D175" s="5"/>
      <c r="E175" s="6"/>
      <c r="F175" s="7"/>
      <c r="G175" s="41"/>
      <c r="H175" s="6"/>
      <c r="I175" s="41"/>
      <c r="J175" s="41" t="b">
        <f t="shared" si="2"/>
        <v>0</v>
      </c>
    </row>
    <row r="176" spans="1:10" x14ac:dyDescent="0.2">
      <c r="A176" s="4">
        <v>168</v>
      </c>
      <c r="B176" s="5"/>
      <c r="C176" s="5"/>
      <c r="D176" s="5"/>
      <c r="E176" s="6"/>
      <c r="F176" s="7"/>
      <c r="G176" s="41"/>
      <c r="H176" s="6"/>
      <c r="I176" s="41"/>
      <c r="J176" s="41" t="b">
        <f t="shared" si="2"/>
        <v>0</v>
      </c>
    </row>
    <row r="177" spans="1:10" x14ac:dyDescent="0.2">
      <c r="A177" s="4">
        <v>169</v>
      </c>
      <c r="B177" s="5"/>
      <c r="C177" s="5"/>
      <c r="D177" s="5"/>
      <c r="E177" s="6"/>
      <c r="F177" s="7"/>
      <c r="G177" s="41"/>
      <c r="H177" s="6"/>
      <c r="I177" s="41"/>
      <c r="J177" s="41" t="b">
        <f t="shared" si="2"/>
        <v>0</v>
      </c>
    </row>
    <row r="178" spans="1:10" x14ac:dyDescent="0.2">
      <c r="A178" s="4">
        <v>170</v>
      </c>
      <c r="B178" s="5"/>
      <c r="C178" s="5"/>
      <c r="D178" s="5"/>
      <c r="E178" s="6"/>
      <c r="F178" s="7"/>
      <c r="G178" s="41"/>
      <c r="H178" s="6"/>
      <c r="I178" s="41"/>
      <c r="J178" s="41" t="b">
        <f t="shared" si="2"/>
        <v>0</v>
      </c>
    </row>
    <row r="179" spans="1:10" x14ac:dyDescent="0.2">
      <c r="A179" s="4">
        <v>171</v>
      </c>
      <c r="B179" s="5"/>
      <c r="C179" s="5"/>
      <c r="D179" s="5"/>
      <c r="E179" s="6"/>
      <c r="F179" s="7"/>
      <c r="G179" s="41"/>
      <c r="H179" s="6"/>
      <c r="I179" s="41"/>
      <c r="J179" s="41" t="b">
        <f t="shared" si="2"/>
        <v>0</v>
      </c>
    </row>
    <row r="180" spans="1:10" x14ac:dyDescent="0.2">
      <c r="A180" s="4">
        <v>172</v>
      </c>
      <c r="B180" s="5"/>
      <c r="C180" s="5"/>
      <c r="D180" s="5"/>
      <c r="E180" s="6"/>
      <c r="F180" s="7"/>
      <c r="G180" s="41"/>
      <c r="H180" s="6"/>
      <c r="I180" s="41"/>
      <c r="J180" s="41" t="b">
        <f t="shared" si="2"/>
        <v>0</v>
      </c>
    </row>
    <row r="181" spans="1:10" x14ac:dyDescent="0.2">
      <c r="A181" s="4">
        <v>173</v>
      </c>
      <c r="B181" s="5"/>
      <c r="C181" s="5"/>
      <c r="D181" s="5"/>
      <c r="E181" s="6"/>
      <c r="F181" s="7"/>
      <c r="G181" s="41"/>
      <c r="H181" s="6"/>
      <c r="I181" s="41"/>
      <c r="J181" s="41" t="b">
        <f t="shared" si="2"/>
        <v>0</v>
      </c>
    </row>
    <row r="182" spans="1:10" x14ac:dyDescent="0.2">
      <c r="A182" s="4">
        <v>174</v>
      </c>
      <c r="B182" s="5"/>
      <c r="C182" s="5"/>
      <c r="D182" s="5"/>
      <c r="E182" s="6"/>
      <c r="F182" s="7"/>
      <c r="G182" s="41"/>
      <c r="H182" s="6"/>
      <c r="I182" s="41"/>
      <c r="J182" s="41" t="b">
        <f t="shared" si="2"/>
        <v>0</v>
      </c>
    </row>
    <row r="183" spans="1:10" x14ac:dyDescent="0.2">
      <c r="A183" s="4">
        <v>175</v>
      </c>
      <c r="B183" s="5"/>
      <c r="C183" s="5"/>
      <c r="D183" s="5"/>
      <c r="E183" s="6"/>
      <c r="F183" s="7"/>
      <c r="G183" s="41"/>
      <c r="H183" s="6"/>
      <c r="I183" s="41"/>
      <c r="J183" s="41" t="b">
        <f t="shared" si="2"/>
        <v>0</v>
      </c>
    </row>
    <row r="184" spans="1:10" x14ac:dyDescent="0.2">
      <c r="A184" s="4">
        <v>176</v>
      </c>
      <c r="B184" s="5"/>
      <c r="C184" s="5"/>
      <c r="D184" s="5"/>
      <c r="E184" s="6"/>
      <c r="F184" s="7"/>
      <c r="G184" s="41"/>
      <c r="H184" s="6"/>
      <c r="I184" s="41"/>
      <c r="J184" s="41" t="b">
        <f t="shared" si="2"/>
        <v>0</v>
      </c>
    </row>
    <row r="185" spans="1:10" x14ac:dyDescent="0.2">
      <c r="A185" s="4">
        <v>177</v>
      </c>
      <c r="B185" s="5"/>
      <c r="C185" s="5"/>
      <c r="D185" s="5"/>
      <c r="E185" s="6"/>
      <c r="F185" s="7"/>
      <c r="G185" s="41"/>
      <c r="H185" s="6"/>
      <c r="I185" s="41"/>
      <c r="J185" s="41" t="b">
        <f t="shared" si="2"/>
        <v>0</v>
      </c>
    </row>
    <row r="186" spans="1:10" x14ac:dyDescent="0.2">
      <c r="A186" s="4">
        <v>178</v>
      </c>
      <c r="B186" s="5"/>
      <c r="C186" s="5"/>
      <c r="D186" s="5"/>
      <c r="E186" s="6"/>
      <c r="F186" s="7"/>
      <c r="G186" s="41"/>
      <c r="H186" s="6"/>
      <c r="I186" s="41"/>
      <c r="J186" s="41" t="b">
        <f t="shared" si="2"/>
        <v>0</v>
      </c>
    </row>
    <row r="187" spans="1:10" x14ac:dyDescent="0.2">
      <c r="A187" s="4">
        <v>179</v>
      </c>
      <c r="B187" s="5"/>
      <c r="C187" s="5"/>
      <c r="D187" s="5"/>
      <c r="E187" s="6"/>
      <c r="F187" s="7"/>
      <c r="G187" s="41"/>
      <c r="H187" s="6"/>
      <c r="I187" s="41"/>
      <c r="J187" s="41" t="b">
        <f t="shared" si="2"/>
        <v>0</v>
      </c>
    </row>
    <row r="188" spans="1:10" x14ac:dyDescent="0.2">
      <c r="A188" s="4">
        <v>180</v>
      </c>
      <c r="B188" s="5"/>
      <c r="C188" s="5"/>
      <c r="D188" s="5"/>
      <c r="E188" s="6"/>
      <c r="F188" s="7"/>
      <c r="G188" s="41"/>
      <c r="H188" s="6"/>
      <c r="I188" s="41"/>
      <c r="J188" s="41" t="b">
        <f t="shared" si="2"/>
        <v>0</v>
      </c>
    </row>
    <row r="189" spans="1:10" x14ac:dyDescent="0.2">
      <c r="A189" s="4">
        <v>181</v>
      </c>
      <c r="B189" s="5"/>
      <c r="C189" s="5"/>
      <c r="D189" s="5"/>
      <c r="E189" s="6"/>
      <c r="F189" s="7"/>
      <c r="G189" s="41"/>
      <c r="H189" s="6"/>
      <c r="I189" s="41"/>
      <c r="J189" s="41" t="b">
        <f t="shared" si="2"/>
        <v>0</v>
      </c>
    </row>
    <row r="190" spans="1:10" x14ac:dyDescent="0.2">
      <c r="A190" s="4">
        <v>182</v>
      </c>
      <c r="B190" s="5"/>
      <c r="C190" s="5"/>
      <c r="D190" s="5"/>
      <c r="E190" s="6"/>
      <c r="F190" s="7"/>
      <c r="G190" s="41"/>
      <c r="H190" s="6"/>
      <c r="I190" s="41"/>
      <c r="J190" s="41" t="b">
        <f t="shared" si="2"/>
        <v>0</v>
      </c>
    </row>
    <row r="191" spans="1:10" x14ac:dyDescent="0.2">
      <c r="A191" s="4">
        <v>183</v>
      </c>
      <c r="B191" s="5"/>
      <c r="C191" s="5"/>
      <c r="D191" s="5"/>
      <c r="E191" s="6"/>
      <c r="F191" s="7"/>
      <c r="G191" s="41"/>
      <c r="H191" s="6"/>
      <c r="I191" s="41"/>
      <c r="J191" s="41" t="b">
        <f t="shared" si="2"/>
        <v>0</v>
      </c>
    </row>
    <row r="192" spans="1:10" x14ac:dyDescent="0.2">
      <c r="A192" s="4">
        <v>184</v>
      </c>
      <c r="B192" s="5"/>
      <c r="C192" s="5"/>
      <c r="D192" s="5"/>
      <c r="E192" s="6"/>
      <c r="F192" s="7"/>
      <c r="G192" s="41"/>
      <c r="H192" s="6"/>
      <c r="I192" s="41"/>
      <c r="J192" s="41" t="b">
        <f t="shared" si="2"/>
        <v>0</v>
      </c>
    </row>
    <row r="193" spans="1:10" x14ac:dyDescent="0.2">
      <c r="A193" s="4">
        <v>185</v>
      </c>
      <c r="B193" s="5"/>
      <c r="C193" s="5"/>
      <c r="D193" s="5"/>
      <c r="E193" s="6"/>
      <c r="F193" s="7"/>
      <c r="G193" s="41"/>
      <c r="H193" s="6"/>
      <c r="I193" s="41"/>
      <c r="J193" s="41" t="b">
        <f t="shared" si="2"/>
        <v>0</v>
      </c>
    </row>
    <row r="194" spans="1:10" x14ac:dyDescent="0.2">
      <c r="A194" s="4">
        <v>186</v>
      </c>
      <c r="B194" s="5"/>
      <c r="C194" s="5"/>
      <c r="D194" s="5"/>
      <c r="E194" s="6"/>
      <c r="F194" s="7"/>
      <c r="G194" s="41"/>
      <c r="H194" s="6"/>
      <c r="I194" s="41"/>
      <c r="J194" s="41" t="b">
        <f t="shared" si="2"/>
        <v>0</v>
      </c>
    </row>
    <row r="195" spans="1:10" x14ac:dyDescent="0.2">
      <c r="A195" s="4">
        <v>187</v>
      </c>
      <c r="B195" s="5"/>
      <c r="C195" s="5"/>
      <c r="D195" s="5"/>
      <c r="E195" s="6"/>
      <c r="F195" s="7"/>
      <c r="G195" s="41"/>
      <c r="H195" s="6"/>
      <c r="I195" s="41"/>
      <c r="J195" s="41" t="b">
        <f t="shared" si="2"/>
        <v>0</v>
      </c>
    </row>
    <row r="196" spans="1:10" x14ac:dyDescent="0.2">
      <c r="A196" s="4">
        <v>188</v>
      </c>
      <c r="B196" s="5"/>
      <c r="C196" s="5"/>
      <c r="D196" s="5"/>
      <c r="E196" s="6"/>
      <c r="F196" s="7"/>
      <c r="G196" s="41"/>
      <c r="H196" s="6"/>
      <c r="I196" s="41"/>
      <c r="J196" s="41" t="b">
        <f t="shared" si="2"/>
        <v>0</v>
      </c>
    </row>
    <row r="197" spans="1:10" x14ac:dyDescent="0.2">
      <c r="A197" s="4">
        <v>189</v>
      </c>
      <c r="B197" s="5"/>
      <c r="C197" s="5"/>
      <c r="D197" s="5"/>
      <c r="E197" s="6"/>
      <c r="F197" s="7"/>
      <c r="G197" s="41"/>
      <c r="H197" s="6"/>
      <c r="I197" s="41"/>
      <c r="J197" s="41" t="b">
        <f t="shared" si="2"/>
        <v>0</v>
      </c>
    </row>
    <row r="198" spans="1:10" x14ac:dyDescent="0.2">
      <c r="A198" s="4">
        <v>190</v>
      </c>
      <c r="B198" s="5"/>
      <c r="C198" s="5"/>
      <c r="D198" s="5"/>
      <c r="E198" s="6"/>
      <c r="F198" s="7"/>
      <c r="G198" s="41"/>
      <c r="H198" s="6"/>
      <c r="I198" s="41"/>
      <c r="J198" s="41" t="b">
        <f t="shared" si="2"/>
        <v>0</v>
      </c>
    </row>
    <row r="199" spans="1:10" x14ac:dyDescent="0.2">
      <c r="A199" s="4">
        <v>191</v>
      </c>
      <c r="B199" s="5"/>
      <c r="C199" s="5"/>
      <c r="D199" s="5"/>
      <c r="E199" s="6"/>
      <c r="F199" s="7"/>
      <c r="G199" s="41"/>
      <c r="H199" s="6"/>
      <c r="I199" s="41"/>
      <c r="J199" s="41" t="b">
        <f t="shared" si="2"/>
        <v>0</v>
      </c>
    </row>
    <row r="200" spans="1:10" x14ac:dyDescent="0.2">
      <c r="A200" s="4">
        <v>192</v>
      </c>
      <c r="B200" s="5"/>
      <c r="C200" s="5"/>
      <c r="D200" s="5"/>
      <c r="E200" s="6"/>
      <c r="F200" s="7"/>
      <c r="G200" s="41"/>
      <c r="H200" s="6"/>
      <c r="I200" s="41"/>
      <c r="J200" s="41" t="b">
        <f t="shared" si="2"/>
        <v>0</v>
      </c>
    </row>
    <row r="201" spans="1:10" x14ac:dyDescent="0.2">
      <c r="A201" s="4">
        <v>193</v>
      </c>
      <c r="B201" s="5"/>
      <c r="C201" s="5"/>
      <c r="D201" s="5"/>
      <c r="E201" s="6"/>
      <c r="F201" s="7"/>
      <c r="G201" s="41"/>
      <c r="H201" s="6"/>
      <c r="I201" s="41"/>
      <c r="J201" s="41" t="b">
        <f t="shared" si="2"/>
        <v>0</v>
      </c>
    </row>
    <row r="202" spans="1:10" x14ac:dyDescent="0.2">
      <c r="A202" s="4">
        <v>194</v>
      </c>
      <c r="B202" s="5"/>
      <c r="C202" s="5"/>
      <c r="D202" s="5"/>
      <c r="E202" s="6"/>
      <c r="F202" s="7"/>
      <c r="G202" s="41"/>
      <c r="H202" s="6"/>
      <c r="I202" s="41"/>
      <c r="J202" s="41" t="b">
        <f t="shared" ref="J202:J208" si="3">IF(H202=$M$3,G202,IF(H202=$M$4,-I202))</f>
        <v>0</v>
      </c>
    </row>
    <row r="203" spans="1:10" x14ac:dyDescent="0.2">
      <c r="A203" s="4">
        <v>195</v>
      </c>
      <c r="B203" s="5"/>
      <c r="C203" s="5"/>
      <c r="D203" s="5"/>
      <c r="E203" s="6"/>
      <c r="F203" s="7"/>
      <c r="G203" s="41"/>
      <c r="H203" s="6"/>
      <c r="I203" s="41"/>
      <c r="J203" s="41" t="b">
        <f t="shared" si="3"/>
        <v>0</v>
      </c>
    </row>
    <row r="204" spans="1:10" x14ac:dyDescent="0.2">
      <c r="A204" s="4">
        <v>196</v>
      </c>
      <c r="B204" s="5"/>
      <c r="C204" s="5"/>
      <c r="D204" s="5"/>
      <c r="E204" s="6"/>
      <c r="F204" s="7"/>
      <c r="G204" s="41"/>
      <c r="H204" s="6"/>
      <c r="I204" s="41"/>
      <c r="J204" s="41" t="b">
        <f t="shared" si="3"/>
        <v>0</v>
      </c>
    </row>
    <row r="205" spans="1:10" x14ac:dyDescent="0.2">
      <c r="A205" s="4">
        <v>197</v>
      </c>
      <c r="B205" s="5"/>
      <c r="C205" s="5"/>
      <c r="D205" s="5"/>
      <c r="E205" s="6"/>
      <c r="F205" s="7"/>
      <c r="G205" s="41"/>
      <c r="H205" s="6"/>
      <c r="I205" s="41"/>
      <c r="J205" s="41" t="b">
        <f t="shared" si="3"/>
        <v>0</v>
      </c>
    </row>
    <row r="206" spans="1:10" x14ac:dyDescent="0.2">
      <c r="A206" s="4">
        <v>198</v>
      </c>
      <c r="B206" s="5"/>
      <c r="C206" s="5"/>
      <c r="D206" s="5"/>
      <c r="E206" s="6"/>
      <c r="F206" s="7"/>
      <c r="G206" s="41"/>
      <c r="H206" s="6"/>
      <c r="I206" s="41"/>
      <c r="J206" s="41" t="b">
        <f t="shared" si="3"/>
        <v>0</v>
      </c>
    </row>
    <row r="207" spans="1:10" x14ac:dyDescent="0.2">
      <c r="A207" s="4">
        <v>199</v>
      </c>
      <c r="B207" s="5"/>
      <c r="C207" s="5"/>
      <c r="D207" s="5"/>
      <c r="E207" s="6"/>
      <c r="F207" s="7"/>
      <c r="G207" s="41"/>
      <c r="H207" s="6"/>
      <c r="I207" s="41"/>
      <c r="J207" s="41" t="b">
        <f t="shared" si="3"/>
        <v>0</v>
      </c>
    </row>
    <row r="208" spans="1:10" x14ac:dyDescent="0.2">
      <c r="A208" s="4">
        <v>200</v>
      </c>
      <c r="B208" s="5"/>
      <c r="C208" s="5"/>
      <c r="D208" s="5"/>
      <c r="E208" s="6"/>
      <c r="F208" s="7"/>
      <c r="G208" s="41"/>
      <c r="H208" s="6"/>
      <c r="I208" s="41"/>
      <c r="J208" s="41" t="b">
        <f t="shared" si="3"/>
        <v>0</v>
      </c>
    </row>
  </sheetData>
  <autoFilter ref="A8:J208" xr:uid="{00000000-0009-0000-0000-000009000000}"/>
  <mergeCells count="2">
    <mergeCell ref="A1:E1"/>
    <mergeCell ref="I1:J1"/>
  </mergeCells>
  <conditionalFormatting sqref="J8:J1048576">
    <cfRule type="cellIs" dxfId="170" priority="3" operator="equal">
      <formula>"ERROR"</formula>
    </cfRule>
  </conditionalFormatting>
  <conditionalFormatting sqref="D4">
    <cfRule type="cellIs" dxfId="169" priority="1" operator="lessThanOrEqual">
      <formula>0</formula>
    </cfRule>
    <cfRule type="cellIs" dxfId="168" priority="2" operator="greaterThan">
      <formula>0</formula>
    </cfRule>
  </conditionalFormatting>
  <dataValidations count="2">
    <dataValidation type="list" allowBlank="1" showInputMessage="1" showErrorMessage="1" sqref="C10:C1048576" xr:uid="{4E88CA9F-4135-1E4E-A3E7-2E451ECFC590}">
      <formula1>$P$3:$P$5</formula1>
    </dataValidation>
    <dataValidation type="list" allowBlank="1" showInputMessage="1" showErrorMessage="1" sqref="H9:H1048576" xr:uid="{BC4B4E9B-B8E6-8B44-8278-43591C06A578}">
      <formula1>$M$3:$M$4</formula1>
    </dataValidation>
  </dataValidations>
  <hyperlinks>
    <hyperlink ref="I1:J1" location="'Master Sheet'!A1" display="GO BACK TO MASTER SHEET" xr:uid="{0935CF52-467E-EC48-852B-55ED69342335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C5F0920-9BB9-654D-B970-2F1D8588BA14}">
          <x14:formula1>
            <xm:f>'Master Sheet'!$AT$5:$AT$59</xm:f>
          </x14:formula1>
          <xm:sqref>C9:D9</xm:sqref>
        </x14:dataValidation>
        <x14:dataValidation type="list" allowBlank="1" errorTitle="Invalid selection" error="Select a value from the list." promptTitle="Selection" prompt="Pick from the dropdown list." xr:uid="{B7992370-4758-E647-AA0A-1C0D58C3913A}">
          <x14:formula1>
            <xm:f>'Master Sheet'!$AE$5:$AE$28</xm:f>
          </x14:formula1>
          <xm:sqref>E9</xm:sqref>
        </x14:dataValidation>
        <x14:dataValidation type="list" allowBlank="1" errorTitle="Invalid selection" error="Select a value from the list." promptTitle="Selection" prompt="Pick from the dropdown list." xr:uid="{A5A84F5B-6A51-4148-B569-2D7E5C832780}">
          <x14:formula1>
            <xm:f>'Master Sheet'!$AJ$5:$AJ$6</xm:f>
          </x14:formula1>
          <xm:sqref>E10:E1048576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1AEC8-C5D2-AE4D-A04A-481C891EE6D2}">
  <sheetPr codeName="Sheet7"/>
  <dimension ref="A1:P208"/>
  <sheetViews>
    <sheetView showGridLines="0" zoomScale="116" workbookViewId="0">
      <pane ySplit="8" topLeftCell="A60" activePane="bottomLeft" state="frozen"/>
      <selection pane="bottomLeft" activeCell="I1" sqref="I1:J1"/>
    </sheetView>
  </sheetViews>
  <sheetFormatPr baseColWidth="10" defaultColWidth="8.83203125" defaultRowHeight="15" x14ac:dyDescent="0.2"/>
  <cols>
    <col min="1" max="1" width="10" customWidth="1"/>
    <col min="2" max="2" width="12" style="83" customWidth="1"/>
    <col min="3" max="3" width="12" customWidth="1"/>
    <col min="4" max="4" width="13.5" bestFit="1" customWidth="1"/>
    <col min="5" max="5" width="18.6640625" bestFit="1" customWidth="1"/>
    <col min="6" max="6" width="13" customWidth="1"/>
    <col min="7" max="7" width="13" style="42" customWidth="1"/>
    <col min="8" max="8" width="23.83203125" bestFit="1" customWidth="1"/>
    <col min="9" max="9" width="14.6640625" style="42" bestFit="1" customWidth="1"/>
    <col min="10" max="10" width="16" style="42" customWidth="1"/>
    <col min="11" max="11" width="13.5" bestFit="1" customWidth="1"/>
  </cols>
  <sheetData>
    <row r="1" spans="1:16" ht="24" customHeight="1" x14ac:dyDescent="0.2">
      <c r="A1" s="86" t="str">
        <f ca="1">VLOOKUP(A2,'Master Sheet'!T5:U7,2)</f>
        <v>Naveed</v>
      </c>
      <c r="B1" s="86"/>
      <c r="C1" s="86"/>
      <c r="D1" s="86"/>
      <c r="E1" s="86"/>
      <c r="F1" s="49"/>
      <c r="G1" s="49"/>
      <c r="I1" s="87" t="s">
        <v>202</v>
      </c>
      <c r="J1" s="87"/>
    </row>
    <row r="2" spans="1:16" ht="20" thickBot="1" x14ac:dyDescent="0.3">
      <c r="A2" s="48" t="str" cm="1">
        <f t="array" aca="1" ref="A2" ca="1">MID(CELL("filename",A1),FIND("]",CELL("filename",A1))+1,99)</f>
        <v>L001</v>
      </c>
      <c r="G2"/>
      <c r="I2"/>
      <c r="J2"/>
    </row>
    <row r="3" spans="1:16" ht="16" thickBot="1" x14ac:dyDescent="0.25">
      <c r="A3" s="3"/>
      <c r="G3"/>
      <c r="I3"/>
      <c r="J3"/>
      <c r="M3" s="43" t="s">
        <v>197</v>
      </c>
      <c r="N3" s="44"/>
      <c r="P3" s="19" t="s">
        <v>208</v>
      </c>
    </row>
    <row r="4" spans="1:16" ht="16" thickBot="1" x14ac:dyDescent="0.25">
      <c r="A4" s="3"/>
      <c r="C4" s="20" t="s">
        <v>201</v>
      </c>
      <c r="D4" s="51">
        <f>SUM(J9:J1048576)</f>
        <v>0</v>
      </c>
      <c r="G4"/>
      <c r="I4"/>
      <c r="J4"/>
      <c r="M4" s="30" t="s">
        <v>198</v>
      </c>
      <c r="N4" s="45"/>
      <c r="P4" s="18" t="s">
        <v>209</v>
      </c>
    </row>
    <row r="5" spans="1:16" ht="16" thickBot="1" x14ac:dyDescent="0.25">
      <c r="A5" s="3"/>
      <c r="G5"/>
      <c r="I5"/>
      <c r="J5"/>
      <c r="P5" s="9" t="s">
        <v>210</v>
      </c>
    </row>
    <row r="6" spans="1:16" x14ac:dyDescent="0.2">
      <c r="A6" s="3"/>
      <c r="G6"/>
      <c r="I6"/>
      <c r="J6"/>
    </row>
    <row r="7" spans="1:16" x14ac:dyDescent="0.2">
      <c r="A7" s="3"/>
      <c r="G7"/>
      <c r="I7"/>
      <c r="J7"/>
    </row>
    <row r="8" spans="1:16" ht="36" customHeight="1" x14ac:dyDescent="0.2">
      <c r="A8" s="1" t="s">
        <v>70</v>
      </c>
      <c r="B8" s="84" t="s">
        <v>71</v>
      </c>
      <c r="C8" s="1" t="s">
        <v>205</v>
      </c>
      <c r="D8" s="1" t="s">
        <v>206</v>
      </c>
      <c r="E8" s="1" t="s">
        <v>78</v>
      </c>
      <c r="F8" s="1" t="s">
        <v>74</v>
      </c>
      <c r="G8" s="1" t="s">
        <v>212</v>
      </c>
      <c r="H8" s="1" t="s">
        <v>81</v>
      </c>
      <c r="I8" s="1" t="s">
        <v>211</v>
      </c>
      <c r="J8" s="1" t="s">
        <v>196</v>
      </c>
    </row>
    <row r="9" spans="1:16" x14ac:dyDescent="0.2">
      <c r="A9" s="4">
        <v>1</v>
      </c>
      <c r="B9" s="85">
        <v>46059</v>
      </c>
      <c r="C9" s="5"/>
      <c r="D9" s="5"/>
      <c r="E9" s="6"/>
      <c r="F9" s="7"/>
      <c r="G9" s="41">
        <v>159500</v>
      </c>
      <c r="H9" s="6" t="s">
        <v>197</v>
      </c>
      <c r="I9" s="41"/>
      <c r="J9" s="41">
        <f>IF(H9=$M$3,G9,IF(H9=$M$4,-I9))</f>
        <v>159500</v>
      </c>
      <c r="K9" t="s">
        <v>234</v>
      </c>
    </row>
    <row r="10" spans="1:16" x14ac:dyDescent="0.2">
      <c r="A10" s="4">
        <v>2</v>
      </c>
      <c r="B10" s="85">
        <v>46060</v>
      </c>
      <c r="C10" s="5"/>
      <c r="D10" s="5"/>
      <c r="E10" s="6"/>
      <c r="F10" s="7"/>
      <c r="G10" s="41"/>
      <c r="H10" s="6" t="s">
        <v>198</v>
      </c>
      <c r="I10" s="41">
        <v>25000</v>
      </c>
      <c r="J10" s="41">
        <f t="shared" ref="J10:J73" si="0">IF(H10=$M$3,G10,IF(H10=$M$4,-I10))</f>
        <v>-25000</v>
      </c>
    </row>
    <row r="11" spans="1:16" x14ac:dyDescent="0.2">
      <c r="A11" s="4">
        <v>3</v>
      </c>
      <c r="B11" s="85"/>
      <c r="C11" s="5"/>
      <c r="D11" s="5"/>
      <c r="E11" s="6"/>
      <c r="F11" s="7"/>
      <c r="G11" s="41"/>
      <c r="H11" s="6"/>
      <c r="I11" s="41"/>
      <c r="J11" s="41" t="b">
        <f t="shared" si="0"/>
        <v>0</v>
      </c>
    </row>
    <row r="12" spans="1:16" x14ac:dyDescent="0.2">
      <c r="A12" s="4">
        <v>4</v>
      </c>
      <c r="B12" s="85">
        <v>46062</v>
      </c>
      <c r="C12" s="5"/>
      <c r="D12" s="5" t="s">
        <v>236</v>
      </c>
      <c r="E12" s="6" t="s">
        <v>235</v>
      </c>
      <c r="F12" s="7">
        <v>50</v>
      </c>
      <c r="G12" s="41">
        <f>125*F12</f>
        <v>6250</v>
      </c>
      <c r="H12" s="6" t="s">
        <v>197</v>
      </c>
      <c r="I12" s="41"/>
      <c r="J12" s="41">
        <f t="shared" si="0"/>
        <v>6250</v>
      </c>
    </row>
    <row r="13" spans="1:16" x14ac:dyDescent="0.2">
      <c r="A13" s="4">
        <v>5</v>
      </c>
      <c r="B13" s="85">
        <v>46062</v>
      </c>
      <c r="C13" s="5"/>
      <c r="D13" s="5" t="s">
        <v>236</v>
      </c>
      <c r="E13" s="6" t="s">
        <v>237</v>
      </c>
      <c r="F13" s="7"/>
      <c r="G13" s="41">
        <v>4000</v>
      </c>
      <c r="H13" s="6" t="s">
        <v>197</v>
      </c>
      <c r="I13" s="41"/>
      <c r="J13" s="41">
        <f t="shared" si="0"/>
        <v>4000</v>
      </c>
    </row>
    <row r="14" spans="1:16" x14ac:dyDescent="0.2">
      <c r="A14" s="4">
        <v>6</v>
      </c>
      <c r="B14" s="85">
        <v>46063</v>
      </c>
      <c r="C14" s="5"/>
      <c r="D14" s="5" t="s">
        <v>238</v>
      </c>
      <c r="E14" s="6" t="s">
        <v>239</v>
      </c>
      <c r="F14" s="7">
        <v>100</v>
      </c>
      <c r="G14" s="41">
        <v>4000</v>
      </c>
      <c r="H14" s="6" t="s">
        <v>197</v>
      </c>
      <c r="I14" s="41"/>
      <c r="J14" s="41">
        <f t="shared" si="0"/>
        <v>4000</v>
      </c>
    </row>
    <row r="15" spans="1:16" x14ac:dyDescent="0.2">
      <c r="A15" s="4">
        <v>7</v>
      </c>
      <c r="B15" s="85">
        <v>46063</v>
      </c>
      <c r="C15" s="5"/>
      <c r="D15" s="5"/>
      <c r="E15" s="6"/>
      <c r="F15" s="7"/>
      <c r="G15" s="41"/>
      <c r="H15" s="6" t="s">
        <v>198</v>
      </c>
      <c r="I15" s="41">
        <v>100000</v>
      </c>
      <c r="J15" s="41">
        <f t="shared" si="0"/>
        <v>-100000</v>
      </c>
      <c r="K15" t="s">
        <v>241</v>
      </c>
    </row>
    <row r="16" spans="1:16" x14ac:dyDescent="0.2">
      <c r="A16" s="4">
        <v>8</v>
      </c>
      <c r="B16" s="85">
        <v>46063</v>
      </c>
      <c r="C16" s="5"/>
      <c r="D16" s="5"/>
      <c r="E16" s="6" t="s">
        <v>245</v>
      </c>
      <c r="F16" s="7"/>
      <c r="G16" s="41">
        <v>15000</v>
      </c>
      <c r="H16" s="6" t="s">
        <v>198</v>
      </c>
      <c r="I16" s="41"/>
      <c r="J16" s="41">
        <f t="shared" si="0"/>
        <v>0</v>
      </c>
    </row>
    <row r="17" spans="1:11" x14ac:dyDescent="0.2">
      <c r="A17" s="4">
        <v>9</v>
      </c>
      <c r="B17" s="85">
        <v>46064</v>
      </c>
      <c r="C17" s="5"/>
      <c r="D17" s="5" t="s">
        <v>236</v>
      </c>
      <c r="E17" s="6" t="s">
        <v>240</v>
      </c>
      <c r="F17" s="7">
        <v>30</v>
      </c>
      <c r="G17" s="41">
        <f>600*F17</f>
        <v>18000</v>
      </c>
      <c r="H17" s="6" t="s">
        <v>197</v>
      </c>
      <c r="I17" s="41"/>
      <c r="J17" s="41">
        <f t="shared" si="0"/>
        <v>18000</v>
      </c>
      <c r="K17" t="s">
        <v>242</v>
      </c>
    </row>
    <row r="18" spans="1:11" x14ac:dyDescent="0.2">
      <c r="A18" s="4">
        <v>10</v>
      </c>
      <c r="B18" s="85">
        <v>46065</v>
      </c>
      <c r="C18" s="5"/>
      <c r="D18" s="5"/>
      <c r="E18" s="6"/>
      <c r="F18" s="7"/>
      <c r="G18" s="41"/>
      <c r="H18" s="6" t="s">
        <v>198</v>
      </c>
      <c r="I18" s="41">
        <v>100000</v>
      </c>
      <c r="J18" s="41">
        <f t="shared" si="0"/>
        <v>-100000</v>
      </c>
    </row>
    <row r="19" spans="1:11" x14ac:dyDescent="0.2">
      <c r="A19" s="4">
        <v>11</v>
      </c>
      <c r="B19" s="85">
        <v>46068</v>
      </c>
      <c r="C19" s="5"/>
      <c r="D19" s="5"/>
      <c r="E19" s="6" t="s">
        <v>243</v>
      </c>
      <c r="F19" s="7">
        <v>150</v>
      </c>
      <c r="G19" s="41">
        <f>150*F19</f>
        <v>22500</v>
      </c>
      <c r="H19" s="6" t="s">
        <v>197</v>
      </c>
      <c r="I19" s="41"/>
      <c r="J19" s="41">
        <f t="shared" si="0"/>
        <v>22500</v>
      </c>
    </row>
    <row r="20" spans="1:11" x14ac:dyDescent="0.2">
      <c r="A20" s="4">
        <v>12</v>
      </c>
      <c r="B20" s="85">
        <v>46069</v>
      </c>
      <c r="C20" s="5"/>
      <c r="D20" s="5" t="s">
        <v>238</v>
      </c>
      <c r="E20" s="6" t="s">
        <v>244</v>
      </c>
      <c r="F20" s="7">
        <v>100</v>
      </c>
      <c r="G20" s="41">
        <v>4000</v>
      </c>
      <c r="H20" s="6" t="s">
        <v>197</v>
      </c>
      <c r="I20" s="41"/>
      <c r="J20" s="41">
        <f t="shared" si="0"/>
        <v>4000</v>
      </c>
    </row>
    <row r="21" spans="1:11" x14ac:dyDescent="0.2">
      <c r="A21" s="4">
        <v>13</v>
      </c>
      <c r="B21" s="85">
        <v>46070</v>
      </c>
      <c r="C21" s="5"/>
      <c r="D21" s="5" t="s">
        <v>238</v>
      </c>
      <c r="E21" s="6" t="s">
        <v>247</v>
      </c>
      <c r="F21" s="7">
        <v>200</v>
      </c>
      <c r="G21" s="41">
        <f>50*F21</f>
        <v>10000</v>
      </c>
      <c r="H21" s="6" t="s">
        <v>197</v>
      </c>
      <c r="I21" s="41"/>
      <c r="J21" s="41">
        <f t="shared" si="0"/>
        <v>10000</v>
      </c>
    </row>
    <row r="22" spans="1:11" x14ac:dyDescent="0.2">
      <c r="A22" s="4">
        <v>14</v>
      </c>
      <c r="B22" s="85">
        <v>46070</v>
      </c>
      <c r="C22" s="5"/>
      <c r="D22" s="5" t="s">
        <v>238</v>
      </c>
      <c r="E22" s="6" t="s">
        <v>248</v>
      </c>
      <c r="F22" s="7"/>
      <c r="G22" s="41">
        <v>6000</v>
      </c>
      <c r="H22" s="6" t="s">
        <v>197</v>
      </c>
      <c r="I22" s="41"/>
      <c r="J22" s="41">
        <f t="shared" si="0"/>
        <v>6000</v>
      </c>
    </row>
    <row r="23" spans="1:11" x14ac:dyDescent="0.2">
      <c r="A23" s="4">
        <v>15</v>
      </c>
      <c r="B23" s="85">
        <v>46070</v>
      </c>
      <c r="C23" s="5"/>
      <c r="D23" s="5"/>
      <c r="E23" s="6" t="s">
        <v>246</v>
      </c>
      <c r="F23" s="7">
        <v>100</v>
      </c>
      <c r="G23" s="41">
        <f>150*F23</f>
        <v>15000</v>
      </c>
      <c r="H23" s="6" t="s">
        <v>197</v>
      </c>
      <c r="I23" s="41"/>
      <c r="J23" s="41">
        <f t="shared" si="0"/>
        <v>15000</v>
      </c>
    </row>
    <row r="24" spans="1:11" x14ac:dyDescent="0.2">
      <c r="A24" s="4">
        <v>16</v>
      </c>
      <c r="B24" s="85">
        <v>46071</v>
      </c>
      <c r="C24" s="5"/>
      <c r="D24" s="5"/>
      <c r="E24" s="6" t="s">
        <v>246</v>
      </c>
      <c r="F24" s="7">
        <v>50</v>
      </c>
      <c r="G24" s="41">
        <f>150*F24</f>
        <v>7500</v>
      </c>
      <c r="H24" s="6" t="s">
        <v>197</v>
      </c>
      <c r="I24" s="41"/>
      <c r="J24" s="41">
        <f t="shared" si="0"/>
        <v>7500</v>
      </c>
    </row>
    <row r="25" spans="1:11" x14ac:dyDescent="0.2">
      <c r="A25" s="4">
        <v>17</v>
      </c>
      <c r="B25" s="85">
        <v>46071</v>
      </c>
      <c r="C25" s="5"/>
      <c r="D25" s="5" t="s">
        <v>236</v>
      </c>
      <c r="E25" s="6" t="s">
        <v>240</v>
      </c>
      <c r="F25" s="7">
        <v>30</v>
      </c>
      <c r="G25" s="41">
        <f>600*F25</f>
        <v>18000</v>
      </c>
      <c r="H25" s="6" t="s">
        <v>197</v>
      </c>
      <c r="I25" s="41"/>
      <c r="J25" s="41">
        <f t="shared" si="0"/>
        <v>18000</v>
      </c>
    </row>
    <row r="26" spans="1:11" x14ac:dyDescent="0.2">
      <c r="A26" s="4">
        <v>18</v>
      </c>
      <c r="B26" s="85">
        <v>46073</v>
      </c>
      <c r="C26" s="5"/>
      <c r="D26" s="5"/>
      <c r="E26" s="6" t="s">
        <v>246</v>
      </c>
      <c r="F26" s="7">
        <v>115</v>
      </c>
      <c r="G26" s="41">
        <f>150*F26</f>
        <v>17250</v>
      </c>
      <c r="H26" s="6" t="s">
        <v>197</v>
      </c>
      <c r="I26" s="41"/>
      <c r="J26" s="41">
        <f t="shared" si="0"/>
        <v>17250</v>
      </c>
    </row>
    <row r="27" spans="1:11" x14ac:dyDescent="0.2">
      <c r="A27" s="4">
        <v>19</v>
      </c>
      <c r="B27" s="85">
        <v>46074</v>
      </c>
      <c r="C27" s="5"/>
      <c r="D27" s="5" t="s">
        <v>236</v>
      </c>
      <c r="E27" s="6" t="s">
        <v>240</v>
      </c>
      <c r="F27" s="7">
        <v>29</v>
      </c>
      <c r="G27" s="41">
        <f>600*F27</f>
        <v>17400</v>
      </c>
      <c r="H27" s="6" t="s">
        <v>197</v>
      </c>
      <c r="I27" s="41"/>
      <c r="J27" s="41">
        <f t="shared" si="0"/>
        <v>17400</v>
      </c>
    </row>
    <row r="28" spans="1:11" x14ac:dyDescent="0.2">
      <c r="A28" s="4">
        <v>20</v>
      </c>
      <c r="B28" s="85">
        <v>46076</v>
      </c>
      <c r="C28" s="5"/>
      <c r="D28" s="5" t="s">
        <v>236</v>
      </c>
      <c r="E28" s="6" t="s">
        <v>235</v>
      </c>
      <c r="F28" s="7">
        <v>50</v>
      </c>
      <c r="G28" s="41">
        <f>125*F28</f>
        <v>6250</v>
      </c>
      <c r="H28" s="6" t="s">
        <v>197</v>
      </c>
      <c r="I28" s="41"/>
      <c r="J28" s="41">
        <f t="shared" si="0"/>
        <v>6250</v>
      </c>
    </row>
    <row r="29" spans="1:11" x14ac:dyDescent="0.2">
      <c r="A29" s="4">
        <v>21</v>
      </c>
      <c r="B29" s="85">
        <v>46076</v>
      </c>
      <c r="C29" s="5"/>
      <c r="D29" s="5" t="s">
        <v>236</v>
      </c>
      <c r="E29" s="6" t="s">
        <v>244</v>
      </c>
      <c r="F29" s="7">
        <v>50</v>
      </c>
      <c r="G29" s="41">
        <v>4000</v>
      </c>
      <c r="H29" s="6" t="s">
        <v>197</v>
      </c>
      <c r="I29" s="41"/>
      <c r="J29" s="41">
        <f t="shared" si="0"/>
        <v>4000</v>
      </c>
    </row>
    <row r="30" spans="1:11" x14ac:dyDescent="0.2">
      <c r="A30" s="4">
        <v>22</v>
      </c>
      <c r="B30" s="85">
        <v>46079</v>
      </c>
      <c r="C30" s="5"/>
      <c r="D30" s="5" t="s">
        <v>238</v>
      </c>
      <c r="E30" s="6" t="s">
        <v>249</v>
      </c>
      <c r="F30" s="7">
        <v>200</v>
      </c>
      <c r="G30" s="41">
        <f>50*F30</f>
        <v>10000</v>
      </c>
      <c r="H30" s="6" t="s">
        <v>197</v>
      </c>
      <c r="I30" s="41"/>
      <c r="J30" s="41">
        <f t="shared" si="0"/>
        <v>10000</v>
      </c>
    </row>
    <row r="31" spans="1:11" x14ac:dyDescent="0.2">
      <c r="A31" s="4">
        <v>23</v>
      </c>
      <c r="B31" s="85">
        <v>46079</v>
      </c>
      <c r="C31" s="5"/>
      <c r="D31" s="5" t="s">
        <v>238</v>
      </c>
      <c r="E31" s="6" t="s">
        <v>244</v>
      </c>
      <c r="F31" s="7">
        <v>200</v>
      </c>
      <c r="G31" s="41">
        <v>6000</v>
      </c>
      <c r="H31" s="6" t="s">
        <v>197</v>
      </c>
      <c r="I31" s="41"/>
      <c r="J31" s="41">
        <f t="shared" si="0"/>
        <v>6000</v>
      </c>
    </row>
    <row r="32" spans="1:11" x14ac:dyDescent="0.2">
      <c r="A32" s="4">
        <v>24</v>
      </c>
      <c r="B32" s="85">
        <v>46079</v>
      </c>
      <c r="C32" s="5"/>
      <c r="D32" s="5" t="s">
        <v>250</v>
      </c>
      <c r="E32" s="6" t="s">
        <v>251</v>
      </c>
      <c r="F32" s="7">
        <v>4</v>
      </c>
      <c r="G32" s="41">
        <f>600*F32</f>
        <v>2400</v>
      </c>
      <c r="H32" s="6" t="s">
        <v>197</v>
      </c>
      <c r="I32" s="41"/>
      <c r="J32" s="41">
        <f t="shared" si="0"/>
        <v>2400</v>
      </c>
    </row>
    <row r="33" spans="1:11" x14ac:dyDescent="0.2">
      <c r="A33" s="4">
        <v>25</v>
      </c>
      <c r="B33" s="85">
        <v>46080</v>
      </c>
      <c r="C33" s="5"/>
      <c r="D33" s="5" t="s">
        <v>250</v>
      </c>
      <c r="E33" s="6" t="s">
        <v>251</v>
      </c>
      <c r="F33" s="7">
        <v>4</v>
      </c>
      <c r="G33" s="41">
        <f>600*F33</f>
        <v>2400</v>
      </c>
      <c r="H33" s="6" t="s">
        <v>197</v>
      </c>
      <c r="I33" s="41"/>
      <c r="J33" s="41">
        <f t="shared" si="0"/>
        <v>2400</v>
      </c>
    </row>
    <row r="34" spans="1:11" x14ac:dyDescent="0.2">
      <c r="A34" s="4">
        <v>26</v>
      </c>
      <c r="B34" s="85">
        <v>46083</v>
      </c>
      <c r="C34" s="5"/>
      <c r="D34" s="5" t="s">
        <v>238</v>
      </c>
      <c r="E34" s="6" t="s">
        <v>240</v>
      </c>
      <c r="F34" s="7">
        <v>20</v>
      </c>
      <c r="G34" s="41">
        <f>600*F34</f>
        <v>12000</v>
      </c>
      <c r="H34" s="6" t="s">
        <v>197</v>
      </c>
      <c r="I34" s="41"/>
      <c r="J34" s="41">
        <f t="shared" si="0"/>
        <v>12000</v>
      </c>
    </row>
    <row r="35" spans="1:11" x14ac:dyDescent="0.2">
      <c r="A35" s="4">
        <v>27</v>
      </c>
      <c r="B35" s="85">
        <v>46085</v>
      </c>
      <c r="C35" s="5"/>
      <c r="D35" s="5"/>
      <c r="E35" s="6" t="s">
        <v>235</v>
      </c>
      <c r="F35" s="7">
        <v>120</v>
      </c>
      <c r="G35" s="41">
        <f>125*F35</f>
        <v>15000</v>
      </c>
      <c r="H35" s="6" t="s">
        <v>197</v>
      </c>
      <c r="I35" s="41"/>
      <c r="J35" s="41">
        <f t="shared" si="0"/>
        <v>15000</v>
      </c>
    </row>
    <row r="36" spans="1:11" x14ac:dyDescent="0.2">
      <c r="A36" s="4">
        <v>28</v>
      </c>
      <c r="B36" s="85">
        <v>46086</v>
      </c>
      <c r="C36" s="5"/>
      <c r="D36" s="5" t="s">
        <v>250</v>
      </c>
      <c r="E36" s="6" t="s">
        <v>251</v>
      </c>
      <c r="F36" s="7">
        <v>5</v>
      </c>
      <c r="G36" s="41">
        <f>600*F36</f>
        <v>3000</v>
      </c>
      <c r="H36" s="6" t="s">
        <v>197</v>
      </c>
      <c r="I36" s="41"/>
      <c r="J36" s="41">
        <f t="shared" si="0"/>
        <v>3000</v>
      </c>
    </row>
    <row r="37" spans="1:11" x14ac:dyDescent="0.2">
      <c r="A37" s="4">
        <v>29</v>
      </c>
      <c r="B37" s="85">
        <v>46086</v>
      </c>
      <c r="C37" s="5"/>
      <c r="D37" s="5"/>
      <c r="E37" s="6" t="s">
        <v>246</v>
      </c>
      <c r="F37" s="7">
        <v>140</v>
      </c>
      <c r="G37" s="41">
        <f>150*F37</f>
        <v>21000</v>
      </c>
      <c r="H37" s="6" t="s">
        <v>197</v>
      </c>
      <c r="I37" s="41"/>
      <c r="J37" s="41">
        <f t="shared" si="0"/>
        <v>21000</v>
      </c>
    </row>
    <row r="38" spans="1:11" x14ac:dyDescent="0.2">
      <c r="A38" s="4">
        <v>30</v>
      </c>
      <c r="B38" s="85">
        <v>46088</v>
      </c>
      <c r="C38" s="5"/>
      <c r="D38" s="5" t="s">
        <v>238</v>
      </c>
      <c r="E38" s="6" t="s">
        <v>240</v>
      </c>
      <c r="F38" s="7">
        <v>20</v>
      </c>
      <c r="G38" s="41">
        <f>600*F38</f>
        <v>12000</v>
      </c>
      <c r="H38" s="6" t="s">
        <v>197</v>
      </c>
      <c r="I38" s="41"/>
      <c r="J38" s="41">
        <f t="shared" si="0"/>
        <v>12000</v>
      </c>
    </row>
    <row r="39" spans="1:11" x14ac:dyDescent="0.2">
      <c r="A39" s="4">
        <v>31</v>
      </c>
      <c r="B39" s="85">
        <v>46090</v>
      </c>
      <c r="C39" s="5"/>
      <c r="D39" s="5" t="s">
        <v>252</v>
      </c>
      <c r="E39" s="6" t="s">
        <v>240</v>
      </c>
      <c r="F39" s="7">
        <v>30</v>
      </c>
      <c r="G39" s="41">
        <f>600*F39</f>
        <v>18000</v>
      </c>
      <c r="H39" s="6" t="s">
        <v>197</v>
      </c>
      <c r="I39" s="41"/>
      <c r="J39" s="41">
        <f t="shared" si="0"/>
        <v>18000</v>
      </c>
    </row>
    <row r="40" spans="1:11" x14ac:dyDescent="0.2">
      <c r="A40" s="4">
        <v>32</v>
      </c>
      <c r="B40" s="85">
        <v>46090</v>
      </c>
      <c r="C40" s="5"/>
      <c r="D40" s="5"/>
      <c r="E40" s="6"/>
      <c r="F40" s="7"/>
      <c r="G40" s="41"/>
      <c r="H40" s="6" t="s">
        <v>198</v>
      </c>
      <c r="I40" s="41">
        <v>100000</v>
      </c>
      <c r="J40" s="41">
        <f t="shared" si="0"/>
        <v>-100000</v>
      </c>
      <c r="K40" t="s">
        <v>253</v>
      </c>
    </row>
    <row r="41" spans="1:11" x14ac:dyDescent="0.2">
      <c r="A41" s="4">
        <v>33</v>
      </c>
      <c r="B41" s="85">
        <v>46091</v>
      </c>
      <c r="C41" s="5"/>
      <c r="D41" s="5" t="s">
        <v>252</v>
      </c>
      <c r="E41" s="6" t="s">
        <v>240</v>
      </c>
      <c r="F41" s="7">
        <v>30</v>
      </c>
      <c r="G41" s="41">
        <f>600*F41</f>
        <v>18000</v>
      </c>
      <c r="H41" s="6" t="s">
        <v>197</v>
      </c>
      <c r="I41" s="41"/>
      <c r="J41" s="41">
        <f t="shared" si="0"/>
        <v>18000</v>
      </c>
    </row>
    <row r="42" spans="1:11" x14ac:dyDescent="0.2">
      <c r="A42" s="4">
        <v>34</v>
      </c>
      <c r="B42" s="85">
        <v>46091</v>
      </c>
      <c r="C42" s="5"/>
      <c r="D42" s="5"/>
      <c r="E42" s="6" t="s">
        <v>246</v>
      </c>
      <c r="F42" s="7">
        <v>100</v>
      </c>
      <c r="G42" s="41">
        <f>100*F42</f>
        <v>10000</v>
      </c>
      <c r="H42" s="6" t="s">
        <v>197</v>
      </c>
      <c r="I42" s="41"/>
      <c r="J42" s="41">
        <f t="shared" si="0"/>
        <v>10000</v>
      </c>
      <c r="K42" t="s">
        <v>254</v>
      </c>
    </row>
    <row r="43" spans="1:11" x14ac:dyDescent="0.2">
      <c r="A43" s="4">
        <v>35</v>
      </c>
      <c r="B43" s="85">
        <v>46092</v>
      </c>
      <c r="C43" s="5"/>
      <c r="D43" s="5" t="s">
        <v>252</v>
      </c>
      <c r="E43" s="6" t="s">
        <v>240</v>
      </c>
      <c r="F43" s="7">
        <v>30</v>
      </c>
      <c r="G43" s="41">
        <f>600*F43</f>
        <v>18000</v>
      </c>
      <c r="H43" s="6" t="s">
        <v>197</v>
      </c>
      <c r="I43" s="41"/>
      <c r="J43" s="41">
        <f t="shared" si="0"/>
        <v>18000</v>
      </c>
    </row>
    <row r="44" spans="1:11" x14ac:dyDescent="0.2">
      <c r="A44" s="4">
        <v>36</v>
      </c>
      <c r="B44" s="85">
        <v>46092</v>
      </c>
      <c r="C44" s="5"/>
      <c r="D44" s="5" t="s">
        <v>236</v>
      </c>
      <c r="E44" s="6" t="s">
        <v>255</v>
      </c>
      <c r="F44" s="7">
        <v>10</v>
      </c>
      <c r="G44" s="41">
        <v>2000</v>
      </c>
      <c r="H44" s="6" t="s">
        <v>197</v>
      </c>
      <c r="I44" s="41"/>
      <c r="J44" s="41">
        <f t="shared" si="0"/>
        <v>2000</v>
      </c>
    </row>
    <row r="45" spans="1:11" x14ac:dyDescent="0.2">
      <c r="A45" s="4">
        <v>37</v>
      </c>
      <c r="B45" s="85">
        <v>46092</v>
      </c>
      <c r="C45" s="5"/>
      <c r="D45" s="5" t="s">
        <v>236</v>
      </c>
      <c r="E45" s="6" t="s">
        <v>256</v>
      </c>
      <c r="F45" s="7">
        <v>10</v>
      </c>
      <c r="G45" s="41">
        <f>125*F45</f>
        <v>1250</v>
      </c>
      <c r="H45" s="6" t="s">
        <v>197</v>
      </c>
      <c r="I45" s="41"/>
      <c r="J45" s="41">
        <f t="shared" si="0"/>
        <v>1250</v>
      </c>
    </row>
    <row r="46" spans="1:11" x14ac:dyDescent="0.2">
      <c r="A46" s="4">
        <v>38</v>
      </c>
      <c r="B46" s="85">
        <v>46092</v>
      </c>
      <c r="C46" s="5"/>
      <c r="D46" s="5"/>
      <c r="E46" s="6"/>
      <c r="F46" s="7"/>
      <c r="G46" s="41"/>
      <c r="H46" s="6" t="s">
        <v>198</v>
      </c>
      <c r="I46" s="41">
        <v>200000</v>
      </c>
      <c r="J46" s="41">
        <f t="shared" si="0"/>
        <v>-200000</v>
      </c>
      <c r="K46" t="s">
        <v>241</v>
      </c>
    </row>
    <row r="47" spans="1:11" x14ac:dyDescent="0.2">
      <c r="A47" s="4">
        <v>39</v>
      </c>
      <c r="B47" s="85">
        <v>46093</v>
      </c>
      <c r="C47" s="5"/>
      <c r="D47" s="5" t="s">
        <v>252</v>
      </c>
      <c r="E47" s="6" t="s">
        <v>240</v>
      </c>
      <c r="F47" s="7">
        <v>30</v>
      </c>
      <c r="G47" s="41">
        <f>600*F47</f>
        <v>18000</v>
      </c>
      <c r="H47" s="6" t="s">
        <v>197</v>
      </c>
      <c r="I47" s="41"/>
      <c r="J47" s="41">
        <f t="shared" si="0"/>
        <v>18000</v>
      </c>
    </row>
    <row r="48" spans="1:11" x14ac:dyDescent="0.2">
      <c r="A48" s="4">
        <v>40</v>
      </c>
      <c r="B48" s="85">
        <v>46093</v>
      </c>
      <c r="C48" s="5"/>
      <c r="D48" s="5" t="s">
        <v>250</v>
      </c>
      <c r="E48" s="6" t="s">
        <v>251</v>
      </c>
      <c r="F48" s="7">
        <v>30</v>
      </c>
      <c r="G48" s="41">
        <f>600*F48</f>
        <v>18000</v>
      </c>
      <c r="H48" s="6" t="s">
        <v>197</v>
      </c>
      <c r="I48" s="41"/>
      <c r="J48" s="41">
        <f t="shared" si="0"/>
        <v>18000</v>
      </c>
    </row>
    <row r="49" spans="1:11" x14ac:dyDescent="0.2">
      <c r="A49" s="4">
        <v>41</v>
      </c>
      <c r="B49" s="85">
        <v>46094</v>
      </c>
      <c r="C49" s="5"/>
      <c r="D49" s="5" t="s">
        <v>238</v>
      </c>
      <c r="E49" s="6" t="s">
        <v>249</v>
      </c>
      <c r="F49" s="7">
        <v>200</v>
      </c>
      <c r="G49" s="41">
        <f>50*F49</f>
        <v>10000</v>
      </c>
      <c r="H49" s="6" t="s">
        <v>197</v>
      </c>
      <c r="I49" s="41"/>
      <c r="J49" s="41">
        <f t="shared" si="0"/>
        <v>10000</v>
      </c>
    </row>
    <row r="50" spans="1:11" x14ac:dyDescent="0.2">
      <c r="A50" s="4">
        <v>42</v>
      </c>
      <c r="B50" s="85">
        <v>46094</v>
      </c>
      <c r="C50" s="5"/>
      <c r="D50" s="5" t="s">
        <v>238</v>
      </c>
      <c r="E50" s="6" t="s">
        <v>244</v>
      </c>
      <c r="F50" s="7">
        <v>200</v>
      </c>
      <c r="G50" s="41">
        <v>6000</v>
      </c>
      <c r="H50" s="6" t="s">
        <v>197</v>
      </c>
      <c r="I50" s="41"/>
      <c r="J50" s="41">
        <f t="shared" si="0"/>
        <v>6000</v>
      </c>
    </row>
    <row r="51" spans="1:11" x14ac:dyDescent="0.2">
      <c r="A51" s="4">
        <v>43</v>
      </c>
      <c r="B51" s="85">
        <v>46094</v>
      </c>
      <c r="C51" s="5"/>
      <c r="D51" s="5" t="s">
        <v>236</v>
      </c>
      <c r="E51" s="6" t="s">
        <v>257</v>
      </c>
      <c r="F51" s="7">
        <v>50</v>
      </c>
      <c r="G51" s="41">
        <v>4500</v>
      </c>
      <c r="H51" s="6" t="s">
        <v>197</v>
      </c>
      <c r="I51" s="41"/>
      <c r="J51" s="41">
        <f t="shared" si="0"/>
        <v>4500</v>
      </c>
    </row>
    <row r="52" spans="1:11" x14ac:dyDescent="0.2">
      <c r="A52" s="4">
        <v>44</v>
      </c>
      <c r="B52" s="85">
        <v>46094</v>
      </c>
      <c r="C52" s="5"/>
      <c r="D52" s="5"/>
      <c r="E52" s="6" t="s">
        <v>246</v>
      </c>
      <c r="F52" s="7">
        <v>40</v>
      </c>
      <c r="G52" s="41">
        <f>150*F52</f>
        <v>6000</v>
      </c>
      <c r="H52" s="6" t="s">
        <v>197</v>
      </c>
      <c r="I52" s="41"/>
      <c r="J52" s="41">
        <f t="shared" si="0"/>
        <v>6000</v>
      </c>
    </row>
    <row r="53" spans="1:11" x14ac:dyDescent="0.2">
      <c r="A53" s="4">
        <v>45</v>
      </c>
      <c r="B53" s="85">
        <v>46095</v>
      </c>
      <c r="C53" s="5"/>
      <c r="D53" s="5"/>
      <c r="E53" s="6" t="s">
        <v>246</v>
      </c>
      <c r="F53" s="7">
        <v>155</v>
      </c>
      <c r="G53" s="41">
        <f>150*F53</f>
        <v>23250</v>
      </c>
      <c r="H53" s="6" t="s">
        <v>197</v>
      </c>
      <c r="I53" s="41"/>
      <c r="J53" s="41">
        <f t="shared" si="0"/>
        <v>23250</v>
      </c>
    </row>
    <row r="54" spans="1:11" x14ac:dyDescent="0.2">
      <c r="A54" s="4">
        <v>46</v>
      </c>
      <c r="B54" s="85">
        <v>46095</v>
      </c>
      <c r="C54" s="5"/>
      <c r="D54" s="5" t="s">
        <v>250</v>
      </c>
      <c r="E54" s="6" t="s">
        <v>251</v>
      </c>
      <c r="F54" s="7">
        <v>60</v>
      </c>
      <c r="G54" s="41">
        <f>600*F54</f>
        <v>36000</v>
      </c>
      <c r="H54" s="6" t="s">
        <v>197</v>
      </c>
      <c r="I54" s="41"/>
      <c r="J54" s="41">
        <f t="shared" si="0"/>
        <v>36000</v>
      </c>
    </row>
    <row r="55" spans="1:11" x14ac:dyDescent="0.2">
      <c r="A55" s="4">
        <v>47</v>
      </c>
      <c r="B55" s="85">
        <v>46097</v>
      </c>
      <c r="C55" s="5"/>
      <c r="D55" s="5"/>
      <c r="E55" s="6" t="s">
        <v>246</v>
      </c>
      <c r="F55" s="7">
        <v>165</v>
      </c>
      <c r="G55" s="41">
        <f>150*F55</f>
        <v>24750</v>
      </c>
      <c r="H55" s="6" t="s">
        <v>197</v>
      </c>
      <c r="I55" s="41"/>
      <c r="J55" s="41">
        <f t="shared" si="0"/>
        <v>24750</v>
      </c>
    </row>
    <row r="56" spans="1:11" x14ac:dyDescent="0.2">
      <c r="A56" s="4">
        <v>48</v>
      </c>
      <c r="B56" s="85">
        <v>46098</v>
      </c>
      <c r="C56" s="5"/>
      <c r="D56" s="5" t="s">
        <v>250</v>
      </c>
      <c r="E56" s="6" t="s">
        <v>251</v>
      </c>
      <c r="F56" s="7">
        <v>4</v>
      </c>
      <c r="G56" s="41">
        <f>600*F56</f>
        <v>2400</v>
      </c>
      <c r="H56" s="6" t="s">
        <v>197</v>
      </c>
      <c r="I56" s="41"/>
      <c r="J56" s="41">
        <f t="shared" si="0"/>
        <v>2400</v>
      </c>
    </row>
    <row r="57" spans="1:11" x14ac:dyDescent="0.2">
      <c r="A57" s="4">
        <v>49</v>
      </c>
      <c r="B57" s="85">
        <v>46099</v>
      </c>
      <c r="C57" s="5"/>
      <c r="D57" s="5" t="s">
        <v>236</v>
      </c>
      <c r="E57" s="6" t="s">
        <v>240</v>
      </c>
      <c r="F57" s="7">
        <v>15</v>
      </c>
      <c r="G57" s="41">
        <f>600*F57</f>
        <v>9000</v>
      </c>
      <c r="H57" s="6" t="s">
        <v>197</v>
      </c>
      <c r="I57" s="41"/>
      <c r="J57" s="41">
        <f t="shared" si="0"/>
        <v>9000</v>
      </c>
    </row>
    <row r="58" spans="1:11" x14ac:dyDescent="0.2">
      <c r="A58" s="4">
        <v>50</v>
      </c>
      <c r="B58" s="85">
        <v>46099</v>
      </c>
      <c r="C58" s="5"/>
      <c r="D58" s="5" t="s">
        <v>250</v>
      </c>
      <c r="E58" s="6" t="s">
        <v>251</v>
      </c>
      <c r="F58" s="7">
        <v>4</v>
      </c>
      <c r="G58" s="41">
        <f>600*F58</f>
        <v>2400</v>
      </c>
      <c r="H58" s="6" t="s">
        <v>197</v>
      </c>
      <c r="I58" s="41"/>
      <c r="J58" s="41">
        <f t="shared" si="0"/>
        <v>2400</v>
      </c>
      <c r="K58" t="s">
        <v>258</v>
      </c>
    </row>
    <row r="59" spans="1:11" x14ac:dyDescent="0.2">
      <c r="A59" s="4">
        <v>51</v>
      </c>
      <c r="B59" s="85">
        <v>46100</v>
      </c>
      <c r="C59" s="5"/>
      <c r="D59" s="5"/>
      <c r="E59" s="6"/>
      <c r="F59" s="7"/>
      <c r="G59" s="41"/>
      <c r="H59" s="6" t="s">
        <v>198</v>
      </c>
      <c r="I59" s="41">
        <v>100000</v>
      </c>
      <c r="J59" s="41">
        <f t="shared" si="0"/>
        <v>-100000</v>
      </c>
      <c r="K59" t="s">
        <v>259</v>
      </c>
    </row>
    <row r="60" spans="1:11" x14ac:dyDescent="0.2">
      <c r="A60" s="4">
        <v>52</v>
      </c>
      <c r="B60" s="85">
        <v>46106</v>
      </c>
      <c r="C60" s="5"/>
      <c r="D60" s="5"/>
      <c r="E60" s="6" t="s">
        <v>246</v>
      </c>
      <c r="F60" s="7">
        <v>50</v>
      </c>
      <c r="G60" s="41">
        <f>100*F60</f>
        <v>5000</v>
      </c>
      <c r="H60" s="6" t="s">
        <v>197</v>
      </c>
      <c r="I60" s="41"/>
      <c r="J60" s="41">
        <f t="shared" si="0"/>
        <v>5000</v>
      </c>
    </row>
    <row r="61" spans="1:11" x14ac:dyDescent="0.2">
      <c r="A61" s="4">
        <v>53</v>
      </c>
      <c r="B61" s="85">
        <v>46107</v>
      </c>
      <c r="C61" s="5"/>
      <c r="D61" s="5" t="s">
        <v>236</v>
      </c>
      <c r="E61" s="6" t="s">
        <v>257</v>
      </c>
      <c r="F61" s="7">
        <v>50</v>
      </c>
      <c r="G61" s="41">
        <v>4500</v>
      </c>
      <c r="H61" s="6" t="s">
        <v>197</v>
      </c>
      <c r="I61" s="41"/>
      <c r="J61" s="41">
        <f t="shared" si="0"/>
        <v>4500</v>
      </c>
    </row>
    <row r="62" spans="1:11" x14ac:dyDescent="0.2">
      <c r="A62" s="4">
        <v>54</v>
      </c>
      <c r="B62" s="85">
        <v>46108</v>
      </c>
      <c r="C62" s="5"/>
      <c r="D62" s="5" t="s">
        <v>238</v>
      </c>
      <c r="E62" s="6" t="s">
        <v>249</v>
      </c>
      <c r="F62" s="7">
        <v>230</v>
      </c>
      <c r="G62" s="41">
        <f>50*F62</f>
        <v>11500</v>
      </c>
      <c r="H62" s="6" t="s">
        <v>197</v>
      </c>
      <c r="I62" s="41"/>
      <c r="J62" s="41">
        <f t="shared" si="0"/>
        <v>11500</v>
      </c>
    </row>
    <row r="63" spans="1:11" x14ac:dyDescent="0.2">
      <c r="A63" s="4">
        <v>55</v>
      </c>
      <c r="B63" s="85">
        <v>46108</v>
      </c>
      <c r="C63" s="5"/>
      <c r="D63" s="5" t="s">
        <v>238</v>
      </c>
      <c r="E63" s="6" t="s">
        <v>244</v>
      </c>
      <c r="F63" s="7">
        <v>230</v>
      </c>
      <c r="G63" s="41">
        <v>7000</v>
      </c>
      <c r="H63" s="6" t="s">
        <v>197</v>
      </c>
      <c r="I63" s="41"/>
      <c r="J63" s="41">
        <f t="shared" si="0"/>
        <v>7000</v>
      </c>
    </row>
    <row r="64" spans="1:11" x14ac:dyDescent="0.2">
      <c r="A64" s="4">
        <v>56</v>
      </c>
      <c r="B64" s="85">
        <v>46109</v>
      </c>
      <c r="C64" s="5"/>
      <c r="D64" s="5" t="s">
        <v>236</v>
      </c>
      <c r="E64" s="6" t="s">
        <v>240</v>
      </c>
      <c r="F64" s="7">
        <v>30</v>
      </c>
      <c r="G64" s="41">
        <f>600*F64</f>
        <v>18000</v>
      </c>
      <c r="H64" s="6" t="s">
        <v>197</v>
      </c>
      <c r="I64" s="41"/>
      <c r="J64" s="41">
        <f t="shared" si="0"/>
        <v>18000</v>
      </c>
    </row>
    <row r="65" spans="1:11" x14ac:dyDescent="0.2">
      <c r="A65" s="4">
        <v>57</v>
      </c>
      <c r="B65" s="85">
        <v>46111</v>
      </c>
      <c r="C65" s="5"/>
      <c r="D65" s="5" t="s">
        <v>236</v>
      </c>
      <c r="E65" s="6" t="s">
        <v>235</v>
      </c>
      <c r="F65" s="7">
        <v>40</v>
      </c>
      <c r="G65" s="41">
        <f>125*F65</f>
        <v>5000</v>
      </c>
      <c r="H65" s="6" t="s">
        <v>197</v>
      </c>
      <c r="I65" s="41"/>
      <c r="J65" s="41">
        <f t="shared" si="0"/>
        <v>5000</v>
      </c>
    </row>
    <row r="66" spans="1:11" x14ac:dyDescent="0.2">
      <c r="A66" s="4">
        <v>58</v>
      </c>
      <c r="B66" s="85">
        <v>46111</v>
      </c>
      <c r="C66" s="5"/>
      <c r="D66" s="5" t="s">
        <v>236</v>
      </c>
      <c r="E66" s="6" t="s">
        <v>257</v>
      </c>
      <c r="F66" s="7">
        <v>40</v>
      </c>
      <c r="G66" s="41">
        <v>4500</v>
      </c>
      <c r="H66" s="6" t="s">
        <v>197</v>
      </c>
      <c r="I66" s="41"/>
      <c r="J66" s="41">
        <f t="shared" si="0"/>
        <v>4500</v>
      </c>
    </row>
    <row r="67" spans="1:11" x14ac:dyDescent="0.2">
      <c r="A67" s="4">
        <v>59</v>
      </c>
      <c r="B67" s="85">
        <v>46111</v>
      </c>
      <c r="C67" s="5"/>
      <c r="D67" s="5"/>
      <c r="E67" s="6" t="s">
        <v>246</v>
      </c>
      <c r="F67" s="7">
        <v>50</v>
      </c>
      <c r="G67" s="41">
        <f>100*F67</f>
        <v>5000</v>
      </c>
      <c r="H67" s="6" t="s">
        <v>197</v>
      </c>
      <c r="I67" s="41"/>
      <c r="J67" s="41">
        <f t="shared" si="0"/>
        <v>5000</v>
      </c>
    </row>
    <row r="68" spans="1:11" x14ac:dyDescent="0.2">
      <c r="A68" s="4">
        <v>60</v>
      </c>
      <c r="B68" s="85">
        <v>46111</v>
      </c>
      <c r="C68" s="5"/>
      <c r="D68" s="5"/>
      <c r="E68" s="6"/>
      <c r="F68" s="7"/>
      <c r="G68" s="41"/>
      <c r="H68" s="6" t="s">
        <v>198</v>
      </c>
      <c r="I68" s="41">
        <v>13500</v>
      </c>
      <c r="J68" s="41">
        <f t="shared" si="0"/>
        <v>-13500</v>
      </c>
    </row>
    <row r="69" spans="1:11" x14ac:dyDescent="0.2">
      <c r="A69" s="4">
        <v>61</v>
      </c>
      <c r="B69" s="85">
        <v>46113</v>
      </c>
      <c r="C69" s="5"/>
      <c r="D69" s="5" t="s">
        <v>252</v>
      </c>
      <c r="E69" s="6" t="s">
        <v>240</v>
      </c>
      <c r="F69" s="7">
        <v>30</v>
      </c>
      <c r="G69" s="41">
        <f>600*F69</f>
        <v>18000</v>
      </c>
      <c r="H69" s="6" t="s">
        <v>197</v>
      </c>
      <c r="I69" s="41"/>
      <c r="J69" s="41">
        <f t="shared" si="0"/>
        <v>18000</v>
      </c>
    </row>
    <row r="70" spans="1:11" x14ac:dyDescent="0.2">
      <c r="A70" s="4">
        <v>62</v>
      </c>
      <c r="B70" s="85">
        <v>46116</v>
      </c>
      <c r="C70" s="5"/>
      <c r="D70" s="5" t="s">
        <v>238</v>
      </c>
      <c r="E70" s="6" t="s">
        <v>240</v>
      </c>
      <c r="F70" s="7">
        <v>20</v>
      </c>
      <c r="G70" s="41">
        <f>600*F70</f>
        <v>12000</v>
      </c>
      <c r="H70" s="6" t="s">
        <v>197</v>
      </c>
      <c r="I70" s="41"/>
      <c r="J70" s="41">
        <f t="shared" si="0"/>
        <v>12000</v>
      </c>
    </row>
    <row r="71" spans="1:11" x14ac:dyDescent="0.2">
      <c r="A71" s="4">
        <v>63</v>
      </c>
      <c r="B71" s="85">
        <v>46118</v>
      </c>
      <c r="C71" s="5"/>
      <c r="D71" s="5" t="s">
        <v>260</v>
      </c>
      <c r="E71" s="6" t="s">
        <v>246</v>
      </c>
      <c r="F71" s="7">
        <v>128</v>
      </c>
      <c r="G71" s="41">
        <f>100*F71</f>
        <v>12800</v>
      </c>
      <c r="H71" s="6" t="s">
        <v>197</v>
      </c>
      <c r="I71" s="41"/>
      <c r="J71" s="41">
        <f t="shared" si="0"/>
        <v>12800</v>
      </c>
    </row>
    <row r="72" spans="1:11" x14ac:dyDescent="0.2">
      <c r="A72" s="4">
        <v>64</v>
      </c>
      <c r="B72" s="85">
        <v>46119</v>
      </c>
      <c r="C72" s="5"/>
      <c r="D72" s="5" t="s">
        <v>238</v>
      </c>
      <c r="E72" s="6" t="s">
        <v>249</v>
      </c>
      <c r="F72" s="7">
        <v>200</v>
      </c>
      <c r="G72" s="41">
        <f>50*F72</f>
        <v>10000</v>
      </c>
      <c r="H72" s="6" t="s">
        <v>197</v>
      </c>
      <c r="I72" s="41"/>
      <c r="J72" s="41">
        <f t="shared" si="0"/>
        <v>10000</v>
      </c>
    </row>
    <row r="73" spans="1:11" x14ac:dyDescent="0.2">
      <c r="A73" s="4">
        <v>65</v>
      </c>
      <c r="B73" s="85">
        <v>46119</v>
      </c>
      <c r="C73" s="5"/>
      <c r="D73" s="5" t="s">
        <v>238</v>
      </c>
      <c r="E73" s="6" t="s">
        <v>244</v>
      </c>
      <c r="F73" s="7">
        <v>200</v>
      </c>
      <c r="G73" s="41">
        <v>8000</v>
      </c>
      <c r="H73" s="6" t="s">
        <v>197</v>
      </c>
      <c r="I73" s="41"/>
      <c r="J73" s="41">
        <f t="shared" si="0"/>
        <v>8000</v>
      </c>
    </row>
    <row r="74" spans="1:11" x14ac:dyDescent="0.2">
      <c r="A74" s="4">
        <v>66</v>
      </c>
      <c r="B74" s="85">
        <v>46120</v>
      </c>
      <c r="C74" s="5"/>
      <c r="D74" s="5" t="s">
        <v>261</v>
      </c>
      <c r="E74" s="6"/>
      <c r="F74" s="7"/>
      <c r="G74" s="41">
        <v>6400</v>
      </c>
      <c r="H74" s="6" t="s">
        <v>197</v>
      </c>
      <c r="I74" s="41"/>
      <c r="J74" s="41">
        <f t="shared" ref="J74:J137" si="1">IF(H74=$M$3,G74,IF(H74=$M$4,-I74))</f>
        <v>6400</v>
      </c>
    </row>
    <row r="75" spans="1:11" x14ac:dyDescent="0.2">
      <c r="A75" s="4">
        <v>67</v>
      </c>
      <c r="B75" s="85">
        <v>46122</v>
      </c>
      <c r="C75" s="5"/>
      <c r="D75" s="5"/>
      <c r="E75" s="6"/>
      <c r="F75" s="7"/>
      <c r="G75" s="41"/>
      <c r="H75" s="6" t="s">
        <v>198</v>
      </c>
      <c r="I75" s="41">
        <v>120200</v>
      </c>
      <c r="J75" s="41">
        <f t="shared" si="1"/>
        <v>-120200</v>
      </c>
      <c r="K75" t="s">
        <v>271</v>
      </c>
    </row>
    <row r="76" spans="1:11" x14ac:dyDescent="0.2">
      <c r="A76" s="4">
        <v>68</v>
      </c>
      <c r="B76" s="85"/>
      <c r="C76" s="5"/>
      <c r="D76" s="5"/>
      <c r="E76" s="6"/>
      <c r="F76" s="7"/>
      <c r="G76" s="41"/>
      <c r="H76" s="6"/>
      <c r="I76" s="41"/>
      <c r="J76" s="41" t="b">
        <f t="shared" si="1"/>
        <v>0</v>
      </c>
    </row>
    <row r="77" spans="1:11" x14ac:dyDescent="0.2">
      <c r="A77" s="4">
        <v>69</v>
      </c>
      <c r="B77" s="85"/>
      <c r="C77" s="5"/>
      <c r="D77" s="5"/>
      <c r="E77" s="6"/>
      <c r="F77" s="7"/>
      <c r="G77" s="41"/>
      <c r="H77" s="6"/>
      <c r="I77" s="41"/>
      <c r="J77" s="41" t="b">
        <f t="shared" si="1"/>
        <v>0</v>
      </c>
    </row>
    <row r="78" spans="1:11" x14ac:dyDescent="0.2">
      <c r="A78" s="4">
        <v>70</v>
      </c>
      <c r="B78" s="85"/>
      <c r="C78" s="5"/>
      <c r="D78" s="5"/>
      <c r="E78" s="6"/>
      <c r="F78" s="7"/>
      <c r="G78" s="41"/>
      <c r="H78" s="6"/>
      <c r="I78" s="41"/>
      <c r="J78" s="41" t="b">
        <f t="shared" si="1"/>
        <v>0</v>
      </c>
    </row>
    <row r="79" spans="1:11" x14ac:dyDescent="0.2">
      <c r="A79" s="4">
        <v>71</v>
      </c>
      <c r="B79" s="85"/>
      <c r="C79" s="5"/>
      <c r="D79" s="5"/>
      <c r="E79" s="6"/>
      <c r="F79" s="7"/>
      <c r="G79" s="41"/>
      <c r="H79" s="6"/>
      <c r="I79" s="41"/>
      <c r="J79" s="41" t="b">
        <f t="shared" si="1"/>
        <v>0</v>
      </c>
    </row>
    <row r="80" spans="1:11" x14ac:dyDescent="0.2">
      <c r="A80" s="4">
        <v>72</v>
      </c>
      <c r="B80" s="85"/>
      <c r="C80" s="5"/>
      <c r="D80" s="5"/>
      <c r="E80" s="6"/>
      <c r="F80" s="7"/>
      <c r="G80" s="41"/>
      <c r="H80" s="6"/>
      <c r="I80" s="41"/>
      <c r="J80" s="41" t="b">
        <f t="shared" si="1"/>
        <v>0</v>
      </c>
    </row>
    <row r="81" spans="1:10" x14ac:dyDescent="0.2">
      <c r="A81" s="4">
        <v>73</v>
      </c>
      <c r="B81" s="85"/>
      <c r="C81" s="5"/>
      <c r="D81" s="5"/>
      <c r="E81" s="6"/>
      <c r="F81" s="7"/>
      <c r="G81" s="41"/>
      <c r="H81" s="6"/>
      <c r="I81" s="41"/>
      <c r="J81" s="41" t="b">
        <f t="shared" si="1"/>
        <v>0</v>
      </c>
    </row>
    <row r="82" spans="1:10" x14ac:dyDescent="0.2">
      <c r="A82" s="4">
        <v>74</v>
      </c>
      <c r="B82" s="85"/>
      <c r="C82" s="5"/>
      <c r="D82" s="5"/>
      <c r="E82" s="6"/>
      <c r="F82" s="7"/>
      <c r="G82" s="41"/>
      <c r="H82" s="6"/>
      <c r="I82" s="41"/>
      <c r="J82" s="41" t="b">
        <f t="shared" si="1"/>
        <v>0</v>
      </c>
    </row>
    <row r="83" spans="1:10" x14ac:dyDescent="0.2">
      <c r="A83" s="4">
        <v>75</v>
      </c>
      <c r="B83" s="85"/>
      <c r="C83" s="5"/>
      <c r="D83" s="5"/>
      <c r="E83" s="6"/>
      <c r="F83" s="7"/>
      <c r="G83" s="41"/>
      <c r="H83" s="6"/>
      <c r="I83" s="41"/>
      <c r="J83" s="41" t="b">
        <f t="shared" si="1"/>
        <v>0</v>
      </c>
    </row>
    <row r="84" spans="1:10" x14ac:dyDescent="0.2">
      <c r="A84" s="4">
        <v>76</v>
      </c>
      <c r="B84" s="85"/>
      <c r="C84" s="5"/>
      <c r="D84" s="5"/>
      <c r="E84" s="6"/>
      <c r="F84" s="7"/>
      <c r="G84" s="41"/>
      <c r="H84" s="6"/>
      <c r="I84" s="41"/>
      <c r="J84" s="41" t="b">
        <f t="shared" si="1"/>
        <v>0</v>
      </c>
    </row>
    <row r="85" spans="1:10" x14ac:dyDescent="0.2">
      <c r="A85" s="4">
        <v>77</v>
      </c>
      <c r="B85" s="85"/>
      <c r="C85" s="5"/>
      <c r="D85" s="5"/>
      <c r="E85" s="6"/>
      <c r="F85" s="7"/>
      <c r="G85" s="41"/>
      <c r="H85" s="6"/>
      <c r="I85" s="41"/>
      <c r="J85" s="41" t="b">
        <f t="shared" si="1"/>
        <v>0</v>
      </c>
    </row>
    <row r="86" spans="1:10" x14ac:dyDescent="0.2">
      <c r="A86" s="4">
        <v>78</v>
      </c>
      <c r="B86" s="85"/>
      <c r="C86" s="5"/>
      <c r="D86" s="5"/>
      <c r="E86" s="6"/>
      <c r="F86" s="7"/>
      <c r="G86" s="41"/>
      <c r="H86" s="6"/>
      <c r="I86" s="41"/>
      <c r="J86" s="41" t="b">
        <f t="shared" si="1"/>
        <v>0</v>
      </c>
    </row>
    <row r="87" spans="1:10" x14ac:dyDescent="0.2">
      <c r="A87" s="4">
        <v>79</v>
      </c>
      <c r="B87" s="85"/>
      <c r="C87" s="5"/>
      <c r="D87" s="5"/>
      <c r="E87" s="6"/>
      <c r="F87" s="7"/>
      <c r="G87" s="41"/>
      <c r="H87" s="6"/>
      <c r="I87" s="41"/>
      <c r="J87" s="41" t="b">
        <f t="shared" si="1"/>
        <v>0</v>
      </c>
    </row>
    <row r="88" spans="1:10" x14ac:dyDescent="0.2">
      <c r="A88" s="4">
        <v>80</v>
      </c>
      <c r="B88" s="85"/>
      <c r="C88" s="5"/>
      <c r="D88" s="5"/>
      <c r="E88" s="6"/>
      <c r="F88" s="7"/>
      <c r="G88" s="41"/>
      <c r="H88" s="6"/>
      <c r="I88" s="41"/>
      <c r="J88" s="41" t="b">
        <f t="shared" si="1"/>
        <v>0</v>
      </c>
    </row>
    <row r="89" spans="1:10" x14ac:dyDescent="0.2">
      <c r="A89" s="4">
        <v>81</v>
      </c>
      <c r="B89" s="85"/>
      <c r="C89" s="5"/>
      <c r="D89" s="5"/>
      <c r="E89" s="6"/>
      <c r="F89" s="7"/>
      <c r="G89" s="41"/>
      <c r="H89" s="6"/>
      <c r="I89" s="41"/>
      <c r="J89" s="41" t="b">
        <f t="shared" si="1"/>
        <v>0</v>
      </c>
    </row>
    <row r="90" spans="1:10" x14ac:dyDescent="0.2">
      <c r="A90" s="4">
        <v>82</v>
      </c>
      <c r="B90" s="85"/>
      <c r="C90" s="5"/>
      <c r="D90" s="5"/>
      <c r="E90" s="6"/>
      <c r="F90" s="7"/>
      <c r="G90" s="41"/>
      <c r="H90" s="6"/>
      <c r="I90" s="41"/>
      <c r="J90" s="41" t="b">
        <f t="shared" si="1"/>
        <v>0</v>
      </c>
    </row>
    <row r="91" spans="1:10" x14ac:dyDescent="0.2">
      <c r="A91" s="4">
        <v>83</v>
      </c>
      <c r="B91" s="85"/>
      <c r="C91" s="5"/>
      <c r="D91" s="5"/>
      <c r="E91" s="6"/>
      <c r="F91" s="7"/>
      <c r="G91" s="41"/>
      <c r="H91" s="6"/>
      <c r="I91" s="41"/>
      <c r="J91" s="41" t="b">
        <f t="shared" si="1"/>
        <v>0</v>
      </c>
    </row>
    <row r="92" spans="1:10" x14ac:dyDescent="0.2">
      <c r="A92" s="4">
        <v>84</v>
      </c>
      <c r="B92" s="85"/>
      <c r="C92" s="5"/>
      <c r="D92" s="5"/>
      <c r="E92" s="6"/>
      <c r="F92" s="7"/>
      <c r="G92" s="41"/>
      <c r="H92" s="6"/>
      <c r="I92" s="41"/>
      <c r="J92" s="41" t="b">
        <f t="shared" si="1"/>
        <v>0</v>
      </c>
    </row>
    <row r="93" spans="1:10" x14ac:dyDescent="0.2">
      <c r="A93" s="4">
        <v>85</v>
      </c>
      <c r="B93" s="85"/>
      <c r="C93" s="5"/>
      <c r="D93" s="5"/>
      <c r="E93" s="6"/>
      <c r="F93" s="7"/>
      <c r="G93" s="41"/>
      <c r="H93" s="6"/>
      <c r="I93" s="41"/>
      <c r="J93" s="41" t="b">
        <f t="shared" si="1"/>
        <v>0</v>
      </c>
    </row>
    <row r="94" spans="1:10" x14ac:dyDescent="0.2">
      <c r="A94" s="4">
        <v>86</v>
      </c>
      <c r="B94" s="85"/>
      <c r="C94" s="5"/>
      <c r="D94" s="5"/>
      <c r="E94" s="6"/>
      <c r="F94" s="7"/>
      <c r="G94" s="41"/>
      <c r="H94" s="6"/>
      <c r="I94" s="41"/>
      <c r="J94" s="41" t="b">
        <f t="shared" si="1"/>
        <v>0</v>
      </c>
    </row>
    <row r="95" spans="1:10" x14ac:dyDescent="0.2">
      <c r="A95" s="4">
        <v>87</v>
      </c>
      <c r="B95" s="85"/>
      <c r="C95" s="5"/>
      <c r="D95" s="5"/>
      <c r="E95" s="6"/>
      <c r="F95" s="7"/>
      <c r="G95" s="41"/>
      <c r="H95" s="6"/>
      <c r="I95" s="41"/>
      <c r="J95" s="41" t="b">
        <f t="shared" si="1"/>
        <v>0</v>
      </c>
    </row>
    <row r="96" spans="1:10" x14ac:dyDescent="0.2">
      <c r="A96" s="4">
        <v>88</v>
      </c>
      <c r="B96" s="85"/>
      <c r="C96" s="5"/>
      <c r="D96" s="5"/>
      <c r="E96" s="6"/>
      <c r="F96" s="7"/>
      <c r="G96" s="41"/>
      <c r="H96" s="6"/>
      <c r="I96" s="41"/>
      <c r="J96" s="41" t="b">
        <f t="shared" si="1"/>
        <v>0</v>
      </c>
    </row>
    <row r="97" spans="1:10" x14ac:dyDescent="0.2">
      <c r="A97" s="4">
        <v>89</v>
      </c>
      <c r="B97" s="85"/>
      <c r="C97" s="5"/>
      <c r="D97" s="5"/>
      <c r="E97" s="6"/>
      <c r="F97" s="7"/>
      <c r="G97" s="41"/>
      <c r="H97" s="6"/>
      <c r="I97" s="41"/>
      <c r="J97" s="41" t="b">
        <f t="shared" si="1"/>
        <v>0</v>
      </c>
    </row>
    <row r="98" spans="1:10" x14ac:dyDescent="0.2">
      <c r="A98" s="4">
        <v>90</v>
      </c>
      <c r="B98" s="85"/>
      <c r="C98" s="5"/>
      <c r="D98" s="5"/>
      <c r="E98" s="6"/>
      <c r="F98" s="7"/>
      <c r="G98" s="41"/>
      <c r="H98" s="6"/>
      <c r="I98" s="41"/>
      <c r="J98" s="41" t="b">
        <f t="shared" si="1"/>
        <v>0</v>
      </c>
    </row>
    <row r="99" spans="1:10" x14ac:dyDescent="0.2">
      <c r="A99" s="4">
        <v>91</v>
      </c>
      <c r="B99" s="85"/>
      <c r="C99" s="5"/>
      <c r="D99" s="5"/>
      <c r="E99" s="6"/>
      <c r="F99" s="7"/>
      <c r="G99" s="41"/>
      <c r="H99" s="6"/>
      <c r="I99" s="41"/>
      <c r="J99" s="41" t="b">
        <f t="shared" si="1"/>
        <v>0</v>
      </c>
    </row>
    <row r="100" spans="1:10" x14ac:dyDescent="0.2">
      <c r="A100" s="4">
        <v>92</v>
      </c>
      <c r="B100" s="85"/>
      <c r="C100" s="5"/>
      <c r="D100" s="5"/>
      <c r="E100" s="6"/>
      <c r="F100" s="7"/>
      <c r="G100" s="41"/>
      <c r="H100" s="6"/>
      <c r="I100" s="41"/>
      <c r="J100" s="41" t="b">
        <f t="shared" si="1"/>
        <v>0</v>
      </c>
    </row>
    <row r="101" spans="1:10" x14ac:dyDescent="0.2">
      <c r="A101" s="4">
        <v>93</v>
      </c>
      <c r="B101" s="85"/>
      <c r="C101" s="5"/>
      <c r="D101" s="5"/>
      <c r="E101" s="6"/>
      <c r="F101" s="7"/>
      <c r="G101" s="41"/>
      <c r="H101" s="6"/>
      <c r="I101" s="41"/>
      <c r="J101" s="41" t="b">
        <f t="shared" si="1"/>
        <v>0</v>
      </c>
    </row>
    <row r="102" spans="1:10" x14ac:dyDescent="0.2">
      <c r="A102" s="4">
        <v>94</v>
      </c>
      <c r="B102" s="85"/>
      <c r="C102" s="5"/>
      <c r="D102" s="5"/>
      <c r="E102" s="6"/>
      <c r="F102" s="7"/>
      <c r="G102" s="41"/>
      <c r="H102" s="6"/>
      <c r="I102" s="41"/>
      <c r="J102" s="41" t="b">
        <f t="shared" si="1"/>
        <v>0</v>
      </c>
    </row>
    <row r="103" spans="1:10" x14ac:dyDescent="0.2">
      <c r="A103" s="4">
        <v>95</v>
      </c>
      <c r="B103" s="85"/>
      <c r="C103" s="5"/>
      <c r="D103" s="5"/>
      <c r="E103" s="6"/>
      <c r="F103" s="7"/>
      <c r="G103" s="41"/>
      <c r="H103" s="6"/>
      <c r="I103" s="41"/>
      <c r="J103" s="41" t="b">
        <f t="shared" si="1"/>
        <v>0</v>
      </c>
    </row>
    <row r="104" spans="1:10" x14ac:dyDescent="0.2">
      <c r="A104" s="4">
        <v>96</v>
      </c>
      <c r="B104" s="85"/>
      <c r="C104" s="5"/>
      <c r="D104" s="5"/>
      <c r="E104" s="6"/>
      <c r="F104" s="7"/>
      <c r="G104" s="41"/>
      <c r="H104" s="6"/>
      <c r="I104" s="41"/>
      <c r="J104" s="41" t="b">
        <f t="shared" si="1"/>
        <v>0</v>
      </c>
    </row>
    <row r="105" spans="1:10" x14ac:dyDescent="0.2">
      <c r="A105" s="4">
        <v>97</v>
      </c>
      <c r="B105" s="85"/>
      <c r="C105" s="5"/>
      <c r="D105" s="5"/>
      <c r="E105" s="6"/>
      <c r="F105" s="7"/>
      <c r="G105" s="41"/>
      <c r="H105" s="6"/>
      <c r="I105" s="41"/>
      <c r="J105" s="41" t="b">
        <f t="shared" si="1"/>
        <v>0</v>
      </c>
    </row>
    <row r="106" spans="1:10" x14ac:dyDescent="0.2">
      <c r="A106" s="4">
        <v>98</v>
      </c>
      <c r="B106" s="85"/>
      <c r="C106" s="5"/>
      <c r="D106" s="5"/>
      <c r="E106" s="6"/>
      <c r="F106" s="7"/>
      <c r="G106" s="41"/>
      <c r="H106" s="6"/>
      <c r="I106" s="41"/>
      <c r="J106" s="41" t="b">
        <f t="shared" si="1"/>
        <v>0</v>
      </c>
    </row>
    <row r="107" spans="1:10" x14ac:dyDescent="0.2">
      <c r="A107" s="4">
        <v>99</v>
      </c>
      <c r="B107" s="85"/>
      <c r="C107" s="5"/>
      <c r="D107" s="5"/>
      <c r="E107" s="6"/>
      <c r="F107" s="7"/>
      <c r="G107" s="41"/>
      <c r="H107" s="6"/>
      <c r="I107" s="41"/>
      <c r="J107" s="41" t="b">
        <f t="shared" si="1"/>
        <v>0</v>
      </c>
    </row>
    <row r="108" spans="1:10" x14ac:dyDescent="0.2">
      <c r="A108" s="4">
        <v>100</v>
      </c>
      <c r="B108" s="85"/>
      <c r="C108" s="5"/>
      <c r="D108" s="5"/>
      <c r="E108" s="6"/>
      <c r="F108" s="7"/>
      <c r="G108" s="41"/>
      <c r="H108" s="6"/>
      <c r="I108" s="41"/>
      <c r="J108" s="41" t="b">
        <f t="shared" si="1"/>
        <v>0</v>
      </c>
    </row>
    <row r="109" spans="1:10" x14ac:dyDescent="0.2">
      <c r="A109" s="4">
        <v>101</v>
      </c>
      <c r="B109" s="85"/>
      <c r="C109" s="5"/>
      <c r="D109" s="5"/>
      <c r="E109" s="6"/>
      <c r="F109" s="7"/>
      <c r="G109" s="41"/>
      <c r="H109" s="6"/>
      <c r="I109" s="41"/>
      <c r="J109" s="41" t="b">
        <f t="shared" si="1"/>
        <v>0</v>
      </c>
    </row>
    <row r="110" spans="1:10" x14ac:dyDescent="0.2">
      <c r="A110" s="4">
        <v>102</v>
      </c>
      <c r="B110" s="85"/>
      <c r="C110" s="5"/>
      <c r="D110" s="5"/>
      <c r="E110" s="6"/>
      <c r="F110" s="7"/>
      <c r="G110" s="41"/>
      <c r="H110" s="6"/>
      <c r="I110" s="41"/>
      <c r="J110" s="41" t="b">
        <f t="shared" si="1"/>
        <v>0</v>
      </c>
    </row>
    <row r="111" spans="1:10" x14ac:dyDescent="0.2">
      <c r="A111" s="4">
        <v>103</v>
      </c>
      <c r="B111" s="85"/>
      <c r="C111" s="5"/>
      <c r="D111" s="5"/>
      <c r="E111" s="6"/>
      <c r="F111" s="7"/>
      <c r="G111" s="41"/>
      <c r="H111" s="6"/>
      <c r="I111" s="41"/>
      <c r="J111" s="41" t="b">
        <f t="shared" si="1"/>
        <v>0</v>
      </c>
    </row>
    <row r="112" spans="1:10" x14ac:dyDescent="0.2">
      <c r="A112" s="4">
        <v>104</v>
      </c>
      <c r="B112" s="85"/>
      <c r="C112" s="5"/>
      <c r="D112" s="5"/>
      <c r="E112" s="6"/>
      <c r="F112" s="7"/>
      <c r="G112" s="41"/>
      <c r="H112" s="6"/>
      <c r="I112" s="41"/>
      <c r="J112" s="41" t="b">
        <f t="shared" si="1"/>
        <v>0</v>
      </c>
    </row>
    <row r="113" spans="1:10" x14ac:dyDescent="0.2">
      <c r="A113" s="4">
        <v>105</v>
      </c>
      <c r="B113" s="85"/>
      <c r="C113" s="5"/>
      <c r="D113" s="5"/>
      <c r="E113" s="6"/>
      <c r="F113" s="7"/>
      <c r="G113" s="41"/>
      <c r="H113" s="6"/>
      <c r="I113" s="41"/>
      <c r="J113" s="41" t="b">
        <f t="shared" si="1"/>
        <v>0</v>
      </c>
    </row>
    <row r="114" spans="1:10" x14ac:dyDescent="0.2">
      <c r="A114" s="4">
        <v>106</v>
      </c>
      <c r="B114" s="85"/>
      <c r="C114" s="5"/>
      <c r="D114" s="5"/>
      <c r="E114" s="6"/>
      <c r="F114" s="7"/>
      <c r="G114" s="41"/>
      <c r="H114" s="6"/>
      <c r="I114" s="41"/>
      <c r="J114" s="41" t="b">
        <f t="shared" si="1"/>
        <v>0</v>
      </c>
    </row>
    <row r="115" spans="1:10" x14ac:dyDescent="0.2">
      <c r="A115" s="4">
        <v>107</v>
      </c>
      <c r="B115" s="85"/>
      <c r="C115" s="5"/>
      <c r="D115" s="5"/>
      <c r="E115" s="6"/>
      <c r="F115" s="7"/>
      <c r="G115" s="41"/>
      <c r="H115" s="6"/>
      <c r="I115" s="41"/>
      <c r="J115" s="41" t="b">
        <f t="shared" si="1"/>
        <v>0</v>
      </c>
    </row>
    <row r="116" spans="1:10" x14ac:dyDescent="0.2">
      <c r="A116" s="4">
        <v>108</v>
      </c>
      <c r="B116" s="85"/>
      <c r="C116" s="5"/>
      <c r="D116" s="5"/>
      <c r="E116" s="6"/>
      <c r="F116" s="7"/>
      <c r="G116" s="41"/>
      <c r="H116" s="6"/>
      <c r="I116" s="41"/>
      <c r="J116" s="41" t="b">
        <f t="shared" si="1"/>
        <v>0</v>
      </c>
    </row>
    <row r="117" spans="1:10" x14ac:dyDescent="0.2">
      <c r="A117" s="4">
        <v>109</v>
      </c>
      <c r="B117" s="85"/>
      <c r="C117" s="5"/>
      <c r="D117" s="5"/>
      <c r="E117" s="6"/>
      <c r="F117" s="7"/>
      <c r="G117" s="41"/>
      <c r="H117" s="6"/>
      <c r="I117" s="41"/>
      <c r="J117" s="41" t="b">
        <f t="shared" si="1"/>
        <v>0</v>
      </c>
    </row>
    <row r="118" spans="1:10" x14ac:dyDescent="0.2">
      <c r="A118" s="4">
        <v>110</v>
      </c>
      <c r="B118" s="85"/>
      <c r="C118" s="5"/>
      <c r="D118" s="5"/>
      <c r="E118" s="6"/>
      <c r="F118" s="7"/>
      <c r="G118" s="41"/>
      <c r="H118" s="6"/>
      <c r="I118" s="41"/>
      <c r="J118" s="41" t="b">
        <f t="shared" si="1"/>
        <v>0</v>
      </c>
    </row>
    <row r="119" spans="1:10" x14ac:dyDescent="0.2">
      <c r="A119" s="4">
        <v>111</v>
      </c>
      <c r="B119" s="85"/>
      <c r="C119" s="5"/>
      <c r="D119" s="5"/>
      <c r="E119" s="6"/>
      <c r="F119" s="7"/>
      <c r="G119" s="41"/>
      <c r="H119" s="6"/>
      <c r="I119" s="41"/>
      <c r="J119" s="41" t="b">
        <f t="shared" si="1"/>
        <v>0</v>
      </c>
    </row>
    <row r="120" spans="1:10" x14ac:dyDescent="0.2">
      <c r="A120" s="4">
        <v>112</v>
      </c>
      <c r="B120" s="85"/>
      <c r="C120" s="5"/>
      <c r="D120" s="5"/>
      <c r="E120" s="6"/>
      <c r="F120" s="7"/>
      <c r="G120" s="41"/>
      <c r="H120" s="6"/>
      <c r="I120" s="41"/>
      <c r="J120" s="41" t="b">
        <f t="shared" si="1"/>
        <v>0</v>
      </c>
    </row>
    <row r="121" spans="1:10" x14ac:dyDescent="0.2">
      <c r="A121" s="4">
        <v>113</v>
      </c>
      <c r="B121" s="85"/>
      <c r="C121" s="5"/>
      <c r="D121" s="5"/>
      <c r="E121" s="6"/>
      <c r="F121" s="7"/>
      <c r="G121" s="41"/>
      <c r="H121" s="6"/>
      <c r="I121" s="41"/>
      <c r="J121" s="41" t="b">
        <f t="shared" si="1"/>
        <v>0</v>
      </c>
    </row>
    <row r="122" spans="1:10" x14ac:dyDescent="0.2">
      <c r="A122" s="4">
        <v>114</v>
      </c>
      <c r="B122" s="85"/>
      <c r="C122" s="5"/>
      <c r="D122" s="5"/>
      <c r="E122" s="6"/>
      <c r="F122" s="7"/>
      <c r="G122" s="41"/>
      <c r="H122" s="6"/>
      <c r="I122" s="41"/>
      <c r="J122" s="41" t="b">
        <f t="shared" si="1"/>
        <v>0</v>
      </c>
    </row>
    <row r="123" spans="1:10" x14ac:dyDescent="0.2">
      <c r="A123" s="4">
        <v>115</v>
      </c>
      <c r="B123" s="85"/>
      <c r="C123" s="5"/>
      <c r="D123" s="5"/>
      <c r="E123" s="6"/>
      <c r="F123" s="7"/>
      <c r="G123" s="41"/>
      <c r="H123" s="6"/>
      <c r="I123" s="41"/>
      <c r="J123" s="41" t="b">
        <f t="shared" si="1"/>
        <v>0</v>
      </c>
    </row>
    <row r="124" spans="1:10" x14ac:dyDescent="0.2">
      <c r="A124" s="4">
        <v>116</v>
      </c>
      <c r="B124" s="85"/>
      <c r="C124" s="5"/>
      <c r="D124" s="5"/>
      <c r="E124" s="6"/>
      <c r="F124" s="7"/>
      <c r="G124" s="41"/>
      <c r="H124" s="6"/>
      <c r="I124" s="41"/>
      <c r="J124" s="41" t="b">
        <f t="shared" si="1"/>
        <v>0</v>
      </c>
    </row>
    <row r="125" spans="1:10" x14ac:dyDescent="0.2">
      <c r="A125" s="4">
        <v>117</v>
      </c>
      <c r="B125" s="85"/>
      <c r="C125" s="5"/>
      <c r="D125" s="5"/>
      <c r="E125" s="6"/>
      <c r="F125" s="7"/>
      <c r="G125" s="41"/>
      <c r="H125" s="6"/>
      <c r="I125" s="41"/>
      <c r="J125" s="41" t="b">
        <f t="shared" si="1"/>
        <v>0</v>
      </c>
    </row>
    <row r="126" spans="1:10" x14ac:dyDescent="0.2">
      <c r="A126" s="4">
        <v>118</v>
      </c>
      <c r="B126" s="85"/>
      <c r="C126" s="5"/>
      <c r="D126" s="5"/>
      <c r="E126" s="6"/>
      <c r="F126" s="7"/>
      <c r="G126" s="41"/>
      <c r="H126" s="6"/>
      <c r="I126" s="41"/>
      <c r="J126" s="41" t="b">
        <f t="shared" si="1"/>
        <v>0</v>
      </c>
    </row>
    <row r="127" spans="1:10" x14ac:dyDescent="0.2">
      <c r="A127" s="4">
        <v>119</v>
      </c>
      <c r="B127" s="85"/>
      <c r="C127" s="5"/>
      <c r="D127" s="5"/>
      <c r="E127" s="6"/>
      <c r="F127" s="7"/>
      <c r="G127" s="41"/>
      <c r="H127" s="6"/>
      <c r="I127" s="41"/>
      <c r="J127" s="41" t="b">
        <f t="shared" si="1"/>
        <v>0</v>
      </c>
    </row>
    <row r="128" spans="1:10" x14ac:dyDescent="0.2">
      <c r="A128" s="4">
        <v>120</v>
      </c>
      <c r="B128" s="85"/>
      <c r="C128" s="5"/>
      <c r="D128" s="5"/>
      <c r="E128" s="6"/>
      <c r="F128" s="7"/>
      <c r="G128" s="41"/>
      <c r="H128" s="6"/>
      <c r="I128" s="41"/>
      <c r="J128" s="41" t="b">
        <f t="shared" si="1"/>
        <v>0</v>
      </c>
    </row>
    <row r="129" spans="1:10" x14ac:dyDescent="0.2">
      <c r="A129" s="4">
        <v>121</v>
      </c>
      <c r="B129" s="85"/>
      <c r="C129" s="5"/>
      <c r="D129" s="5"/>
      <c r="E129" s="6"/>
      <c r="F129" s="7"/>
      <c r="G129" s="41"/>
      <c r="H129" s="6"/>
      <c r="I129" s="41"/>
      <c r="J129" s="41" t="b">
        <f t="shared" si="1"/>
        <v>0</v>
      </c>
    </row>
    <row r="130" spans="1:10" x14ac:dyDescent="0.2">
      <c r="A130" s="4">
        <v>122</v>
      </c>
      <c r="B130" s="85"/>
      <c r="C130" s="5"/>
      <c r="D130" s="5"/>
      <c r="E130" s="6"/>
      <c r="F130" s="7"/>
      <c r="G130" s="41"/>
      <c r="H130" s="6"/>
      <c r="I130" s="41"/>
      <c r="J130" s="41" t="b">
        <f t="shared" si="1"/>
        <v>0</v>
      </c>
    </row>
    <row r="131" spans="1:10" x14ac:dyDescent="0.2">
      <c r="A131" s="4">
        <v>123</v>
      </c>
      <c r="B131" s="85"/>
      <c r="C131" s="5"/>
      <c r="D131" s="5"/>
      <c r="E131" s="6"/>
      <c r="F131" s="7"/>
      <c r="G131" s="41"/>
      <c r="H131" s="6"/>
      <c r="I131" s="41"/>
      <c r="J131" s="41" t="b">
        <f t="shared" si="1"/>
        <v>0</v>
      </c>
    </row>
    <row r="132" spans="1:10" x14ac:dyDescent="0.2">
      <c r="A132" s="4">
        <v>124</v>
      </c>
      <c r="B132" s="85"/>
      <c r="C132" s="5"/>
      <c r="D132" s="5"/>
      <c r="E132" s="6"/>
      <c r="F132" s="7"/>
      <c r="G132" s="41"/>
      <c r="H132" s="6"/>
      <c r="I132" s="41"/>
      <c r="J132" s="41" t="b">
        <f t="shared" si="1"/>
        <v>0</v>
      </c>
    </row>
    <row r="133" spans="1:10" x14ac:dyDescent="0.2">
      <c r="A133" s="4">
        <v>125</v>
      </c>
      <c r="B133" s="85"/>
      <c r="C133" s="5"/>
      <c r="D133" s="5"/>
      <c r="E133" s="6"/>
      <c r="F133" s="7"/>
      <c r="G133" s="41"/>
      <c r="H133" s="6"/>
      <c r="I133" s="41"/>
      <c r="J133" s="41" t="b">
        <f t="shared" si="1"/>
        <v>0</v>
      </c>
    </row>
    <row r="134" spans="1:10" x14ac:dyDescent="0.2">
      <c r="A134" s="4">
        <v>126</v>
      </c>
      <c r="B134" s="85"/>
      <c r="C134" s="5"/>
      <c r="D134" s="5"/>
      <c r="E134" s="6"/>
      <c r="F134" s="7"/>
      <c r="G134" s="41"/>
      <c r="H134" s="6"/>
      <c r="I134" s="41"/>
      <c r="J134" s="41" t="b">
        <f t="shared" si="1"/>
        <v>0</v>
      </c>
    </row>
    <row r="135" spans="1:10" x14ac:dyDescent="0.2">
      <c r="A135" s="4">
        <v>127</v>
      </c>
      <c r="B135" s="85"/>
      <c r="C135" s="5"/>
      <c r="D135" s="5"/>
      <c r="E135" s="6"/>
      <c r="F135" s="7"/>
      <c r="G135" s="41"/>
      <c r="H135" s="6"/>
      <c r="I135" s="41"/>
      <c r="J135" s="41" t="b">
        <f t="shared" si="1"/>
        <v>0</v>
      </c>
    </row>
    <row r="136" spans="1:10" x14ac:dyDescent="0.2">
      <c r="A136" s="4">
        <v>128</v>
      </c>
      <c r="B136" s="85"/>
      <c r="C136" s="5"/>
      <c r="D136" s="5"/>
      <c r="E136" s="6"/>
      <c r="F136" s="7"/>
      <c r="G136" s="41"/>
      <c r="H136" s="6"/>
      <c r="I136" s="41"/>
      <c r="J136" s="41" t="b">
        <f t="shared" si="1"/>
        <v>0</v>
      </c>
    </row>
    <row r="137" spans="1:10" x14ac:dyDescent="0.2">
      <c r="A137" s="4">
        <v>129</v>
      </c>
      <c r="B137" s="85"/>
      <c r="C137" s="5"/>
      <c r="D137" s="5"/>
      <c r="E137" s="6"/>
      <c r="F137" s="7"/>
      <c r="G137" s="41"/>
      <c r="H137" s="6"/>
      <c r="I137" s="41"/>
      <c r="J137" s="41" t="b">
        <f t="shared" si="1"/>
        <v>0</v>
      </c>
    </row>
    <row r="138" spans="1:10" x14ac:dyDescent="0.2">
      <c r="A138" s="4">
        <v>130</v>
      </c>
      <c r="B138" s="85"/>
      <c r="C138" s="5"/>
      <c r="D138" s="5"/>
      <c r="E138" s="6"/>
      <c r="F138" s="7"/>
      <c r="G138" s="41"/>
      <c r="H138" s="6"/>
      <c r="I138" s="41"/>
      <c r="J138" s="41" t="b">
        <f t="shared" ref="J138:J201" si="2">IF(H138=$M$3,G138,IF(H138=$M$4,-I138))</f>
        <v>0</v>
      </c>
    </row>
    <row r="139" spans="1:10" x14ac:dyDescent="0.2">
      <c r="A139" s="4">
        <v>131</v>
      </c>
      <c r="B139" s="85"/>
      <c r="C139" s="5"/>
      <c r="D139" s="5"/>
      <c r="E139" s="6"/>
      <c r="F139" s="7"/>
      <c r="G139" s="41"/>
      <c r="H139" s="6"/>
      <c r="I139" s="41"/>
      <c r="J139" s="41" t="b">
        <f t="shared" si="2"/>
        <v>0</v>
      </c>
    </row>
    <row r="140" spans="1:10" x14ac:dyDescent="0.2">
      <c r="A140" s="4">
        <v>132</v>
      </c>
      <c r="B140" s="85"/>
      <c r="C140" s="5"/>
      <c r="D140" s="5"/>
      <c r="E140" s="6"/>
      <c r="F140" s="7"/>
      <c r="G140" s="41"/>
      <c r="H140" s="6"/>
      <c r="I140" s="41"/>
      <c r="J140" s="41" t="b">
        <f t="shared" si="2"/>
        <v>0</v>
      </c>
    </row>
    <row r="141" spans="1:10" x14ac:dyDescent="0.2">
      <c r="A141" s="4">
        <v>133</v>
      </c>
      <c r="B141" s="85"/>
      <c r="C141" s="5"/>
      <c r="D141" s="5"/>
      <c r="E141" s="6"/>
      <c r="F141" s="7"/>
      <c r="G141" s="41"/>
      <c r="H141" s="6"/>
      <c r="I141" s="41"/>
      <c r="J141" s="41" t="b">
        <f t="shared" si="2"/>
        <v>0</v>
      </c>
    </row>
    <row r="142" spans="1:10" x14ac:dyDescent="0.2">
      <c r="A142" s="4">
        <v>134</v>
      </c>
      <c r="B142" s="85"/>
      <c r="C142" s="5"/>
      <c r="D142" s="5"/>
      <c r="E142" s="6"/>
      <c r="F142" s="7"/>
      <c r="G142" s="41"/>
      <c r="H142" s="6"/>
      <c r="I142" s="41"/>
      <c r="J142" s="41" t="b">
        <f t="shared" si="2"/>
        <v>0</v>
      </c>
    </row>
    <row r="143" spans="1:10" x14ac:dyDescent="0.2">
      <c r="A143" s="4">
        <v>135</v>
      </c>
      <c r="B143" s="85"/>
      <c r="C143" s="5"/>
      <c r="D143" s="5"/>
      <c r="E143" s="6"/>
      <c r="F143" s="7"/>
      <c r="G143" s="41"/>
      <c r="H143" s="6"/>
      <c r="I143" s="41"/>
      <c r="J143" s="41" t="b">
        <f t="shared" si="2"/>
        <v>0</v>
      </c>
    </row>
    <row r="144" spans="1:10" x14ac:dyDescent="0.2">
      <c r="A144" s="4">
        <v>136</v>
      </c>
      <c r="B144" s="85"/>
      <c r="C144" s="5"/>
      <c r="D144" s="5"/>
      <c r="E144" s="6"/>
      <c r="F144" s="7"/>
      <c r="G144" s="41"/>
      <c r="H144" s="6"/>
      <c r="I144" s="41"/>
      <c r="J144" s="41" t="b">
        <f t="shared" si="2"/>
        <v>0</v>
      </c>
    </row>
    <row r="145" spans="1:10" x14ac:dyDescent="0.2">
      <c r="A145" s="4">
        <v>137</v>
      </c>
      <c r="B145" s="85"/>
      <c r="C145" s="5"/>
      <c r="D145" s="5"/>
      <c r="E145" s="6"/>
      <c r="F145" s="7"/>
      <c r="G145" s="41"/>
      <c r="H145" s="6"/>
      <c r="I145" s="41"/>
      <c r="J145" s="41" t="b">
        <f t="shared" si="2"/>
        <v>0</v>
      </c>
    </row>
    <row r="146" spans="1:10" x14ac:dyDescent="0.2">
      <c r="A146" s="4">
        <v>138</v>
      </c>
      <c r="B146" s="85"/>
      <c r="C146" s="5"/>
      <c r="D146" s="5"/>
      <c r="E146" s="6"/>
      <c r="F146" s="7"/>
      <c r="G146" s="41"/>
      <c r="H146" s="6"/>
      <c r="I146" s="41"/>
      <c r="J146" s="41" t="b">
        <f t="shared" si="2"/>
        <v>0</v>
      </c>
    </row>
    <row r="147" spans="1:10" x14ac:dyDescent="0.2">
      <c r="A147" s="4">
        <v>139</v>
      </c>
      <c r="B147" s="85"/>
      <c r="C147" s="5"/>
      <c r="D147" s="5"/>
      <c r="E147" s="6"/>
      <c r="F147" s="7"/>
      <c r="G147" s="41"/>
      <c r="H147" s="6"/>
      <c r="I147" s="41"/>
      <c r="J147" s="41" t="b">
        <f t="shared" si="2"/>
        <v>0</v>
      </c>
    </row>
    <row r="148" spans="1:10" x14ac:dyDescent="0.2">
      <c r="A148" s="4">
        <v>140</v>
      </c>
      <c r="B148" s="85"/>
      <c r="C148" s="5"/>
      <c r="D148" s="5"/>
      <c r="E148" s="6"/>
      <c r="F148" s="7"/>
      <c r="G148" s="41"/>
      <c r="H148" s="6"/>
      <c r="I148" s="41"/>
      <c r="J148" s="41" t="b">
        <f t="shared" si="2"/>
        <v>0</v>
      </c>
    </row>
    <row r="149" spans="1:10" x14ac:dyDescent="0.2">
      <c r="A149" s="4">
        <v>141</v>
      </c>
      <c r="B149" s="85"/>
      <c r="C149" s="5"/>
      <c r="D149" s="5"/>
      <c r="E149" s="6"/>
      <c r="F149" s="7"/>
      <c r="G149" s="41"/>
      <c r="H149" s="6"/>
      <c r="I149" s="41"/>
      <c r="J149" s="41" t="b">
        <f t="shared" si="2"/>
        <v>0</v>
      </c>
    </row>
    <row r="150" spans="1:10" x14ac:dyDescent="0.2">
      <c r="A150" s="4">
        <v>142</v>
      </c>
      <c r="B150" s="85"/>
      <c r="C150" s="5"/>
      <c r="D150" s="5"/>
      <c r="E150" s="6"/>
      <c r="F150" s="7"/>
      <c r="G150" s="41"/>
      <c r="H150" s="6"/>
      <c r="I150" s="41"/>
      <c r="J150" s="41" t="b">
        <f t="shared" si="2"/>
        <v>0</v>
      </c>
    </row>
    <row r="151" spans="1:10" x14ac:dyDescent="0.2">
      <c r="A151" s="4">
        <v>143</v>
      </c>
      <c r="B151" s="85"/>
      <c r="C151" s="5"/>
      <c r="D151" s="5"/>
      <c r="E151" s="6"/>
      <c r="F151" s="7"/>
      <c r="G151" s="41"/>
      <c r="H151" s="6"/>
      <c r="I151" s="41"/>
      <c r="J151" s="41" t="b">
        <f t="shared" si="2"/>
        <v>0</v>
      </c>
    </row>
    <row r="152" spans="1:10" x14ac:dyDescent="0.2">
      <c r="A152" s="4">
        <v>144</v>
      </c>
      <c r="B152" s="85"/>
      <c r="C152" s="5"/>
      <c r="D152" s="5"/>
      <c r="E152" s="6"/>
      <c r="F152" s="7"/>
      <c r="G152" s="41"/>
      <c r="H152" s="6"/>
      <c r="I152" s="41"/>
      <c r="J152" s="41" t="b">
        <f t="shared" si="2"/>
        <v>0</v>
      </c>
    </row>
    <row r="153" spans="1:10" x14ac:dyDescent="0.2">
      <c r="A153" s="4">
        <v>145</v>
      </c>
      <c r="B153" s="85"/>
      <c r="C153" s="5"/>
      <c r="D153" s="5"/>
      <c r="E153" s="6"/>
      <c r="F153" s="7"/>
      <c r="G153" s="41"/>
      <c r="H153" s="6"/>
      <c r="I153" s="41"/>
      <c r="J153" s="41" t="b">
        <f t="shared" si="2"/>
        <v>0</v>
      </c>
    </row>
    <row r="154" spans="1:10" x14ac:dyDescent="0.2">
      <c r="A154" s="4">
        <v>146</v>
      </c>
      <c r="B154" s="85"/>
      <c r="C154" s="5"/>
      <c r="D154" s="5"/>
      <c r="E154" s="6"/>
      <c r="F154" s="7"/>
      <c r="G154" s="41"/>
      <c r="H154" s="6"/>
      <c r="I154" s="41"/>
      <c r="J154" s="41" t="b">
        <f t="shared" si="2"/>
        <v>0</v>
      </c>
    </row>
    <row r="155" spans="1:10" x14ac:dyDescent="0.2">
      <c r="A155" s="4">
        <v>147</v>
      </c>
      <c r="B155" s="85"/>
      <c r="C155" s="5"/>
      <c r="D155" s="5"/>
      <c r="E155" s="6"/>
      <c r="F155" s="7"/>
      <c r="G155" s="41"/>
      <c r="H155" s="6"/>
      <c r="I155" s="41"/>
      <c r="J155" s="41" t="b">
        <f t="shared" si="2"/>
        <v>0</v>
      </c>
    </row>
    <row r="156" spans="1:10" x14ac:dyDescent="0.2">
      <c r="A156" s="4">
        <v>148</v>
      </c>
      <c r="B156" s="85"/>
      <c r="C156" s="5"/>
      <c r="D156" s="5"/>
      <c r="E156" s="6"/>
      <c r="F156" s="7"/>
      <c r="G156" s="41"/>
      <c r="H156" s="6"/>
      <c r="I156" s="41"/>
      <c r="J156" s="41" t="b">
        <f t="shared" si="2"/>
        <v>0</v>
      </c>
    </row>
    <row r="157" spans="1:10" x14ac:dyDescent="0.2">
      <c r="A157" s="4">
        <v>149</v>
      </c>
      <c r="B157" s="85"/>
      <c r="C157" s="5"/>
      <c r="D157" s="5"/>
      <c r="E157" s="6"/>
      <c r="F157" s="7"/>
      <c r="G157" s="41"/>
      <c r="H157" s="6"/>
      <c r="I157" s="41"/>
      <c r="J157" s="41" t="b">
        <f t="shared" si="2"/>
        <v>0</v>
      </c>
    </row>
    <row r="158" spans="1:10" x14ac:dyDescent="0.2">
      <c r="A158" s="4">
        <v>150</v>
      </c>
      <c r="B158" s="85"/>
      <c r="C158" s="5"/>
      <c r="D158" s="5"/>
      <c r="E158" s="6"/>
      <c r="F158" s="7"/>
      <c r="G158" s="41"/>
      <c r="H158" s="6"/>
      <c r="I158" s="41"/>
      <c r="J158" s="41" t="b">
        <f t="shared" si="2"/>
        <v>0</v>
      </c>
    </row>
    <row r="159" spans="1:10" x14ac:dyDescent="0.2">
      <c r="A159" s="4">
        <v>151</v>
      </c>
      <c r="B159" s="85"/>
      <c r="C159" s="5"/>
      <c r="D159" s="5"/>
      <c r="E159" s="6"/>
      <c r="F159" s="7"/>
      <c r="G159" s="41"/>
      <c r="H159" s="6"/>
      <c r="I159" s="41"/>
      <c r="J159" s="41" t="b">
        <f t="shared" si="2"/>
        <v>0</v>
      </c>
    </row>
    <row r="160" spans="1:10" x14ac:dyDescent="0.2">
      <c r="A160" s="4">
        <v>152</v>
      </c>
      <c r="B160" s="85"/>
      <c r="C160" s="5"/>
      <c r="D160" s="5"/>
      <c r="E160" s="6"/>
      <c r="F160" s="7"/>
      <c r="G160" s="41"/>
      <c r="H160" s="6"/>
      <c r="I160" s="41"/>
      <c r="J160" s="41" t="b">
        <f t="shared" si="2"/>
        <v>0</v>
      </c>
    </row>
    <row r="161" spans="1:10" x14ac:dyDescent="0.2">
      <c r="A161" s="4">
        <v>153</v>
      </c>
      <c r="B161" s="85"/>
      <c r="C161" s="5"/>
      <c r="D161" s="5"/>
      <c r="E161" s="6"/>
      <c r="F161" s="7"/>
      <c r="G161" s="41"/>
      <c r="H161" s="6"/>
      <c r="I161" s="41"/>
      <c r="J161" s="41" t="b">
        <f t="shared" si="2"/>
        <v>0</v>
      </c>
    </row>
    <row r="162" spans="1:10" x14ac:dyDescent="0.2">
      <c r="A162" s="4">
        <v>154</v>
      </c>
      <c r="B162" s="85"/>
      <c r="C162" s="5"/>
      <c r="D162" s="5"/>
      <c r="E162" s="6"/>
      <c r="F162" s="7"/>
      <c r="G162" s="41"/>
      <c r="H162" s="6"/>
      <c r="I162" s="41"/>
      <c r="J162" s="41" t="b">
        <f t="shared" si="2"/>
        <v>0</v>
      </c>
    </row>
    <row r="163" spans="1:10" x14ac:dyDescent="0.2">
      <c r="A163" s="4">
        <v>155</v>
      </c>
      <c r="B163" s="85"/>
      <c r="C163" s="5"/>
      <c r="D163" s="5"/>
      <c r="E163" s="6"/>
      <c r="F163" s="7"/>
      <c r="G163" s="41"/>
      <c r="H163" s="6"/>
      <c r="I163" s="41"/>
      <c r="J163" s="41" t="b">
        <f t="shared" si="2"/>
        <v>0</v>
      </c>
    </row>
    <row r="164" spans="1:10" x14ac:dyDescent="0.2">
      <c r="A164" s="4">
        <v>156</v>
      </c>
      <c r="B164" s="85"/>
      <c r="C164" s="5"/>
      <c r="D164" s="5"/>
      <c r="E164" s="6"/>
      <c r="F164" s="7"/>
      <c r="G164" s="41"/>
      <c r="H164" s="6"/>
      <c r="I164" s="41"/>
      <c r="J164" s="41" t="b">
        <f t="shared" si="2"/>
        <v>0</v>
      </c>
    </row>
    <row r="165" spans="1:10" x14ac:dyDescent="0.2">
      <c r="A165" s="4">
        <v>157</v>
      </c>
      <c r="B165" s="85"/>
      <c r="C165" s="5"/>
      <c r="D165" s="5"/>
      <c r="E165" s="6"/>
      <c r="F165" s="7"/>
      <c r="G165" s="41"/>
      <c r="H165" s="6"/>
      <c r="I165" s="41"/>
      <c r="J165" s="41" t="b">
        <f t="shared" si="2"/>
        <v>0</v>
      </c>
    </row>
    <row r="166" spans="1:10" x14ac:dyDescent="0.2">
      <c r="A166" s="4">
        <v>158</v>
      </c>
      <c r="B166" s="85"/>
      <c r="C166" s="5"/>
      <c r="D166" s="5"/>
      <c r="E166" s="6"/>
      <c r="F166" s="7"/>
      <c r="G166" s="41"/>
      <c r="H166" s="6"/>
      <c r="I166" s="41"/>
      <c r="J166" s="41" t="b">
        <f t="shared" si="2"/>
        <v>0</v>
      </c>
    </row>
    <row r="167" spans="1:10" x14ac:dyDescent="0.2">
      <c r="A167" s="4">
        <v>159</v>
      </c>
      <c r="B167" s="85"/>
      <c r="C167" s="5"/>
      <c r="D167" s="5"/>
      <c r="E167" s="6"/>
      <c r="F167" s="7"/>
      <c r="G167" s="41"/>
      <c r="H167" s="6"/>
      <c r="I167" s="41"/>
      <c r="J167" s="41" t="b">
        <f t="shared" si="2"/>
        <v>0</v>
      </c>
    </row>
    <row r="168" spans="1:10" x14ac:dyDescent="0.2">
      <c r="A168" s="4">
        <v>160</v>
      </c>
      <c r="B168" s="85"/>
      <c r="C168" s="5"/>
      <c r="D168" s="5"/>
      <c r="E168" s="6"/>
      <c r="F168" s="7"/>
      <c r="G168" s="41"/>
      <c r="H168" s="6"/>
      <c r="I168" s="41"/>
      <c r="J168" s="41" t="b">
        <f t="shared" si="2"/>
        <v>0</v>
      </c>
    </row>
    <row r="169" spans="1:10" x14ac:dyDescent="0.2">
      <c r="A169" s="4">
        <v>161</v>
      </c>
      <c r="B169" s="85"/>
      <c r="C169" s="5"/>
      <c r="D169" s="5"/>
      <c r="E169" s="6"/>
      <c r="F169" s="7"/>
      <c r="G169" s="41"/>
      <c r="H169" s="6"/>
      <c r="I169" s="41"/>
      <c r="J169" s="41" t="b">
        <f t="shared" si="2"/>
        <v>0</v>
      </c>
    </row>
    <row r="170" spans="1:10" x14ac:dyDescent="0.2">
      <c r="A170" s="4">
        <v>162</v>
      </c>
      <c r="B170" s="85"/>
      <c r="C170" s="5"/>
      <c r="D170" s="5"/>
      <c r="E170" s="6"/>
      <c r="F170" s="7"/>
      <c r="G170" s="41"/>
      <c r="H170" s="6"/>
      <c r="I170" s="41"/>
      <c r="J170" s="41" t="b">
        <f t="shared" si="2"/>
        <v>0</v>
      </c>
    </row>
    <row r="171" spans="1:10" x14ac:dyDescent="0.2">
      <c r="A171" s="4">
        <v>163</v>
      </c>
      <c r="B171" s="85"/>
      <c r="C171" s="5"/>
      <c r="D171" s="5"/>
      <c r="E171" s="6"/>
      <c r="F171" s="7"/>
      <c r="G171" s="41"/>
      <c r="H171" s="6"/>
      <c r="I171" s="41"/>
      <c r="J171" s="41" t="b">
        <f t="shared" si="2"/>
        <v>0</v>
      </c>
    </row>
    <row r="172" spans="1:10" x14ac:dyDescent="0.2">
      <c r="A172" s="4">
        <v>164</v>
      </c>
      <c r="B172" s="85"/>
      <c r="C172" s="5"/>
      <c r="D172" s="5"/>
      <c r="E172" s="6"/>
      <c r="F172" s="7"/>
      <c r="G172" s="41"/>
      <c r="H172" s="6"/>
      <c r="I172" s="41"/>
      <c r="J172" s="41" t="b">
        <f t="shared" si="2"/>
        <v>0</v>
      </c>
    </row>
    <row r="173" spans="1:10" x14ac:dyDescent="0.2">
      <c r="A173" s="4">
        <v>165</v>
      </c>
      <c r="B173" s="85"/>
      <c r="C173" s="5"/>
      <c r="D173" s="5"/>
      <c r="E173" s="6"/>
      <c r="F173" s="7"/>
      <c r="G173" s="41"/>
      <c r="H173" s="6"/>
      <c r="I173" s="41"/>
      <c r="J173" s="41" t="b">
        <f t="shared" si="2"/>
        <v>0</v>
      </c>
    </row>
    <row r="174" spans="1:10" x14ac:dyDescent="0.2">
      <c r="A174" s="4">
        <v>166</v>
      </c>
      <c r="B174" s="85"/>
      <c r="C174" s="5"/>
      <c r="D174" s="5"/>
      <c r="E174" s="6"/>
      <c r="F174" s="7"/>
      <c r="G174" s="41"/>
      <c r="H174" s="6"/>
      <c r="I174" s="41"/>
      <c r="J174" s="41" t="b">
        <f t="shared" si="2"/>
        <v>0</v>
      </c>
    </row>
    <row r="175" spans="1:10" x14ac:dyDescent="0.2">
      <c r="A175" s="4">
        <v>167</v>
      </c>
      <c r="B175" s="85"/>
      <c r="C175" s="5"/>
      <c r="D175" s="5"/>
      <c r="E175" s="6"/>
      <c r="F175" s="7"/>
      <c r="G175" s="41"/>
      <c r="H175" s="6"/>
      <c r="I175" s="41"/>
      <c r="J175" s="41" t="b">
        <f t="shared" si="2"/>
        <v>0</v>
      </c>
    </row>
    <row r="176" spans="1:10" x14ac:dyDescent="0.2">
      <c r="A176" s="4">
        <v>168</v>
      </c>
      <c r="B176" s="85"/>
      <c r="C176" s="5"/>
      <c r="D176" s="5"/>
      <c r="E176" s="6"/>
      <c r="F176" s="7"/>
      <c r="G176" s="41"/>
      <c r="H176" s="6"/>
      <c r="I176" s="41"/>
      <c r="J176" s="41" t="b">
        <f t="shared" si="2"/>
        <v>0</v>
      </c>
    </row>
    <row r="177" spans="1:10" x14ac:dyDescent="0.2">
      <c r="A177" s="4">
        <v>169</v>
      </c>
      <c r="B177" s="85"/>
      <c r="C177" s="5"/>
      <c r="D177" s="5"/>
      <c r="E177" s="6"/>
      <c r="F177" s="7"/>
      <c r="G177" s="41"/>
      <c r="H177" s="6"/>
      <c r="I177" s="41"/>
      <c r="J177" s="41" t="b">
        <f t="shared" si="2"/>
        <v>0</v>
      </c>
    </row>
    <row r="178" spans="1:10" x14ac:dyDescent="0.2">
      <c r="A178" s="4">
        <v>170</v>
      </c>
      <c r="B178" s="85"/>
      <c r="C178" s="5"/>
      <c r="D178" s="5"/>
      <c r="E178" s="6"/>
      <c r="F178" s="7"/>
      <c r="G178" s="41"/>
      <c r="H178" s="6"/>
      <c r="I178" s="41"/>
      <c r="J178" s="41" t="b">
        <f t="shared" si="2"/>
        <v>0</v>
      </c>
    </row>
    <row r="179" spans="1:10" x14ac:dyDescent="0.2">
      <c r="A179" s="4">
        <v>171</v>
      </c>
      <c r="B179" s="85"/>
      <c r="C179" s="5"/>
      <c r="D179" s="5"/>
      <c r="E179" s="6"/>
      <c r="F179" s="7"/>
      <c r="G179" s="41"/>
      <c r="H179" s="6"/>
      <c r="I179" s="41"/>
      <c r="J179" s="41" t="b">
        <f t="shared" si="2"/>
        <v>0</v>
      </c>
    </row>
    <row r="180" spans="1:10" x14ac:dyDescent="0.2">
      <c r="A180" s="4">
        <v>172</v>
      </c>
      <c r="B180" s="85"/>
      <c r="C180" s="5"/>
      <c r="D180" s="5"/>
      <c r="E180" s="6"/>
      <c r="F180" s="7"/>
      <c r="G180" s="41"/>
      <c r="H180" s="6"/>
      <c r="I180" s="41"/>
      <c r="J180" s="41" t="b">
        <f t="shared" si="2"/>
        <v>0</v>
      </c>
    </row>
    <row r="181" spans="1:10" x14ac:dyDescent="0.2">
      <c r="A181" s="4">
        <v>173</v>
      </c>
      <c r="B181" s="85"/>
      <c r="C181" s="5"/>
      <c r="D181" s="5"/>
      <c r="E181" s="6"/>
      <c r="F181" s="7"/>
      <c r="G181" s="41"/>
      <c r="H181" s="6"/>
      <c r="I181" s="41"/>
      <c r="J181" s="41" t="b">
        <f t="shared" si="2"/>
        <v>0</v>
      </c>
    </row>
    <row r="182" spans="1:10" x14ac:dyDescent="0.2">
      <c r="A182" s="4">
        <v>174</v>
      </c>
      <c r="B182" s="85"/>
      <c r="C182" s="5"/>
      <c r="D182" s="5"/>
      <c r="E182" s="6"/>
      <c r="F182" s="7"/>
      <c r="G182" s="41"/>
      <c r="H182" s="6"/>
      <c r="I182" s="41"/>
      <c r="J182" s="41" t="b">
        <f t="shared" si="2"/>
        <v>0</v>
      </c>
    </row>
    <row r="183" spans="1:10" x14ac:dyDescent="0.2">
      <c r="A183" s="4">
        <v>175</v>
      </c>
      <c r="B183" s="85"/>
      <c r="C183" s="5"/>
      <c r="D183" s="5"/>
      <c r="E183" s="6"/>
      <c r="F183" s="7"/>
      <c r="G183" s="41"/>
      <c r="H183" s="6"/>
      <c r="I183" s="41"/>
      <c r="J183" s="41" t="b">
        <f t="shared" si="2"/>
        <v>0</v>
      </c>
    </row>
    <row r="184" spans="1:10" x14ac:dyDescent="0.2">
      <c r="A184" s="4">
        <v>176</v>
      </c>
      <c r="B184" s="85"/>
      <c r="C184" s="5"/>
      <c r="D184" s="5"/>
      <c r="E184" s="6"/>
      <c r="F184" s="7"/>
      <c r="G184" s="41"/>
      <c r="H184" s="6"/>
      <c r="I184" s="41"/>
      <c r="J184" s="41" t="b">
        <f t="shared" si="2"/>
        <v>0</v>
      </c>
    </row>
    <row r="185" spans="1:10" x14ac:dyDescent="0.2">
      <c r="A185" s="4">
        <v>177</v>
      </c>
      <c r="B185" s="85"/>
      <c r="C185" s="5"/>
      <c r="D185" s="5"/>
      <c r="E185" s="6"/>
      <c r="F185" s="7"/>
      <c r="G185" s="41"/>
      <c r="H185" s="6"/>
      <c r="I185" s="41"/>
      <c r="J185" s="41" t="b">
        <f t="shared" si="2"/>
        <v>0</v>
      </c>
    </row>
    <row r="186" spans="1:10" x14ac:dyDescent="0.2">
      <c r="A186" s="4">
        <v>178</v>
      </c>
      <c r="B186" s="85"/>
      <c r="C186" s="5"/>
      <c r="D186" s="5"/>
      <c r="E186" s="6"/>
      <c r="F186" s="7"/>
      <c r="G186" s="41"/>
      <c r="H186" s="6"/>
      <c r="I186" s="41"/>
      <c r="J186" s="41" t="b">
        <f t="shared" si="2"/>
        <v>0</v>
      </c>
    </row>
    <row r="187" spans="1:10" x14ac:dyDescent="0.2">
      <c r="A187" s="4">
        <v>179</v>
      </c>
      <c r="B187" s="85"/>
      <c r="C187" s="5"/>
      <c r="D187" s="5"/>
      <c r="E187" s="6"/>
      <c r="F187" s="7"/>
      <c r="G187" s="41"/>
      <c r="H187" s="6"/>
      <c r="I187" s="41"/>
      <c r="J187" s="41" t="b">
        <f t="shared" si="2"/>
        <v>0</v>
      </c>
    </row>
    <row r="188" spans="1:10" x14ac:dyDescent="0.2">
      <c r="A188" s="4">
        <v>180</v>
      </c>
      <c r="B188" s="85"/>
      <c r="C188" s="5"/>
      <c r="D188" s="5"/>
      <c r="E188" s="6"/>
      <c r="F188" s="7"/>
      <c r="G188" s="41"/>
      <c r="H188" s="6"/>
      <c r="I188" s="41"/>
      <c r="J188" s="41" t="b">
        <f t="shared" si="2"/>
        <v>0</v>
      </c>
    </row>
    <row r="189" spans="1:10" x14ac:dyDescent="0.2">
      <c r="A189" s="4">
        <v>181</v>
      </c>
      <c r="B189" s="85"/>
      <c r="C189" s="5"/>
      <c r="D189" s="5"/>
      <c r="E189" s="6"/>
      <c r="F189" s="7"/>
      <c r="G189" s="41"/>
      <c r="H189" s="6"/>
      <c r="I189" s="41"/>
      <c r="J189" s="41" t="b">
        <f t="shared" si="2"/>
        <v>0</v>
      </c>
    </row>
    <row r="190" spans="1:10" x14ac:dyDescent="0.2">
      <c r="A190" s="4">
        <v>182</v>
      </c>
      <c r="B190" s="85"/>
      <c r="C190" s="5"/>
      <c r="D190" s="5"/>
      <c r="E190" s="6"/>
      <c r="F190" s="7"/>
      <c r="G190" s="41"/>
      <c r="H190" s="6"/>
      <c r="I190" s="41"/>
      <c r="J190" s="41" t="b">
        <f t="shared" si="2"/>
        <v>0</v>
      </c>
    </row>
    <row r="191" spans="1:10" x14ac:dyDescent="0.2">
      <c r="A191" s="4">
        <v>183</v>
      </c>
      <c r="B191" s="85"/>
      <c r="C191" s="5"/>
      <c r="D191" s="5"/>
      <c r="E191" s="6"/>
      <c r="F191" s="7"/>
      <c r="G191" s="41"/>
      <c r="H191" s="6"/>
      <c r="I191" s="41"/>
      <c r="J191" s="41" t="b">
        <f t="shared" si="2"/>
        <v>0</v>
      </c>
    </row>
    <row r="192" spans="1:10" x14ac:dyDescent="0.2">
      <c r="A192" s="4">
        <v>184</v>
      </c>
      <c r="B192" s="85"/>
      <c r="C192" s="5"/>
      <c r="D192" s="5"/>
      <c r="E192" s="6"/>
      <c r="F192" s="7"/>
      <c r="G192" s="41"/>
      <c r="H192" s="6"/>
      <c r="I192" s="41"/>
      <c r="J192" s="41" t="b">
        <f t="shared" si="2"/>
        <v>0</v>
      </c>
    </row>
    <row r="193" spans="1:10" x14ac:dyDescent="0.2">
      <c r="A193" s="4">
        <v>185</v>
      </c>
      <c r="B193" s="85"/>
      <c r="C193" s="5"/>
      <c r="D193" s="5"/>
      <c r="E193" s="6"/>
      <c r="F193" s="7"/>
      <c r="G193" s="41"/>
      <c r="H193" s="6"/>
      <c r="I193" s="41"/>
      <c r="J193" s="41" t="b">
        <f t="shared" si="2"/>
        <v>0</v>
      </c>
    </row>
    <row r="194" spans="1:10" x14ac:dyDescent="0.2">
      <c r="A194" s="4">
        <v>186</v>
      </c>
      <c r="B194" s="85"/>
      <c r="C194" s="5"/>
      <c r="D194" s="5"/>
      <c r="E194" s="6"/>
      <c r="F194" s="7"/>
      <c r="G194" s="41"/>
      <c r="H194" s="6"/>
      <c r="I194" s="41"/>
      <c r="J194" s="41" t="b">
        <f t="shared" si="2"/>
        <v>0</v>
      </c>
    </row>
    <row r="195" spans="1:10" x14ac:dyDescent="0.2">
      <c r="A195" s="4">
        <v>187</v>
      </c>
      <c r="B195" s="85"/>
      <c r="C195" s="5"/>
      <c r="D195" s="5"/>
      <c r="E195" s="6"/>
      <c r="F195" s="7"/>
      <c r="G195" s="41"/>
      <c r="H195" s="6"/>
      <c r="I195" s="41"/>
      <c r="J195" s="41" t="b">
        <f t="shared" si="2"/>
        <v>0</v>
      </c>
    </row>
    <row r="196" spans="1:10" x14ac:dyDescent="0.2">
      <c r="A196" s="4">
        <v>188</v>
      </c>
      <c r="B196" s="85"/>
      <c r="C196" s="5"/>
      <c r="D196" s="5"/>
      <c r="E196" s="6"/>
      <c r="F196" s="7"/>
      <c r="G196" s="41"/>
      <c r="H196" s="6"/>
      <c r="I196" s="41"/>
      <c r="J196" s="41" t="b">
        <f t="shared" si="2"/>
        <v>0</v>
      </c>
    </row>
    <row r="197" spans="1:10" x14ac:dyDescent="0.2">
      <c r="A197" s="4">
        <v>189</v>
      </c>
      <c r="B197" s="85"/>
      <c r="C197" s="5"/>
      <c r="D197" s="5"/>
      <c r="E197" s="6"/>
      <c r="F197" s="7"/>
      <c r="G197" s="41"/>
      <c r="H197" s="6"/>
      <c r="I197" s="41"/>
      <c r="J197" s="41" t="b">
        <f t="shared" si="2"/>
        <v>0</v>
      </c>
    </row>
    <row r="198" spans="1:10" x14ac:dyDescent="0.2">
      <c r="A198" s="4">
        <v>190</v>
      </c>
      <c r="B198" s="85"/>
      <c r="C198" s="5"/>
      <c r="D198" s="5"/>
      <c r="E198" s="6"/>
      <c r="F198" s="7"/>
      <c r="G198" s="41"/>
      <c r="H198" s="6"/>
      <c r="I198" s="41"/>
      <c r="J198" s="41" t="b">
        <f t="shared" si="2"/>
        <v>0</v>
      </c>
    </row>
    <row r="199" spans="1:10" x14ac:dyDescent="0.2">
      <c r="A199" s="4">
        <v>191</v>
      </c>
      <c r="B199" s="85"/>
      <c r="C199" s="5"/>
      <c r="D199" s="5"/>
      <c r="E199" s="6"/>
      <c r="F199" s="7"/>
      <c r="G199" s="41"/>
      <c r="H199" s="6"/>
      <c r="I199" s="41"/>
      <c r="J199" s="41" t="b">
        <f t="shared" si="2"/>
        <v>0</v>
      </c>
    </row>
    <row r="200" spans="1:10" x14ac:dyDescent="0.2">
      <c r="A200" s="4">
        <v>192</v>
      </c>
      <c r="B200" s="85"/>
      <c r="C200" s="5"/>
      <c r="D200" s="5"/>
      <c r="E200" s="6"/>
      <c r="F200" s="7"/>
      <c r="G200" s="41"/>
      <c r="H200" s="6"/>
      <c r="I200" s="41"/>
      <c r="J200" s="41" t="b">
        <f t="shared" si="2"/>
        <v>0</v>
      </c>
    </row>
    <row r="201" spans="1:10" x14ac:dyDescent="0.2">
      <c r="A201" s="4">
        <v>193</v>
      </c>
      <c r="B201" s="85"/>
      <c r="C201" s="5"/>
      <c r="D201" s="5"/>
      <c r="E201" s="6"/>
      <c r="F201" s="7"/>
      <c r="G201" s="41"/>
      <c r="H201" s="6"/>
      <c r="I201" s="41"/>
      <c r="J201" s="41" t="b">
        <f t="shared" si="2"/>
        <v>0</v>
      </c>
    </row>
    <row r="202" spans="1:10" x14ac:dyDescent="0.2">
      <c r="A202" s="4">
        <v>194</v>
      </c>
      <c r="B202" s="85"/>
      <c r="C202" s="5"/>
      <c r="D202" s="5"/>
      <c r="E202" s="6"/>
      <c r="F202" s="7"/>
      <c r="G202" s="41"/>
      <c r="H202" s="6"/>
      <c r="I202" s="41"/>
      <c r="J202" s="41" t="b">
        <f t="shared" ref="J202:J208" si="3">IF(H202=$M$3,G202,IF(H202=$M$4,-I202))</f>
        <v>0</v>
      </c>
    </row>
    <row r="203" spans="1:10" x14ac:dyDescent="0.2">
      <c r="A203" s="4">
        <v>195</v>
      </c>
      <c r="B203" s="85"/>
      <c r="C203" s="5"/>
      <c r="D203" s="5"/>
      <c r="E203" s="6"/>
      <c r="F203" s="7"/>
      <c r="G203" s="41"/>
      <c r="H203" s="6"/>
      <c r="I203" s="41"/>
      <c r="J203" s="41" t="b">
        <f t="shared" si="3"/>
        <v>0</v>
      </c>
    </row>
    <row r="204" spans="1:10" x14ac:dyDescent="0.2">
      <c r="A204" s="4">
        <v>196</v>
      </c>
      <c r="B204" s="85"/>
      <c r="C204" s="5"/>
      <c r="D204" s="5"/>
      <c r="E204" s="6"/>
      <c r="F204" s="7"/>
      <c r="G204" s="41"/>
      <c r="H204" s="6"/>
      <c r="I204" s="41"/>
      <c r="J204" s="41" t="b">
        <f t="shared" si="3"/>
        <v>0</v>
      </c>
    </row>
    <row r="205" spans="1:10" x14ac:dyDescent="0.2">
      <c r="A205" s="4">
        <v>197</v>
      </c>
      <c r="B205" s="85"/>
      <c r="C205" s="5"/>
      <c r="D205" s="5"/>
      <c r="E205" s="6"/>
      <c r="F205" s="7"/>
      <c r="G205" s="41"/>
      <c r="H205" s="6"/>
      <c r="I205" s="41"/>
      <c r="J205" s="41" t="b">
        <f t="shared" si="3"/>
        <v>0</v>
      </c>
    </row>
    <row r="206" spans="1:10" x14ac:dyDescent="0.2">
      <c r="A206" s="4">
        <v>198</v>
      </c>
      <c r="B206" s="85"/>
      <c r="C206" s="5"/>
      <c r="D206" s="5"/>
      <c r="E206" s="6"/>
      <c r="F206" s="7"/>
      <c r="G206" s="41"/>
      <c r="H206" s="6"/>
      <c r="I206" s="41"/>
      <c r="J206" s="41" t="b">
        <f t="shared" si="3"/>
        <v>0</v>
      </c>
    </row>
    <row r="207" spans="1:10" x14ac:dyDescent="0.2">
      <c r="A207" s="4">
        <v>199</v>
      </c>
      <c r="B207" s="85"/>
      <c r="C207" s="5"/>
      <c r="D207" s="5"/>
      <c r="E207" s="6"/>
      <c r="F207" s="7"/>
      <c r="G207" s="41"/>
      <c r="H207" s="6"/>
      <c r="I207" s="41"/>
      <c r="J207" s="41" t="b">
        <f t="shared" si="3"/>
        <v>0</v>
      </c>
    </row>
    <row r="208" spans="1:10" x14ac:dyDescent="0.2">
      <c r="A208" s="4">
        <v>200</v>
      </c>
      <c r="B208" s="85"/>
      <c r="C208" s="5"/>
      <c r="D208" s="5"/>
      <c r="E208" s="6"/>
      <c r="F208" s="7"/>
      <c r="G208" s="41"/>
      <c r="H208" s="6"/>
      <c r="I208" s="41"/>
      <c r="J208" s="41" t="b">
        <f t="shared" si="3"/>
        <v>0</v>
      </c>
    </row>
  </sheetData>
  <autoFilter ref="A8:J208" xr:uid="{00000000-0009-0000-0000-000009000000}"/>
  <mergeCells count="2">
    <mergeCell ref="A1:E1"/>
    <mergeCell ref="I1:J1"/>
  </mergeCells>
  <conditionalFormatting sqref="J8:J1048576">
    <cfRule type="cellIs" dxfId="167" priority="3" operator="equal">
      <formula>"ERROR"</formula>
    </cfRule>
  </conditionalFormatting>
  <conditionalFormatting sqref="D4">
    <cfRule type="cellIs" dxfId="166" priority="1" operator="lessThanOrEqual">
      <formula>0</formula>
    </cfRule>
    <cfRule type="cellIs" dxfId="165" priority="2" operator="greaterThan">
      <formula>0</formula>
    </cfRule>
  </conditionalFormatting>
  <dataValidations count="2">
    <dataValidation type="list" allowBlank="1" showInputMessage="1" showErrorMessage="1" sqref="C10:C1048576" xr:uid="{B36FE0A7-2653-2D43-B3D4-9A3CDF11422E}">
      <formula1>$P$3:$P$5</formula1>
    </dataValidation>
    <dataValidation type="list" allowBlank="1" showInputMessage="1" showErrorMessage="1" sqref="H9:H1048576" xr:uid="{6B73799F-516B-1348-B123-0CF12E421878}">
      <formula1>$M$3:$M$4</formula1>
    </dataValidation>
  </dataValidations>
  <hyperlinks>
    <hyperlink ref="I1:J1" location="'Master Sheet'!A1" display="GO BACK TO MASTER SHEET" xr:uid="{9A85523D-2501-6148-94FE-8C378B870DFD}"/>
  </hyperlinks>
  <pageMargins left="0.75" right="0.75" top="1" bottom="1" header="0.5" footer="0.5"/>
  <ignoredErrors>
    <ignoredError sqref="G25" formula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5C5E5D2-81A5-C943-A6FB-B314F24DCEF8}">
          <x14:formula1>
            <xm:f>'Master Sheet'!$AT$5:$AT$59</xm:f>
          </x14:formula1>
          <xm:sqref>C9:D9</xm:sqref>
        </x14:dataValidation>
        <x14:dataValidation type="list" allowBlank="1" errorTitle="Invalid selection" error="Select a value from the list." promptTitle="Selection" prompt="Pick from the dropdown list." xr:uid="{D48D635C-4FF2-424E-9AC6-71FDE1200DF0}">
          <x14:formula1>
            <xm:f>'Master Sheet'!$AE$5:$AE$28</xm:f>
          </x14:formula1>
          <xm:sqref>E9</xm:sqref>
        </x14:dataValidation>
        <x14:dataValidation type="list" allowBlank="1" errorTitle="Invalid selection" error="Select a value from the list." promptTitle="Selection" prompt="Pick from the dropdown list." xr:uid="{0A5B7A12-7159-9C4B-A432-BB51A0C15F15}">
          <x14:formula1>
            <xm:f>'Master Sheet'!$AJ$5:$AJ$6</xm:f>
          </x14:formula1>
          <xm:sqref>E10:E1048576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19FCA-29BA-014A-BF47-C976E30BA305}">
  <sheetPr codeName="Sheet61"/>
  <dimension ref="A1:R208"/>
  <sheetViews>
    <sheetView showGridLines="0" zoomScale="94" workbookViewId="0">
      <pane ySplit="8" topLeftCell="A9" activePane="bottomLeft" state="frozen"/>
      <selection pane="bottomLeft" activeCell="I1" sqref="I1:J1"/>
    </sheetView>
  </sheetViews>
  <sheetFormatPr baseColWidth="10" defaultColWidth="8.83203125" defaultRowHeight="15" x14ac:dyDescent="0.2"/>
  <cols>
    <col min="1" max="1" width="10" customWidth="1"/>
    <col min="2" max="2" width="12" style="83" customWidth="1"/>
    <col min="3" max="3" width="12" customWidth="1"/>
    <col min="4" max="4" width="13.5" bestFit="1" customWidth="1"/>
    <col min="5" max="5" width="18.6640625" bestFit="1" customWidth="1"/>
    <col min="6" max="6" width="13" customWidth="1"/>
    <col min="7" max="7" width="13.5" style="42" bestFit="1" customWidth="1"/>
    <col min="8" max="8" width="23.83203125" bestFit="1" customWidth="1"/>
    <col min="9" max="9" width="14.6640625" style="42" bestFit="1" customWidth="1"/>
    <col min="10" max="10" width="16" style="42" customWidth="1"/>
    <col min="11" max="11" width="14.6640625" bestFit="1" customWidth="1"/>
    <col min="13" max="13" width="22.33203125" bestFit="1" customWidth="1"/>
  </cols>
  <sheetData>
    <row r="1" spans="1:17" ht="24" customHeight="1" x14ac:dyDescent="0.2">
      <c r="A1" s="86" t="str">
        <f ca="1">VLOOKUP(A2,'Master Sheet'!T5:U7,2)</f>
        <v>Naveed profit Account</v>
      </c>
      <c r="B1" s="86"/>
      <c r="C1" s="86"/>
      <c r="D1" s="86"/>
      <c r="E1" s="86"/>
      <c r="F1" s="49"/>
      <c r="G1" s="49"/>
      <c r="I1" s="87" t="s">
        <v>202</v>
      </c>
      <c r="J1" s="87"/>
    </row>
    <row r="2" spans="1:17" ht="20" thickBot="1" x14ac:dyDescent="0.3">
      <c r="A2" s="48" t="str" cm="1">
        <f t="array" aca="1" ref="A2" ca="1">MID(CELL("filename",A1),FIND("]",CELL("filename",A1))+1,99)</f>
        <v>L001 (2)</v>
      </c>
      <c r="G2"/>
      <c r="I2"/>
      <c r="J2"/>
    </row>
    <row r="3" spans="1:17" ht="16" thickBot="1" x14ac:dyDescent="0.25">
      <c r="A3" s="3"/>
      <c r="G3"/>
      <c r="I3"/>
      <c r="J3"/>
      <c r="M3" s="43" t="s">
        <v>197</v>
      </c>
      <c r="N3" s="44"/>
      <c r="P3" s="19" t="s">
        <v>208</v>
      </c>
    </row>
    <row r="4" spans="1:17" ht="16" thickBot="1" x14ac:dyDescent="0.25">
      <c r="A4" s="3"/>
      <c r="C4" s="20" t="s">
        <v>201</v>
      </c>
      <c r="D4" s="51">
        <f>SUM(J9:J1048576)</f>
        <v>300000</v>
      </c>
      <c r="G4"/>
      <c r="I4"/>
      <c r="J4"/>
      <c r="M4" s="30" t="s">
        <v>198</v>
      </c>
      <c r="N4" s="45"/>
      <c r="P4" s="18" t="s">
        <v>209</v>
      </c>
    </row>
    <row r="5" spans="1:17" ht="16" thickBot="1" x14ac:dyDescent="0.25">
      <c r="A5" s="3"/>
      <c r="G5"/>
      <c r="I5"/>
      <c r="J5"/>
      <c r="P5" s="9" t="s">
        <v>210</v>
      </c>
    </row>
    <row r="6" spans="1:17" x14ac:dyDescent="0.2">
      <c r="A6" s="3"/>
      <c r="G6"/>
      <c r="I6"/>
      <c r="J6"/>
    </row>
    <row r="7" spans="1:17" x14ac:dyDescent="0.2">
      <c r="A7" s="3"/>
      <c r="G7"/>
      <c r="I7"/>
      <c r="J7"/>
    </row>
    <row r="8" spans="1:17" ht="36" customHeight="1" x14ac:dyDescent="0.2">
      <c r="A8" s="1" t="s">
        <v>70</v>
      </c>
      <c r="B8" s="84" t="s">
        <v>71</v>
      </c>
      <c r="C8" s="1" t="s">
        <v>205</v>
      </c>
      <c r="D8" s="1" t="s">
        <v>206</v>
      </c>
      <c r="E8" s="1" t="s">
        <v>78</v>
      </c>
      <c r="F8" s="1" t="s">
        <v>74</v>
      </c>
      <c r="G8" s="1" t="s">
        <v>212</v>
      </c>
      <c r="H8" s="1" t="s">
        <v>81</v>
      </c>
      <c r="I8" s="1" t="s">
        <v>211</v>
      </c>
      <c r="J8" s="1" t="s">
        <v>196</v>
      </c>
    </row>
    <row r="9" spans="1:17" x14ac:dyDescent="0.2">
      <c r="A9" s="4">
        <v>1</v>
      </c>
      <c r="B9" s="85">
        <v>46057</v>
      </c>
      <c r="C9" s="5"/>
      <c r="D9" s="5"/>
      <c r="E9" s="6"/>
      <c r="F9" s="7"/>
      <c r="G9" s="41">
        <v>207195</v>
      </c>
      <c r="H9" s="6" t="s">
        <v>197</v>
      </c>
      <c r="I9" s="41"/>
      <c r="J9" s="41">
        <f>IF(H9=$M$3,G9,IF(H9=$M$4,-I9))</f>
        <v>207195</v>
      </c>
      <c r="K9" t="s">
        <v>234</v>
      </c>
    </row>
    <row r="10" spans="1:17" x14ac:dyDescent="0.2">
      <c r="A10" s="4">
        <v>2</v>
      </c>
      <c r="B10" s="85">
        <v>46062</v>
      </c>
      <c r="C10" s="5"/>
      <c r="D10" s="5" t="s">
        <v>236</v>
      </c>
      <c r="E10" s="6" t="s">
        <v>265</v>
      </c>
      <c r="F10" s="7">
        <v>50</v>
      </c>
      <c r="G10" s="41">
        <f>200*F10</f>
        <v>10000</v>
      </c>
      <c r="H10" s="6" t="s">
        <v>197</v>
      </c>
      <c r="I10" s="41"/>
      <c r="J10" s="41">
        <f t="shared" ref="J10:J73" si="0">IF(H10=$M$3,G10,IF(H10=$M$4,-I10))</f>
        <v>10000</v>
      </c>
    </row>
    <row r="11" spans="1:17" x14ac:dyDescent="0.2">
      <c r="A11" s="4">
        <v>3</v>
      </c>
      <c r="B11" s="85">
        <v>46070</v>
      </c>
      <c r="C11" s="5"/>
      <c r="D11" s="5" t="s">
        <v>238</v>
      </c>
      <c r="E11" s="6" t="s">
        <v>264</v>
      </c>
      <c r="F11" s="7">
        <v>200</v>
      </c>
      <c r="G11" s="41">
        <f>235*F11</f>
        <v>47000</v>
      </c>
      <c r="H11" s="6" t="s">
        <v>197</v>
      </c>
      <c r="I11" s="41"/>
      <c r="J11" s="41">
        <f t="shared" si="0"/>
        <v>47000</v>
      </c>
      <c r="K11" t="s">
        <v>267</v>
      </c>
      <c r="M11" t="s">
        <v>269</v>
      </c>
      <c r="O11" t="s">
        <v>287</v>
      </c>
    </row>
    <row r="12" spans="1:17" x14ac:dyDescent="0.2">
      <c r="A12" s="4">
        <v>4</v>
      </c>
      <c r="B12" s="85">
        <v>46076</v>
      </c>
      <c r="C12" s="5"/>
      <c r="D12" s="5" t="s">
        <v>236</v>
      </c>
      <c r="E12" s="6" t="s">
        <v>265</v>
      </c>
      <c r="F12" s="7">
        <v>50</v>
      </c>
      <c r="G12" s="41">
        <f>200*F12</f>
        <v>10000</v>
      </c>
      <c r="H12" s="6" t="s">
        <v>197</v>
      </c>
      <c r="I12" s="41"/>
      <c r="J12" s="41">
        <f t="shared" si="0"/>
        <v>10000</v>
      </c>
      <c r="O12" t="s">
        <v>288</v>
      </c>
      <c r="P12" t="s">
        <v>289</v>
      </c>
      <c r="Q12" t="s">
        <v>290</v>
      </c>
    </row>
    <row r="13" spans="1:17" x14ac:dyDescent="0.2">
      <c r="A13" s="4">
        <v>5</v>
      </c>
      <c r="B13" s="85">
        <v>46079</v>
      </c>
      <c r="C13" s="5"/>
      <c r="D13" s="5" t="s">
        <v>238</v>
      </c>
      <c r="E13" s="6" t="s">
        <v>264</v>
      </c>
      <c r="F13" s="7">
        <v>200</v>
      </c>
      <c r="G13" s="41">
        <f>235*F13</f>
        <v>47000</v>
      </c>
      <c r="H13" s="6" t="s">
        <v>197</v>
      </c>
      <c r="I13" s="41"/>
      <c r="J13" s="41">
        <f t="shared" si="0"/>
        <v>47000</v>
      </c>
      <c r="K13" t="s">
        <v>268</v>
      </c>
    </row>
    <row r="14" spans="1:17" x14ac:dyDescent="0.2">
      <c r="A14" s="4">
        <v>6</v>
      </c>
      <c r="B14" s="85">
        <v>46094</v>
      </c>
      <c r="C14" s="5"/>
      <c r="D14" s="5" t="s">
        <v>238</v>
      </c>
      <c r="E14" s="6" t="s">
        <v>264</v>
      </c>
      <c r="F14" s="7">
        <v>200</v>
      </c>
      <c r="G14" s="41">
        <f>247.5*F14</f>
        <v>49500</v>
      </c>
      <c r="H14" s="6" t="s">
        <v>197</v>
      </c>
      <c r="I14" s="41"/>
      <c r="J14" s="41">
        <f t="shared" si="0"/>
        <v>49500</v>
      </c>
      <c r="K14" t="s">
        <v>266</v>
      </c>
    </row>
    <row r="15" spans="1:17" x14ac:dyDescent="0.2">
      <c r="A15" s="4">
        <v>7</v>
      </c>
      <c r="B15" s="85">
        <v>46094</v>
      </c>
      <c r="C15" s="5"/>
      <c r="D15" s="5" t="s">
        <v>236</v>
      </c>
      <c r="E15" s="6" t="s">
        <v>265</v>
      </c>
      <c r="F15" s="7">
        <v>50</v>
      </c>
      <c r="G15" s="41">
        <f>300*F15</f>
        <v>15000</v>
      </c>
      <c r="H15" s="6" t="s">
        <v>197</v>
      </c>
      <c r="I15" s="41"/>
      <c r="J15" s="41">
        <f t="shared" si="0"/>
        <v>15000</v>
      </c>
    </row>
    <row r="16" spans="1:17" x14ac:dyDescent="0.2">
      <c r="A16" s="4">
        <v>8</v>
      </c>
      <c r="B16" s="85">
        <v>46094</v>
      </c>
      <c r="C16" s="5"/>
      <c r="D16" s="5" t="s">
        <v>236</v>
      </c>
      <c r="E16" s="6" t="s">
        <v>265</v>
      </c>
      <c r="F16" s="7">
        <v>10</v>
      </c>
      <c r="G16" s="41">
        <f>200*F16</f>
        <v>2000</v>
      </c>
      <c r="H16" s="6" t="s">
        <v>197</v>
      </c>
      <c r="I16" s="41"/>
      <c r="J16" s="41">
        <f t="shared" si="0"/>
        <v>2000</v>
      </c>
    </row>
    <row r="17" spans="1:18" x14ac:dyDescent="0.2">
      <c r="A17" s="4">
        <v>9</v>
      </c>
      <c r="B17" s="85">
        <v>46107</v>
      </c>
      <c r="C17" s="5"/>
      <c r="D17" s="5" t="s">
        <v>236</v>
      </c>
      <c r="E17" s="6" t="s">
        <v>265</v>
      </c>
      <c r="F17" s="7">
        <v>50</v>
      </c>
      <c r="G17" s="41">
        <f>300*F17</f>
        <v>15000</v>
      </c>
      <c r="H17" s="6" t="s">
        <v>197</v>
      </c>
      <c r="I17" s="41"/>
      <c r="J17" s="41">
        <f t="shared" si="0"/>
        <v>15000</v>
      </c>
    </row>
    <row r="18" spans="1:18" x14ac:dyDescent="0.2">
      <c r="A18" s="4">
        <v>10</v>
      </c>
      <c r="B18" s="85">
        <v>46108</v>
      </c>
      <c r="C18" s="5"/>
      <c r="D18" s="5" t="s">
        <v>238</v>
      </c>
      <c r="E18" s="6" t="s">
        <v>264</v>
      </c>
      <c r="F18" s="7">
        <v>230</v>
      </c>
      <c r="G18" s="41">
        <f>230*F18</f>
        <v>52900</v>
      </c>
      <c r="H18" s="6" t="s">
        <v>197</v>
      </c>
      <c r="I18" s="41"/>
      <c r="J18" s="41">
        <f t="shared" si="0"/>
        <v>52900</v>
      </c>
    </row>
    <row r="19" spans="1:18" x14ac:dyDescent="0.2">
      <c r="A19" s="4">
        <v>11</v>
      </c>
      <c r="B19" s="85">
        <v>46111</v>
      </c>
      <c r="C19" s="5"/>
      <c r="D19" s="5" t="s">
        <v>236</v>
      </c>
      <c r="E19" s="6" t="s">
        <v>265</v>
      </c>
      <c r="F19" s="7">
        <v>40</v>
      </c>
      <c r="G19" s="41">
        <f>200*F19</f>
        <v>8000</v>
      </c>
      <c r="H19" s="6" t="s">
        <v>197</v>
      </c>
      <c r="I19" s="41"/>
      <c r="J19" s="41">
        <f t="shared" si="0"/>
        <v>8000</v>
      </c>
    </row>
    <row r="20" spans="1:18" x14ac:dyDescent="0.2">
      <c r="A20" s="4">
        <v>12</v>
      </c>
      <c r="B20" s="85">
        <v>46119</v>
      </c>
      <c r="C20" s="5"/>
      <c r="D20" s="5" t="s">
        <v>238</v>
      </c>
      <c r="E20" s="6" t="s">
        <v>264</v>
      </c>
      <c r="F20" s="7">
        <v>200</v>
      </c>
      <c r="G20" s="41">
        <f>225*F20</f>
        <v>45000</v>
      </c>
      <c r="H20" s="6" t="s">
        <v>197</v>
      </c>
      <c r="I20" s="41"/>
      <c r="J20" s="41">
        <f t="shared" si="0"/>
        <v>45000</v>
      </c>
      <c r="O20">
        <v>200</v>
      </c>
      <c r="P20">
        <v>75</v>
      </c>
      <c r="Q20">
        <f>P20*O20</f>
        <v>15000</v>
      </c>
      <c r="R20" t="s">
        <v>291</v>
      </c>
    </row>
    <row r="21" spans="1:18" x14ac:dyDescent="0.2">
      <c r="A21" s="4">
        <v>13</v>
      </c>
      <c r="B21" s="85">
        <v>46122</v>
      </c>
      <c r="C21" s="5"/>
      <c r="D21" s="5"/>
      <c r="E21" s="6"/>
      <c r="F21" s="7"/>
      <c r="G21" s="41"/>
      <c r="H21" s="6" t="s">
        <v>198</v>
      </c>
      <c r="I21" s="41">
        <v>208595</v>
      </c>
      <c r="J21" s="41">
        <f t="shared" si="0"/>
        <v>-208595</v>
      </c>
    </row>
    <row r="22" spans="1:18" x14ac:dyDescent="0.2">
      <c r="A22" s="4">
        <v>14</v>
      </c>
      <c r="B22" s="85"/>
      <c r="C22" s="5"/>
      <c r="D22" s="5"/>
      <c r="E22" s="6"/>
      <c r="F22" s="7"/>
      <c r="G22" s="41"/>
      <c r="H22" s="6"/>
      <c r="I22" s="41"/>
      <c r="J22" s="41" t="b">
        <f t="shared" si="0"/>
        <v>0</v>
      </c>
    </row>
    <row r="23" spans="1:18" x14ac:dyDescent="0.2">
      <c r="A23" s="4">
        <v>15</v>
      </c>
      <c r="B23" s="85"/>
      <c r="C23" s="5"/>
      <c r="D23" s="5"/>
      <c r="E23" s="6"/>
      <c r="F23" s="7"/>
      <c r="G23" s="41"/>
      <c r="H23" s="6"/>
      <c r="I23" s="41"/>
      <c r="J23" s="41" t="b">
        <f t="shared" si="0"/>
        <v>0</v>
      </c>
    </row>
    <row r="24" spans="1:18" x14ac:dyDescent="0.2">
      <c r="A24" s="4">
        <v>16</v>
      </c>
      <c r="B24" s="85"/>
      <c r="C24" s="5"/>
      <c r="D24" s="5"/>
      <c r="E24" s="6"/>
      <c r="F24" s="7"/>
      <c r="G24" s="41"/>
      <c r="H24" s="6"/>
      <c r="I24" s="41"/>
      <c r="J24" s="41" t="b">
        <f t="shared" si="0"/>
        <v>0</v>
      </c>
    </row>
    <row r="25" spans="1:18" x14ac:dyDescent="0.2">
      <c r="A25" s="4">
        <v>17</v>
      </c>
      <c r="B25" s="85"/>
      <c r="C25" s="5"/>
      <c r="D25" s="5"/>
      <c r="E25" s="6"/>
      <c r="F25" s="7"/>
      <c r="G25" s="41"/>
      <c r="H25" s="6"/>
      <c r="I25" s="41"/>
      <c r="J25" s="41" t="b">
        <f t="shared" si="0"/>
        <v>0</v>
      </c>
    </row>
    <row r="26" spans="1:18" x14ac:dyDescent="0.2">
      <c r="A26" s="4">
        <v>18</v>
      </c>
      <c r="B26" s="85"/>
      <c r="C26" s="5"/>
      <c r="D26" s="5"/>
      <c r="E26" s="6"/>
      <c r="F26" s="7"/>
      <c r="G26" s="41"/>
      <c r="H26" s="6"/>
      <c r="I26" s="41"/>
      <c r="J26" s="41" t="b">
        <f t="shared" si="0"/>
        <v>0</v>
      </c>
    </row>
    <row r="27" spans="1:18" x14ac:dyDescent="0.2">
      <c r="A27" s="4">
        <v>19</v>
      </c>
      <c r="B27" s="85"/>
      <c r="C27" s="5"/>
      <c r="D27" s="5"/>
      <c r="E27" s="6"/>
      <c r="F27" s="7"/>
      <c r="G27" s="41"/>
      <c r="H27" s="6"/>
      <c r="I27" s="41"/>
      <c r="J27" s="41" t="b">
        <f t="shared" si="0"/>
        <v>0</v>
      </c>
    </row>
    <row r="28" spans="1:18" x14ac:dyDescent="0.2">
      <c r="A28" s="4">
        <v>20</v>
      </c>
      <c r="B28" s="85"/>
      <c r="C28" s="5"/>
      <c r="D28" s="5"/>
      <c r="E28" s="6"/>
      <c r="F28" s="7"/>
      <c r="G28" s="41"/>
      <c r="H28" s="6"/>
      <c r="I28" s="41"/>
      <c r="J28" s="41" t="b">
        <f t="shared" si="0"/>
        <v>0</v>
      </c>
    </row>
    <row r="29" spans="1:18" x14ac:dyDescent="0.2">
      <c r="A29" s="4">
        <v>21</v>
      </c>
      <c r="B29" s="85"/>
      <c r="C29" s="5"/>
      <c r="D29" s="5"/>
      <c r="E29" s="6"/>
      <c r="F29" s="7"/>
      <c r="G29" s="41"/>
      <c r="H29" s="6"/>
      <c r="I29" s="41"/>
      <c r="J29" s="41" t="b">
        <f t="shared" si="0"/>
        <v>0</v>
      </c>
    </row>
    <row r="30" spans="1:18" x14ac:dyDescent="0.2">
      <c r="A30" s="4">
        <v>22</v>
      </c>
      <c r="B30" s="85"/>
      <c r="C30" s="5"/>
      <c r="D30" s="5"/>
      <c r="E30" s="6"/>
      <c r="F30" s="7"/>
      <c r="G30" s="41"/>
      <c r="H30" s="6"/>
      <c r="I30" s="41"/>
      <c r="J30" s="41" t="b">
        <f t="shared" si="0"/>
        <v>0</v>
      </c>
    </row>
    <row r="31" spans="1:18" x14ac:dyDescent="0.2">
      <c r="A31" s="4">
        <v>23</v>
      </c>
      <c r="B31" s="85"/>
      <c r="C31" s="5"/>
      <c r="D31" s="5"/>
      <c r="E31" s="6"/>
      <c r="F31" s="7"/>
      <c r="G31" s="41"/>
      <c r="H31" s="6"/>
      <c r="I31" s="41"/>
      <c r="J31" s="41" t="b">
        <f t="shared" si="0"/>
        <v>0</v>
      </c>
    </row>
    <row r="32" spans="1:18" x14ac:dyDescent="0.2">
      <c r="A32" s="4">
        <v>24</v>
      </c>
      <c r="B32" s="85"/>
      <c r="C32" s="5"/>
      <c r="D32" s="5"/>
      <c r="E32" s="6"/>
      <c r="F32" s="7"/>
      <c r="G32" s="41"/>
      <c r="H32" s="6"/>
      <c r="I32" s="41"/>
      <c r="J32" s="41" t="b">
        <f t="shared" si="0"/>
        <v>0</v>
      </c>
    </row>
    <row r="33" spans="1:10" x14ac:dyDescent="0.2">
      <c r="A33" s="4">
        <v>25</v>
      </c>
      <c r="B33" s="85"/>
      <c r="C33" s="5"/>
      <c r="D33" s="5"/>
      <c r="E33" s="6"/>
      <c r="F33" s="7"/>
      <c r="G33" s="41"/>
      <c r="H33" s="6"/>
      <c r="I33" s="41"/>
      <c r="J33" s="41" t="b">
        <f t="shared" si="0"/>
        <v>0</v>
      </c>
    </row>
    <row r="34" spans="1:10" x14ac:dyDescent="0.2">
      <c r="A34" s="4">
        <v>26</v>
      </c>
      <c r="B34" s="85"/>
      <c r="C34" s="5"/>
      <c r="D34" s="5"/>
      <c r="E34" s="6"/>
      <c r="F34" s="7"/>
      <c r="G34" s="41"/>
      <c r="H34" s="6"/>
      <c r="I34" s="41"/>
      <c r="J34" s="41" t="b">
        <f t="shared" si="0"/>
        <v>0</v>
      </c>
    </row>
    <row r="35" spans="1:10" x14ac:dyDescent="0.2">
      <c r="A35" s="4">
        <v>27</v>
      </c>
      <c r="B35" s="85"/>
      <c r="C35" s="5"/>
      <c r="D35" s="5"/>
      <c r="E35" s="6"/>
      <c r="F35" s="7"/>
      <c r="G35" s="41"/>
      <c r="H35" s="6"/>
      <c r="I35" s="41"/>
      <c r="J35" s="41" t="b">
        <f t="shared" si="0"/>
        <v>0</v>
      </c>
    </row>
    <row r="36" spans="1:10" x14ac:dyDescent="0.2">
      <c r="A36" s="4">
        <v>28</v>
      </c>
      <c r="B36" s="85"/>
      <c r="C36" s="5"/>
      <c r="D36" s="5"/>
      <c r="E36" s="6"/>
      <c r="F36" s="7"/>
      <c r="G36" s="41"/>
      <c r="H36" s="6"/>
      <c r="I36" s="41"/>
      <c r="J36" s="41" t="b">
        <f t="shared" si="0"/>
        <v>0</v>
      </c>
    </row>
    <row r="37" spans="1:10" x14ac:dyDescent="0.2">
      <c r="A37" s="4">
        <v>29</v>
      </c>
      <c r="B37" s="85"/>
      <c r="C37" s="5"/>
      <c r="D37" s="5"/>
      <c r="E37" s="6"/>
      <c r="F37" s="7"/>
      <c r="G37" s="41"/>
      <c r="H37" s="6"/>
      <c r="I37" s="41"/>
      <c r="J37" s="41" t="b">
        <f t="shared" si="0"/>
        <v>0</v>
      </c>
    </row>
    <row r="38" spans="1:10" x14ac:dyDescent="0.2">
      <c r="A38" s="4">
        <v>30</v>
      </c>
      <c r="B38" s="85"/>
      <c r="C38" s="5"/>
      <c r="D38" s="5"/>
      <c r="E38" s="6"/>
      <c r="F38" s="7"/>
      <c r="G38" s="41"/>
      <c r="H38" s="6"/>
      <c r="I38" s="41"/>
      <c r="J38" s="41" t="b">
        <f t="shared" si="0"/>
        <v>0</v>
      </c>
    </row>
    <row r="39" spans="1:10" x14ac:dyDescent="0.2">
      <c r="A39" s="4">
        <v>31</v>
      </c>
      <c r="B39" s="85"/>
      <c r="C39" s="5"/>
      <c r="D39" s="5"/>
      <c r="E39" s="6"/>
      <c r="F39" s="7"/>
      <c r="G39" s="41"/>
      <c r="H39" s="6"/>
      <c r="I39" s="41"/>
      <c r="J39" s="41" t="b">
        <f t="shared" si="0"/>
        <v>0</v>
      </c>
    </row>
    <row r="40" spans="1:10" x14ac:dyDescent="0.2">
      <c r="A40" s="4">
        <v>32</v>
      </c>
      <c r="B40" s="85"/>
      <c r="C40" s="5"/>
      <c r="D40" s="5"/>
      <c r="E40" s="6"/>
      <c r="F40" s="7"/>
      <c r="G40" s="41"/>
      <c r="H40" s="6"/>
      <c r="I40" s="41"/>
      <c r="J40" s="41" t="b">
        <f t="shared" si="0"/>
        <v>0</v>
      </c>
    </row>
    <row r="41" spans="1:10" x14ac:dyDescent="0.2">
      <c r="A41" s="4">
        <v>33</v>
      </c>
      <c r="B41" s="85"/>
      <c r="C41" s="5"/>
      <c r="D41" s="5"/>
      <c r="E41" s="6"/>
      <c r="F41" s="7"/>
      <c r="G41" s="41"/>
      <c r="H41" s="6"/>
      <c r="I41" s="41"/>
      <c r="J41" s="41" t="b">
        <f t="shared" si="0"/>
        <v>0</v>
      </c>
    </row>
    <row r="42" spans="1:10" x14ac:dyDescent="0.2">
      <c r="A42" s="4">
        <v>34</v>
      </c>
      <c r="B42" s="85"/>
      <c r="C42" s="5"/>
      <c r="D42" s="5"/>
      <c r="E42" s="6"/>
      <c r="F42" s="7"/>
      <c r="G42" s="41"/>
      <c r="H42" s="6"/>
      <c r="I42" s="41"/>
      <c r="J42" s="41" t="b">
        <f t="shared" si="0"/>
        <v>0</v>
      </c>
    </row>
    <row r="43" spans="1:10" x14ac:dyDescent="0.2">
      <c r="A43" s="4">
        <v>35</v>
      </c>
      <c r="B43" s="85"/>
      <c r="C43" s="5"/>
      <c r="D43" s="5"/>
      <c r="E43" s="6"/>
      <c r="F43" s="7"/>
      <c r="G43" s="41"/>
      <c r="H43" s="6"/>
      <c r="I43" s="41"/>
      <c r="J43" s="41" t="b">
        <f t="shared" si="0"/>
        <v>0</v>
      </c>
    </row>
    <row r="44" spans="1:10" x14ac:dyDescent="0.2">
      <c r="A44" s="4">
        <v>36</v>
      </c>
      <c r="B44" s="85"/>
      <c r="C44" s="5"/>
      <c r="D44" s="5"/>
      <c r="E44" s="6"/>
      <c r="F44" s="7"/>
      <c r="G44" s="41"/>
      <c r="H44" s="6"/>
      <c r="I44" s="41"/>
      <c r="J44" s="41" t="b">
        <f t="shared" si="0"/>
        <v>0</v>
      </c>
    </row>
    <row r="45" spans="1:10" x14ac:dyDescent="0.2">
      <c r="A45" s="4">
        <v>37</v>
      </c>
      <c r="B45" s="85"/>
      <c r="C45" s="5"/>
      <c r="D45" s="5"/>
      <c r="E45" s="6"/>
      <c r="F45" s="7"/>
      <c r="G45" s="41"/>
      <c r="H45" s="6"/>
      <c r="I45" s="41"/>
      <c r="J45" s="41" t="b">
        <f t="shared" si="0"/>
        <v>0</v>
      </c>
    </row>
    <row r="46" spans="1:10" x14ac:dyDescent="0.2">
      <c r="A46" s="4">
        <v>38</v>
      </c>
      <c r="B46" s="85"/>
      <c r="C46" s="5"/>
      <c r="D46" s="5"/>
      <c r="E46" s="6"/>
      <c r="F46" s="7"/>
      <c r="G46" s="41"/>
      <c r="H46" s="6"/>
      <c r="I46" s="41"/>
      <c r="J46" s="41" t="b">
        <f t="shared" si="0"/>
        <v>0</v>
      </c>
    </row>
    <row r="47" spans="1:10" x14ac:dyDescent="0.2">
      <c r="A47" s="4">
        <v>39</v>
      </c>
      <c r="B47" s="85"/>
      <c r="C47" s="5"/>
      <c r="D47" s="5"/>
      <c r="E47" s="6"/>
      <c r="F47" s="7"/>
      <c r="G47" s="41"/>
      <c r="H47" s="6"/>
      <c r="I47" s="41"/>
      <c r="J47" s="41" t="b">
        <f t="shared" si="0"/>
        <v>0</v>
      </c>
    </row>
    <row r="48" spans="1:10" x14ac:dyDescent="0.2">
      <c r="A48" s="4">
        <v>40</v>
      </c>
      <c r="B48" s="85"/>
      <c r="C48" s="5"/>
      <c r="D48" s="5"/>
      <c r="E48" s="6"/>
      <c r="F48" s="7"/>
      <c r="G48" s="41"/>
      <c r="H48" s="6"/>
      <c r="I48" s="41"/>
      <c r="J48" s="41" t="b">
        <f t="shared" si="0"/>
        <v>0</v>
      </c>
    </row>
    <row r="49" spans="1:10" x14ac:dyDescent="0.2">
      <c r="A49" s="4">
        <v>41</v>
      </c>
      <c r="B49" s="85"/>
      <c r="C49" s="5"/>
      <c r="D49" s="5"/>
      <c r="E49" s="6"/>
      <c r="F49" s="7"/>
      <c r="G49" s="41"/>
      <c r="H49" s="6"/>
      <c r="I49" s="41"/>
      <c r="J49" s="41" t="b">
        <f t="shared" si="0"/>
        <v>0</v>
      </c>
    </row>
    <row r="50" spans="1:10" x14ac:dyDescent="0.2">
      <c r="A50" s="4">
        <v>42</v>
      </c>
      <c r="B50" s="85"/>
      <c r="C50" s="5"/>
      <c r="D50" s="5"/>
      <c r="E50" s="6"/>
      <c r="F50" s="7"/>
      <c r="G50" s="41"/>
      <c r="H50" s="6"/>
      <c r="I50" s="41"/>
      <c r="J50" s="41" t="b">
        <f t="shared" si="0"/>
        <v>0</v>
      </c>
    </row>
    <row r="51" spans="1:10" x14ac:dyDescent="0.2">
      <c r="A51" s="4">
        <v>43</v>
      </c>
      <c r="B51" s="85"/>
      <c r="C51" s="5"/>
      <c r="D51" s="5"/>
      <c r="E51" s="6"/>
      <c r="F51" s="7"/>
      <c r="G51" s="41"/>
      <c r="H51" s="6"/>
      <c r="I51" s="41"/>
      <c r="J51" s="41" t="b">
        <f t="shared" si="0"/>
        <v>0</v>
      </c>
    </row>
    <row r="52" spans="1:10" x14ac:dyDescent="0.2">
      <c r="A52" s="4">
        <v>44</v>
      </c>
      <c r="B52" s="85"/>
      <c r="C52" s="5"/>
      <c r="D52" s="5"/>
      <c r="E52" s="6"/>
      <c r="F52" s="7"/>
      <c r="G52" s="41"/>
      <c r="H52" s="6"/>
      <c r="I52" s="41"/>
      <c r="J52" s="41" t="b">
        <f t="shared" si="0"/>
        <v>0</v>
      </c>
    </row>
    <row r="53" spans="1:10" x14ac:dyDescent="0.2">
      <c r="A53" s="4">
        <v>45</v>
      </c>
      <c r="B53" s="85"/>
      <c r="C53" s="5"/>
      <c r="D53" s="5"/>
      <c r="E53" s="6"/>
      <c r="F53" s="7"/>
      <c r="G53" s="41"/>
      <c r="H53" s="6"/>
      <c r="I53" s="41"/>
      <c r="J53" s="41" t="b">
        <f t="shared" si="0"/>
        <v>0</v>
      </c>
    </row>
    <row r="54" spans="1:10" x14ac:dyDescent="0.2">
      <c r="A54" s="4">
        <v>46</v>
      </c>
      <c r="B54" s="85"/>
      <c r="C54" s="5"/>
      <c r="D54" s="5"/>
      <c r="E54" s="6"/>
      <c r="F54" s="7"/>
      <c r="G54" s="41"/>
      <c r="H54" s="6"/>
      <c r="I54" s="41"/>
      <c r="J54" s="41" t="b">
        <f t="shared" si="0"/>
        <v>0</v>
      </c>
    </row>
    <row r="55" spans="1:10" x14ac:dyDescent="0.2">
      <c r="A55" s="4">
        <v>47</v>
      </c>
      <c r="B55" s="85"/>
      <c r="C55" s="5"/>
      <c r="D55" s="5"/>
      <c r="E55" s="6"/>
      <c r="F55" s="7"/>
      <c r="G55" s="41"/>
      <c r="H55" s="6"/>
      <c r="I55" s="41"/>
      <c r="J55" s="41" t="b">
        <f t="shared" si="0"/>
        <v>0</v>
      </c>
    </row>
    <row r="56" spans="1:10" x14ac:dyDescent="0.2">
      <c r="A56" s="4">
        <v>48</v>
      </c>
      <c r="B56" s="85"/>
      <c r="C56" s="5"/>
      <c r="D56" s="5"/>
      <c r="E56" s="6"/>
      <c r="F56" s="7"/>
      <c r="G56" s="41"/>
      <c r="H56" s="6"/>
      <c r="I56" s="41"/>
      <c r="J56" s="41" t="b">
        <f t="shared" si="0"/>
        <v>0</v>
      </c>
    </row>
    <row r="57" spans="1:10" x14ac:dyDescent="0.2">
      <c r="A57" s="4">
        <v>49</v>
      </c>
      <c r="B57" s="85"/>
      <c r="C57" s="5"/>
      <c r="D57" s="5"/>
      <c r="E57" s="6"/>
      <c r="F57" s="7"/>
      <c r="G57" s="41"/>
      <c r="H57" s="6"/>
      <c r="I57" s="41"/>
      <c r="J57" s="41" t="b">
        <f t="shared" si="0"/>
        <v>0</v>
      </c>
    </row>
    <row r="58" spans="1:10" x14ac:dyDescent="0.2">
      <c r="A58" s="4">
        <v>50</v>
      </c>
      <c r="B58" s="85"/>
      <c r="C58" s="5"/>
      <c r="D58" s="5"/>
      <c r="E58" s="6"/>
      <c r="F58" s="7"/>
      <c r="G58" s="41"/>
      <c r="H58" s="6"/>
      <c r="I58" s="41"/>
      <c r="J58" s="41" t="b">
        <f t="shared" si="0"/>
        <v>0</v>
      </c>
    </row>
    <row r="59" spans="1:10" x14ac:dyDescent="0.2">
      <c r="A59" s="4">
        <v>51</v>
      </c>
      <c r="B59" s="85"/>
      <c r="C59" s="5"/>
      <c r="D59" s="5"/>
      <c r="E59" s="6"/>
      <c r="F59" s="7"/>
      <c r="G59" s="41"/>
      <c r="H59" s="6"/>
      <c r="I59" s="41"/>
      <c r="J59" s="41" t="b">
        <f t="shared" si="0"/>
        <v>0</v>
      </c>
    </row>
    <row r="60" spans="1:10" x14ac:dyDescent="0.2">
      <c r="A60" s="4">
        <v>52</v>
      </c>
      <c r="B60" s="85"/>
      <c r="C60" s="5"/>
      <c r="D60" s="5"/>
      <c r="E60" s="6"/>
      <c r="F60" s="7"/>
      <c r="G60" s="41"/>
      <c r="H60" s="6"/>
      <c r="I60" s="41"/>
      <c r="J60" s="41" t="b">
        <f t="shared" si="0"/>
        <v>0</v>
      </c>
    </row>
    <row r="61" spans="1:10" x14ac:dyDescent="0.2">
      <c r="A61" s="4">
        <v>53</v>
      </c>
      <c r="B61" s="85"/>
      <c r="C61" s="5"/>
      <c r="D61" s="5"/>
      <c r="E61" s="6"/>
      <c r="F61" s="7"/>
      <c r="G61" s="41"/>
      <c r="H61" s="6"/>
      <c r="I61" s="41"/>
      <c r="J61" s="41" t="b">
        <f t="shared" si="0"/>
        <v>0</v>
      </c>
    </row>
    <row r="62" spans="1:10" x14ac:dyDescent="0.2">
      <c r="A62" s="4">
        <v>54</v>
      </c>
      <c r="B62" s="85"/>
      <c r="C62" s="5"/>
      <c r="D62" s="5"/>
      <c r="E62" s="6"/>
      <c r="F62" s="7"/>
      <c r="G62" s="41"/>
      <c r="H62" s="6"/>
      <c r="I62" s="41"/>
      <c r="J62" s="41" t="b">
        <f t="shared" si="0"/>
        <v>0</v>
      </c>
    </row>
    <row r="63" spans="1:10" x14ac:dyDescent="0.2">
      <c r="A63" s="4">
        <v>55</v>
      </c>
      <c r="B63" s="85"/>
      <c r="C63" s="5"/>
      <c r="D63" s="5"/>
      <c r="E63" s="6"/>
      <c r="F63" s="7"/>
      <c r="G63" s="41"/>
      <c r="H63" s="6"/>
      <c r="I63" s="41"/>
      <c r="J63" s="41" t="b">
        <f t="shared" si="0"/>
        <v>0</v>
      </c>
    </row>
    <row r="64" spans="1:10" x14ac:dyDescent="0.2">
      <c r="A64" s="4">
        <v>56</v>
      </c>
      <c r="B64" s="85"/>
      <c r="C64" s="5"/>
      <c r="D64" s="5"/>
      <c r="E64" s="6"/>
      <c r="F64" s="7"/>
      <c r="G64" s="41"/>
      <c r="H64" s="6"/>
      <c r="I64" s="41"/>
      <c r="J64" s="41" t="b">
        <f t="shared" si="0"/>
        <v>0</v>
      </c>
    </row>
    <row r="65" spans="1:10" x14ac:dyDescent="0.2">
      <c r="A65" s="4">
        <v>57</v>
      </c>
      <c r="B65" s="85"/>
      <c r="C65" s="5"/>
      <c r="D65" s="5"/>
      <c r="E65" s="6"/>
      <c r="F65" s="7"/>
      <c r="G65" s="41"/>
      <c r="H65" s="6"/>
      <c r="I65" s="41"/>
      <c r="J65" s="41" t="b">
        <f t="shared" si="0"/>
        <v>0</v>
      </c>
    </row>
    <row r="66" spans="1:10" x14ac:dyDescent="0.2">
      <c r="A66" s="4">
        <v>58</v>
      </c>
      <c r="B66" s="85"/>
      <c r="C66" s="5"/>
      <c r="D66" s="5"/>
      <c r="E66" s="6"/>
      <c r="F66" s="7"/>
      <c r="G66" s="41"/>
      <c r="H66" s="6"/>
      <c r="I66" s="41"/>
      <c r="J66" s="41" t="b">
        <f t="shared" si="0"/>
        <v>0</v>
      </c>
    </row>
    <row r="67" spans="1:10" x14ac:dyDescent="0.2">
      <c r="A67" s="4">
        <v>59</v>
      </c>
      <c r="B67" s="85"/>
      <c r="C67" s="5"/>
      <c r="D67" s="5"/>
      <c r="E67" s="6"/>
      <c r="F67" s="7"/>
      <c r="G67" s="41"/>
      <c r="H67" s="6"/>
      <c r="I67" s="41"/>
      <c r="J67" s="41" t="b">
        <f t="shared" si="0"/>
        <v>0</v>
      </c>
    </row>
    <row r="68" spans="1:10" x14ac:dyDescent="0.2">
      <c r="A68" s="4">
        <v>60</v>
      </c>
      <c r="B68" s="85"/>
      <c r="C68" s="5"/>
      <c r="D68" s="5"/>
      <c r="E68" s="6"/>
      <c r="F68" s="7"/>
      <c r="G68" s="41"/>
      <c r="H68" s="6"/>
      <c r="I68" s="41"/>
      <c r="J68" s="41" t="b">
        <f t="shared" si="0"/>
        <v>0</v>
      </c>
    </row>
    <row r="69" spans="1:10" x14ac:dyDescent="0.2">
      <c r="A69" s="4">
        <v>61</v>
      </c>
      <c r="B69" s="85"/>
      <c r="C69" s="5"/>
      <c r="D69" s="5"/>
      <c r="E69" s="6"/>
      <c r="F69" s="7"/>
      <c r="G69" s="41"/>
      <c r="H69" s="6"/>
      <c r="I69" s="41"/>
      <c r="J69" s="41" t="b">
        <f t="shared" si="0"/>
        <v>0</v>
      </c>
    </row>
    <row r="70" spans="1:10" x14ac:dyDescent="0.2">
      <c r="A70" s="4">
        <v>62</v>
      </c>
      <c r="B70" s="85"/>
      <c r="C70" s="5"/>
      <c r="D70" s="5"/>
      <c r="E70" s="6"/>
      <c r="F70" s="7"/>
      <c r="G70" s="41"/>
      <c r="H70" s="6"/>
      <c r="I70" s="41"/>
      <c r="J70" s="41" t="b">
        <f t="shared" si="0"/>
        <v>0</v>
      </c>
    </row>
    <row r="71" spans="1:10" x14ac:dyDescent="0.2">
      <c r="A71" s="4">
        <v>63</v>
      </c>
      <c r="B71" s="85"/>
      <c r="C71" s="5"/>
      <c r="D71" s="5"/>
      <c r="E71" s="6"/>
      <c r="F71" s="7"/>
      <c r="G71" s="41"/>
      <c r="H71" s="6"/>
      <c r="I71" s="41"/>
      <c r="J71" s="41" t="b">
        <f t="shared" si="0"/>
        <v>0</v>
      </c>
    </row>
    <row r="72" spans="1:10" x14ac:dyDescent="0.2">
      <c r="A72" s="4">
        <v>64</v>
      </c>
      <c r="B72" s="85"/>
      <c r="C72" s="5"/>
      <c r="D72" s="5"/>
      <c r="E72" s="6"/>
      <c r="F72" s="7"/>
      <c r="G72" s="41"/>
      <c r="H72" s="6"/>
      <c r="I72" s="41"/>
      <c r="J72" s="41" t="b">
        <f t="shared" si="0"/>
        <v>0</v>
      </c>
    </row>
    <row r="73" spans="1:10" x14ac:dyDescent="0.2">
      <c r="A73" s="4">
        <v>65</v>
      </c>
      <c r="B73" s="85"/>
      <c r="C73" s="5"/>
      <c r="D73" s="5"/>
      <c r="E73" s="6"/>
      <c r="F73" s="7"/>
      <c r="G73" s="41"/>
      <c r="H73" s="6"/>
      <c r="I73" s="41"/>
      <c r="J73" s="41" t="b">
        <f t="shared" si="0"/>
        <v>0</v>
      </c>
    </row>
    <row r="74" spans="1:10" x14ac:dyDescent="0.2">
      <c r="A74" s="4">
        <v>66</v>
      </c>
      <c r="B74" s="85"/>
      <c r="C74" s="5"/>
      <c r="D74" s="5"/>
      <c r="E74" s="6"/>
      <c r="F74" s="7"/>
      <c r="G74" s="41"/>
      <c r="H74" s="6"/>
      <c r="I74" s="41"/>
      <c r="J74" s="41" t="b">
        <f t="shared" ref="J74:J137" si="1">IF(H74=$M$3,G74,IF(H74=$M$4,-I74))</f>
        <v>0</v>
      </c>
    </row>
    <row r="75" spans="1:10" x14ac:dyDescent="0.2">
      <c r="A75" s="4">
        <v>67</v>
      </c>
      <c r="B75" s="85"/>
      <c r="C75" s="5"/>
      <c r="D75" s="5"/>
      <c r="E75" s="6"/>
      <c r="F75" s="7"/>
      <c r="G75" s="41"/>
      <c r="H75" s="6"/>
      <c r="I75" s="41"/>
      <c r="J75" s="41" t="b">
        <f t="shared" si="1"/>
        <v>0</v>
      </c>
    </row>
    <row r="76" spans="1:10" x14ac:dyDescent="0.2">
      <c r="A76" s="4">
        <v>68</v>
      </c>
      <c r="B76" s="85"/>
      <c r="C76" s="5"/>
      <c r="D76" s="5"/>
      <c r="E76" s="6"/>
      <c r="F76" s="7"/>
      <c r="G76" s="41"/>
      <c r="H76" s="6"/>
      <c r="I76" s="41"/>
      <c r="J76" s="41" t="b">
        <f t="shared" si="1"/>
        <v>0</v>
      </c>
    </row>
    <row r="77" spans="1:10" x14ac:dyDescent="0.2">
      <c r="A77" s="4">
        <v>69</v>
      </c>
      <c r="B77" s="85"/>
      <c r="C77" s="5"/>
      <c r="D77" s="5"/>
      <c r="E77" s="6"/>
      <c r="F77" s="7"/>
      <c r="G77" s="41"/>
      <c r="H77" s="6"/>
      <c r="I77" s="41"/>
      <c r="J77" s="41" t="b">
        <f t="shared" si="1"/>
        <v>0</v>
      </c>
    </row>
    <row r="78" spans="1:10" x14ac:dyDescent="0.2">
      <c r="A78" s="4">
        <v>70</v>
      </c>
      <c r="B78" s="85"/>
      <c r="C78" s="5"/>
      <c r="D78" s="5"/>
      <c r="E78" s="6"/>
      <c r="F78" s="7"/>
      <c r="G78" s="41"/>
      <c r="H78" s="6"/>
      <c r="I78" s="41"/>
      <c r="J78" s="41" t="b">
        <f t="shared" si="1"/>
        <v>0</v>
      </c>
    </row>
    <row r="79" spans="1:10" x14ac:dyDescent="0.2">
      <c r="A79" s="4">
        <v>71</v>
      </c>
      <c r="B79" s="85"/>
      <c r="C79" s="5"/>
      <c r="D79" s="5"/>
      <c r="E79" s="6"/>
      <c r="F79" s="7"/>
      <c r="G79" s="41"/>
      <c r="H79" s="6"/>
      <c r="I79" s="41"/>
      <c r="J79" s="41" t="b">
        <f t="shared" si="1"/>
        <v>0</v>
      </c>
    </row>
    <row r="80" spans="1:10" x14ac:dyDescent="0.2">
      <c r="A80" s="4">
        <v>72</v>
      </c>
      <c r="B80" s="85"/>
      <c r="C80" s="5"/>
      <c r="D80" s="5"/>
      <c r="E80" s="6"/>
      <c r="F80" s="7"/>
      <c r="G80" s="41"/>
      <c r="H80" s="6"/>
      <c r="I80" s="41"/>
      <c r="J80" s="41" t="b">
        <f t="shared" si="1"/>
        <v>0</v>
      </c>
    </row>
    <row r="81" spans="1:10" x14ac:dyDescent="0.2">
      <c r="A81" s="4">
        <v>73</v>
      </c>
      <c r="B81" s="85"/>
      <c r="C81" s="5"/>
      <c r="D81" s="5"/>
      <c r="E81" s="6"/>
      <c r="F81" s="7"/>
      <c r="G81" s="41"/>
      <c r="H81" s="6"/>
      <c r="I81" s="41"/>
      <c r="J81" s="41" t="b">
        <f t="shared" si="1"/>
        <v>0</v>
      </c>
    </row>
    <row r="82" spans="1:10" x14ac:dyDescent="0.2">
      <c r="A82" s="4">
        <v>74</v>
      </c>
      <c r="B82" s="85"/>
      <c r="C82" s="5"/>
      <c r="D82" s="5"/>
      <c r="E82" s="6"/>
      <c r="F82" s="7"/>
      <c r="G82" s="41"/>
      <c r="H82" s="6"/>
      <c r="I82" s="41"/>
      <c r="J82" s="41" t="b">
        <f t="shared" si="1"/>
        <v>0</v>
      </c>
    </row>
    <row r="83" spans="1:10" x14ac:dyDescent="0.2">
      <c r="A83" s="4">
        <v>75</v>
      </c>
      <c r="B83" s="85"/>
      <c r="C83" s="5"/>
      <c r="D83" s="5"/>
      <c r="E83" s="6"/>
      <c r="F83" s="7"/>
      <c r="G83" s="41"/>
      <c r="H83" s="6"/>
      <c r="I83" s="41"/>
      <c r="J83" s="41" t="b">
        <f t="shared" si="1"/>
        <v>0</v>
      </c>
    </row>
    <row r="84" spans="1:10" x14ac:dyDescent="0.2">
      <c r="A84" s="4">
        <v>76</v>
      </c>
      <c r="B84" s="85"/>
      <c r="C84" s="5"/>
      <c r="D84" s="5"/>
      <c r="E84" s="6"/>
      <c r="F84" s="7"/>
      <c r="G84" s="41"/>
      <c r="H84" s="6"/>
      <c r="I84" s="41"/>
      <c r="J84" s="41" t="b">
        <f t="shared" si="1"/>
        <v>0</v>
      </c>
    </row>
    <row r="85" spans="1:10" x14ac:dyDescent="0.2">
      <c r="A85" s="4">
        <v>77</v>
      </c>
      <c r="B85" s="85"/>
      <c r="C85" s="5"/>
      <c r="D85" s="5"/>
      <c r="E85" s="6"/>
      <c r="F85" s="7"/>
      <c r="G85" s="41"/>
      <c r="H85" s="6"/>
      <c r="I85" s="41"/>
      <c r="J85" s="41" t="b">
        <f t="shared" si="1"/>
        <v>0</v>
      </c>
    </row>
    <row r="86" spans="1:10" x14ac:dyDescent="0.2">
      <c r="A86" s="4">
        <v>78</v>
      </c>
      <c r="B86" s="85"/>
      <c r="C86" s="5"/>
      <c r="D86" s="5"/>
      <c r="E86" s="6"/>
      <c r="F86" s="7"/>
      <c r="G86" s="41"/>
      <c r="H86" s="6"/>
      <c r="I86" s="41"/>
      <c r="J86" s="41" t="b">
        <f t="shared" si="1"/>
        <v>0</v>
      </c>
    </row>
    <row r="87" spans="1:10" x14ac:dyDescent="0.2">
      <c r="A87" s="4">
        <v>79</v>
      </c>
      <c r="B87" s="85"/>
      <c r="C87" s="5"/>
      <c r="D87" s="5"/>
      <c r="E87" s="6"/>
      <c r="F87" s="7"/>
      <c r="G87" s="41"/>
      <c r="H87" s="6"/>
      <c r="I87" s="41"/>
      <c r="J87" s="41" t="b">
        <f t="shared" si="1"/>
        <v>0</v>
      </c>
    </row>
    <row r="88" spans="1:10" x14ac:dyDescent="0.2">
      <c r="A88" s="4">
        <v>80</v>
      </c>
      <c r="B88" s="85"/>
      <c r="C88" s="5"/>
      <c r="D88" s="5"/>
      <c r="E88" s="6"/>
      <c r="F88" s="7"/>
      <c r="G88" s="41"/>
      <c r="H88" s="6"/>
      <c r="I88" s="41"/>
      <c r="J88" s="41" t="b">
        <f t="shared" si="1"/>
        <v>0</v>
      </c>
    </row>
    <row r="89" spans="1:10" x14ac:dyDescent="0.2">
      <c r="A89" s="4">
        <v>81</v>
      </c>
      <c r="B89" s="85"/>
      <c r="C89" s="5"/>
      <c r="D89" s="5"/>
      <c r="E89" s="6"/>
      <c r="F89" s="7"/>
      <c r="G89" s="41"/>
      <c r="H89" s="6"/>
      <c r="I89" s="41"/>
      <c r="J89" s="41" t="b">
        <f t="shared" si="1"/>
        <v>0</v>
      </c>
    </row>
    <row r="90" spans="1:10" x14ac:dyDescent="0.2">
      <c r="A90" s="4">
        <v>82</v>
      </c>
      <c r="B90" s="85"/>
      <c r="C90" s="5"/>
      <c r="D90" s="5"/>
      <c r="E90" s="6"/>
      <c r="F90" s="7"/>
      <c r="G90" s="41"/>
      <c r="H90" s="6"/>
      <c r="I90" s="41"/>
      <c r="J90" s="41" t="b">
        <f t="shared" si="1"/>
        <v>0</v>
      </c>
    </row>
    <row r="91" spans="1:10" x14ac:dyDescent="0.2">
      <c r="A91" s="4">
        <v>83</v>
      </c>
      <c r="B91" s="85"/>
      <c r="C91" s="5"/>
      <c r="D91" s="5"/>
      <c r="E91" s="6"/>
      <c r="F91" s="7"/>
      <c r="G91" s="41"/>
      <c r="H91" s="6"/>
      <c r="I91" s="41"/>
      <c r="J91" s="41" t="b">
        <f t="shared" si="1"/>
        <v>0</v>
      </c>
    </row>
    <row r="92" spans="1:10" x14ac:dyDescent="0.2">
      <c r="A92" s="4">
        <v>84</v>
      </c>
      <c r="B92" s="85"/>
      <c r="C92" s="5"/>
      <c r="D92" s="5"/>
      <c r="E92" s="6"/>
      <c r="F92" s="7"/>
      <c r="G92" s="41"/>
      <c r="H92" s="6"/>
      <c r="I92" s="41"/>
      <c r="J92" s="41" t="b">
        <f t="shared" si="1"/>
        <v>0</v>
      </c>
    </row>
    <row r="93" spans="1:10" x14ac:dyDescent="0.2">
      <c r="A93" s="4">
        <v>85</v>
      </c>
      <c r="B93" s="85"/>
      <c r="C93" s="5"/>
      <c r="D93" s="5"/>
      <c r="E93" s="6"/>
      <c r="F93" s="7"/>
      <c r="G93" s="41"/>
      <c r="H93" s="6"/>
      <c r="I93" s="41"/>
      <c r="J93" s="41" t="b">
        <f t="shared" si="1"/>
        <v>0</v>
      </c>
    </row>
    <row r="94" spans="1:10" x14ac:dyDescent="0.2">
      <c r="A94" s="4">
        <v>86</v>
      </c>
      <c r="B94" s="85"/>
      <c r="C94" s="5"/>
      <c r="D94" s="5"/>
      <c r="E94" s="6"/>
      <c r="F94" s="7"/>
      <c r="G94" s="41"/>
      <c r="H94" s="6"/>
      <c r="I94" s="41"/>
      <c r="J94" s="41" t="b">
        <f t="shared" si="1"/>
        <v>0</v>
      </c>
    </row>
    <row r="95" spans="1:10" x14ac:dyDescent="0.2">
      <c r="A95" s="4">
        <v>87</v>
      </c>
      <c r="B95" s="85"/>
      <c r="C95" s="5"/>
      <c r="D95" s="5"/>
      <c r="E95" s="6"/>
      <c r="F95" s="7"/>
      <c r="G95" s="41"/>
      <c r="H95" s="6"/>
      <c r="I95" s="41"/>
      <c r="J95" s="41" t="b">
        <f t="shared" si="1"/>
        <v>0</v>
      </c>
    </row>
    <row r="96" spans="1:10" x14ac:dyDescent="0.2">
      <c r="A96" s="4">
        <v>88</v>
      </c>
      <c r="B96" s="85"/>
      <c r="C96" s="5"/>
      <c r="D96" s="5"/>
      <c r="E96" s="6"/>
      <c r="F96" s="7"/>
      <c r="G96" s="41"/>
      <c r="H96" s="6"/>
      <c r="I96" s="41"/>
      <c r="J96" s="41" t="b">
        <f t="shared" si="1"/>
        <v>0</v>
      </c>
    </row>
    <row r="97" spans="1:10" x14ac:dyDescent="0.2">
      <c r="A97" s="4">
        <v>89</v>
      </c>
      <c r="B97" s="85"/>
      <c r="C97" s="5"/>
      <c r="D97" s="5"/>
      <c r="E97" s="6"/>
      <c r="F97" s="7"/>
      <c r="G97" s="41"/>
      <c r="H97" s="6"/>
      <c r="I97" s="41"/>
      <c r="J97" s="41" t="b">
        <f t="shared" si="1"/>
        <v>0</v>
      </c>
    </row>
    <row r="98" spans="1:10" x14ac:dyDescent="0.2">
      <c r="A98" s="4">
        <v>90</v>
      </c>
      <c r="B98" s="85"/>
      <c r="C98" s="5"/>
      <c r="D98" s="5"/>
      <c r="E98" s="6"/>
      <c r="F98" s="7"/>
      <c r="G98" s="41"/>
      <c r="H98" s="6"/>
      <c r="I98" s="41"/>
      <c r="J98" s="41" t="b">
        <f t="shared" si="1"/>
        <v>0</v>
      </c>
    </row>
    <row r="99" spans="1:10" x14ac:dyDescent="0.2">
      <c r="A99" s="4">
        <v>91</v>
      </c>
      <c r="B99" s="85"/>
      <c r="C99" s="5"/>
      <c r="D99" s="5"/>
      <c r="E99" s="6"/>
      <c r="F99" s="7"/>
      <c r="G99" s="41"/>
      <c r="H99" s="6"/>
      <c r="I99" s="41"/>
      <c r="J99" s="41" t="b">
        <f t="shared" si="1"/>
        <v>0</v>
      </c>
    </row>
    <row r="100" spans="1:10" x14ac:dyDescent="0.2">
      <c r="A100" s="4">
        <v>92</v>
      </c>
      <c r="B100" s="85"/>
      <c r="C100" s="5"/>
      <c r="D100" s="5"/>
      <c r="E100" s="6"/>
      <c r="F100" s="7"/>
      <c r="G100" s="41"/>
      <c r="H100" s="6"/>
      <c r="I100" s="41"/>
      <c r="J100" s="41" t="b">
        <f t="shared" si="1"/>
        <v>0</v>
      </c>
    </row>
    <row r="101" spans="1:10" x14ac:dyDescent="0.2">
      <c r="A101" s="4">
        <v>93</v>
      </c>
      <c r="B101" s="85"/>
      <c r="C101" s="5"/>
      <c r="D101" s="5"/>
      <c r="E101" s="6"/>
      <c r="F101" s="7"/>
      <c r="G101" s="41"/>
      <c r="H101" s="6"/>
      <c r="I101" s="41"/>
      <c r="J101" s="41" t="b">
        <f t="shared" si="1"/>
        <v>0</v>
      </c>
    </row>
    <row r="102" spans="1:10" x14ac:dyDescent="0.2">
      <c r="A102" s="4">
        <v>94</v>
      </c>
      <c r="B102" s="85"/>
      <c r="C102" s="5"/>
      <c r="D102" s="5"/>
      <c r="E102" s="6"/>
      <c r="F102" s="7"/>
      <c r="G102" s="41"/>
      <c r="H102" s="6"/>
      <c r="I102" s="41"/>
      <c r="J102" s="41" t="b">
        <f t="shared" si="1"/>
        <v>0</v>
      </c>
    </row>
    <row r="103" spans="1:10" x14ac:dyDescent="0.2">
      <c r="A103" s="4">
        <v>95</v>
      </c>
      <c r="B103" s="85"/>
      <c r="C103" s="5"/>
      <c r="D103" s="5"/>
      <c r="E103" s="6"/>
      <c r="F103" s="7"/>
      <c r="G103" s="41"/>
      <c r="H103" s="6"/>
      <c r="I103" s="41"/>
      <c r="J103" s="41" t="b">
        <f t="shared" si="1"/>
        <v>0</v>
      </c>
    </row>
    <row r="104" spans="1:10" x14ac:dyDescent="0.2">
      <c r="A104" s="4">
        <v>96</v>
      </c>
      <c r="B104" s="85"/>
      <c r="C104" s="5"/>
      <c r="D104" s="5"/>
      <c r="E104" s="6"/>
      <c r="F104" s="7"/>
      <c r="G104" s="41"/>
      <c r="H104" s="6"/>
      <c r="I104" s="41"/>
      <c r="J104" s="41" t="b">
        <f t="shared" si="1"/>
        <v>0</v>
      </c>
    </row>
    <row r="105" spans="1:10" x14ac:dyDescent="0.2">
      <c r="A105" s="4">
        <v>97</v>
      </c>
      <c r="B105" s="85"/>
      <c r="C105" s="5"/>
      <c r="D105" s="5"/>
      <c r="E105" s="6"/>
      <c r="F105" s="7"/>
      <c r="G105" s="41"/>
      <c r="H105" s="6"/>
      <c r="I105" s="41"/>
      <c r="J105" s="41" t="b">
        <f t="shared" si="1"/>
        <v>0</v>
      </c>
    </row>
    <row r="106" spans="1:10" x14ac:dyDescent="0.2">
      <c r="A106" s="4">
        <v>98</v>
      </c>
      <c r="B106" s="85"/>
      <c r="C106" s="5"/>
      <c r="D106" s="5"/>
      <c r="E106" s="6"/>
      <c r="F106" s="7"/>
      <c r="G106" s="41"/>
      <c r="H106" s="6"/>
      <c r="I106" s="41"/>
      <c r="J106" s="41" t="b">
        <f t="shared" si="1"/>
        <v>0</v>
      </c>
    </row>
    <row r="107" spans="1:10" x14ac:dyDescent="0.2">
      <c r="A107" s="4">
        <v>99</v>
      </c>
      <c r="B107" s="85"/>
      <c r="C107" s="5"/>
      <c r="D107" s="5"/>
      <c r="E107" s="6"/>
      <c r="F107" s="7"/>
      <c r="G107" s="41"/>
      <c r="H107" s="6"/>
      <c r="I107" s="41"/>
      <c r="J107" s="41" t="b">
        <f t="shared" si="1"/>
        <v>0</v>
      </c>
    </row>
    <row r="108" spans="1:10" x14ac:dyDescent="0.2">
      <c r="A108" s="4">
        <v>100</v>
      </c>
      <c r="B108" s="85"/>
      <c r="C108" s="5"/>
      <c r="D108" s="5"/>
      <c r="E108" s="6"/>
      <c r="F108" s="7"/>
      <c r="G108" s="41"/>
      <c r="H108" s="6"/>
      <c r="I108" s="41"/>
      <c r="J108" s="41" t="b">
        <f t="shared" si="1"/>
        <v>0</v>
      </c>
    </row>
    <row r="109" spans="1:10" x14ac:dyDescent="0.2">
      <c r="A109" s="4">
        <v>101</v>
      </c>
      <c r="B109" s="85"/>
      <c r="C109" s="5"/>
      <c r="D109" s="5"/>
      <c r="E109" s="6"/>
      <c r="F109" s="7"/>
      <c r="G109" s="41"/>
      <c r="H109" s="6"/>
      <c r="I109" s="41"/>
      <c r="J109" s="41" t="b">
        <f t="shared" si="1"/>
        <v>0</v>
      </c>
    </row>
    <row r="110" spans="1:10" x14ac:dyDescent="0.2">
      <c r="A110" s="4">
        <v>102</v>
      </c>
      <c r="B110" s="85"/>
      <c r="C110" s="5"/>
      <c r="D110" s="5"/>
      <c r="E110" s="6"/>
      <c r="F110" s="7"/>
      <c r="G110" s="41"/>
      <c r="H110" s="6"/>
      <c r="I110" s="41"/>
      <c r="J110" s="41" t="b">
        <f t="shared" si="1"/>
        <v>0</v>
      </c>
    </row>
    <row r="111" spans="1:10" x14ac:dyDescent="0.2">
      <c r="A111" s="4">
        <v>103</v>
      </c>
      <c r="B111" s="85"/>
      <c r="C111" s="5"/>
      <c r="D111" s="5"/>
      <c r="E111" s="6"/>
      <c r="F111" s="7"/>
      <c r="G111" s="41"/>
      <c r="H111" s="6"/>
      <c r="I111" s="41"/>
      <c r="J111" s="41" t="b">
        <f t="shared" si="1"/>
        <v>0</v>
      </c>
    </row>
    <row r="112" spans="1:10" x14ac:dyDescent="0.2">
      <c r="A112" s="4">
        <v>104</v>
      </c>
      <c r="B112" s="85"/>
      <c r="C112" s="5"/>
      <c r="D112" s="5"/>
      <c r="E112" s="6"/>
      <c r="F112" s="7"/>
      <c r="G112" s="41"/>
      <c r="H112" s="6"/>
      <c r="I112" s="41"/>
      <c r="J112" s="41" t="b">
        <f t="shared" si="1"/>
        <v>0</v>
      </c>
    </row>
    <row r="113" spans="1:10" x14ac:dyDescent="0.2">
      <c r="A113" s="4">
        <v>105</v>
      </c>
      <c r="B113" s="85"/>
      <c r="C113" s="5"/>
      <c r="D113" s="5"/>
      <c r="E113" s="6"/>
      <c r="F113" s="7"/>
      <c r="G113" s="41"/>
      <c r="H113" s="6"/>
      <c r="I113" s="41"/>
      <c r="J113" s="41" t="b">
        <f t="shared" si="1"/>
        <v>0</v>
      </c>
    </row>
    <row r="114" spans="1:10" x14ac:dyDescent="0.2">
      <c r="A114" s="4">
        <v>106</v>
      </c>
      <c r="B114" s="85"/>
      <c r="C114" s="5"/>
      <c r="D114" s="5"/>
      <c r="E114" s="6"/>
      <c r="F114" s="7"/>
      <c r="G114" s="41"/>
      <c r="H114" s="6"/>
      <c r="I114" s="41"/>
      <c r="J114" s="41" t="b">
        <f t="shared" si="1"/>
        <v>0</v>
      </c>
    </row>
    <row r="115" spans="1:10" x14ac:dyDescent="0.2">
      <c r="A115" s="4">
        <v>107</v>
      </c>
      <c r="B115" s="85"/>
      <c r="C115" s="5"/>
      <c r="D115" s="5"/>
      <c r="E115" s="6"/>
      <c r="F115" s="7"/>
      <c r="G115" s="41"/>
      <c r="H115" s="6"/>
      <c r="I115" s="41"/>
      <c r="J115" s="41" t="b">
        <f t="shared" si="1"/>
        <v>0</v>
      </c>
    </row>
    <row r="116" spans="1:10" x14ac:dyDescent="0.2">
      <c r="A116" s="4">
        <v>108</v>
      </c>
      <c r="B116" s="85"/>
      <c r="C116" s="5"/>
      <c r="D116" s="5"/>
      <c r="E116" s="6"/>
      <c r="F116" s="7"/>
      <c r="G116" s="41"/>
      <c r="H116" s="6"/>
      <c r="I116" s="41"/>
      <c r="J116" s="41" t="b">
        <f t="shared" si="1"/>
        <v>0</v>
      </c>
    </row>
    <row r="117" spans="1:10" x14ac:dyDescent="0.2">
      <c r="A117" s="4">
        <v>109</v>
      </c>
      <c r="B117" s="85"/>
      <c r="C117" s="5"/>
      <c r="D117" s="5"/>
      <c r="E117" s="6"/>
      <c r="F117" s="7"/>
      <c r="G117" s="41"/>
      <c r="H117" s="6"/>
      <c r="I117" s="41"/>
      <c r="J117" s="41" t="b">
        <f t="shared" si="1"/>
        <v>0</v>
      </c>
    </row>
    <row r="118" spans="1:10" x14ac:dyDescent="0.2">
      <c r="A118" s="4">
        <v>110</v>
      </c>
      <c r="B118" s="85"/>
      <c r="C118" s="5"/>
      <c r="D118" s="5"/>
      <c r="E118" s="6"/>
      <c r="F118" s="7"/>
      <c r="G118" s="41"/>
      <c r="H118" s="6"/>
      <c r="I118" s="41"/>
      <c r="J118" s="41" t="b">
        <f t="shared" si="1"/>
        <v>0</v>
      </c>
    </row>
    <row r="119" spans="1:10" x14ac:dyDescent="0.2">
      <c r="A119" s="4">
        <v>111</v>
      </c>
      <c r="B119" s="85"/>
      <c r="C119" s="5"/>
      <c r="D119" s="5"/>
      <c r="E119" s="6"/>
      <c r="F119" s="7"/>
      <c r="G119" s="41"/>
      <c r="H119" s="6"/>
      <c r="I119" s="41"/>
      <c r="J119" s="41" t="b">
        <f t="shared" si="1"/>
        <v>0</v>
      </c>
    </row>
    <row r="120" spans="1:10" x14ac:dyDescent="0.2">
      <c r="A120" s="4">
        <v>112</v>
      </c>
      <c r="B120" s="85"/>
      <c r="C120" s="5"/>
      <c r="D120" s="5"/>
      <c r="E120" s="6"/>
      <c r="F120" s="7"/>
      <c r="G120" s="41"/>
      <c r="H120" s="6"/>
      <c r="I120" s="41"/>
      <c r="J120" s="41" t="b">
        <f t="shared" si="1"/>
        <v>0</v>
      </c>
    </row>
    <row r="121" spans="1:10" x14ac:dyDescent="0.2">
      <c r="A121" s="4">
        <v>113</v>
      </c>
      <c r="B121" s="85"/>
      <c r="C121" s="5"/>
      <c r="D121" s="5"/>
      <c r="E121" s="6"/>
      <c r="F121" s="7"/>
      <c r="G121" s="41"/>
      <c r="H121" s="6"/>
      <c r="I121" s="41"/>
      <c r="J121" s="41" t="b">
        <f t="shared" si="1"/>
        <v>0</v>
      </c>
    </row>
    <row r="122" spans="1:10" x14ac:dyDescent="0.2">
      <c r="A122" s="4">
        <v>114</v>
      </c>
      <c r="B122" s="85"/>
      <c r="C122" s="5"/>
      <c r="D122" s="5"/>
      <c r="E122" s="6"/>
      <c r="F122" s="7"/>
      <c r="G122" s="41"/>
      <c r="H122" s="6"/>
      <c r="I122" s="41"/>
      <c r="J122" s="41" t="b">
        <f t="shared" si="1"/>
        <v>0</v>
      </c>
    </row>
    <row r="123" spans="1:10" x14ac:dyDescent="0.2">
      <c r="A123" s="4">
        <v>115</v>
      </c>
      <c r="B123" s="85"/>
      <c r="C123" s="5"/>
      <c r="D123" s="5"/>
      <c r="E123" s="6"/>
      <c r="F123" s="7"/>
      <c r="G123" s="41"/>
      <c r="H123" s="6"/>
      <c r="I123" s="41"/>
      <c r="J123" s="41" t="b">
        <f t="shared" si="1"/>
        <v>0</v>
      </c>
    </row>
    <row r="124" spans="1:10" x14ac:dyDescent="0.2">
      <c r="A124" s="4">
        <v>116</v>
      </c>
      <c r="B124" s="85"/>
      <c r="C124" s="5"/>
      <c r="D124" s="5"/>
      <c r="E124" s="6"/>
      <c r="F124" s="7"/>
      <c r="G124" s="41"/>
      <c r="H124" s="6"/>
      <c r="I124" s="41"/>
      <c r="J124" s="41" t="b">
        <f t="shared" si="1"/>
        <v>0</v>
      </c>
    </row>
    <row r="125" spans="1:10" x14ac:dyDescent="0.2">
      <c r="A125" s="4">
        <v>117</v>
      </c>
      <c r="B125" s="85"/>
      <c r="C125" s="5"/>
      <c r="D125" s="5"/>
      <c r="E125" s="6"/>
      <c r="F125" s="7"/>
      <c r="G125" s="41"/>
      <c r="H125" s="6"/>
      <c r="I125" s="41"/>
      <c r="J125" s="41" t="b">
        <f t="shared" si="1"/>
        <v>0</v>
      </c>
    </row>
    <row r="126" spans="1:10" x14ac:dyDescent="0.2">
      <c r="A126" s="4">
        <v>118</v>
      </c>
      <c r="B126" s="85"/>
      <c r="C126" s="5"/>
      <c r="D126" s="5"/>
      <c r="E126" s="6"/>
      <c r="F126" s="7"/>
      <c r="G126" s="41"/>
      <c r="H126" s="6"/>
      <c r="I126" s="41"/>
      <c r="J126" s="41" t="b">
        <f t="shared" si="1"/>
        <v>0</v>
      </c>
    </row>
    <row r="127" spans="1:10" x14ac:dyDescent="0.2">
      <c r="A127" s="4">
        <v>119</v>
      </c>
      <c r="B127" s="85"/>
      <c r="C127" s="5"/>
      <c r="D127" s="5"/>
      <c r="E127" s="6"/>
      <c r="F127" s="7"/>
      <c r="G127" s="41"/>
      <c r="H127" s="6"/>
      <c r="I127" s="41"/>
      <c r="J127" s="41" t="b">
        <f t="shared" si="1"/>
        <v>0</v>
      </c>
    </row>
    <row r="128" spans="1:10" x14ac:dyDescent="0.2">
      <c r="A128" s="4">
        <v>120</v>
      </c>
      <c r="B128" s="85"/>
      <c r="C128" s="5"/>
      <c r="D128" s="5"/>
      <c r="E128" s="6"/>
      <c r="F128" s="7"/>
      <c r="G128" s="41"/>
      <c r="H128" s="6"/>
      <c r="I128" s="41"/>
      <c r="J128" s="41" t="b">
        <f t="shared" si="1"/>
        <v>0</v>
      </c>
    </row>
    <row r="129" spans="1:10" x14ac:dyDescent="0.2">
      <c r="A129" s="4">
        <v>121</v>
      </c>
      <c r="B129" s="85"/>
      <c r="C129" s="5"/>
      <c r="D129" s="5"/>
      <c r="E129" s="6"/>
      <c r="F129" s="7"/>
      <c r="G129" s="41"/>
      <c r="H129" s="6"/>
      <c r="I129" s="41"/>
      <c r="J129" s="41" t="b">
        <f t="shared" si="1"/>
        <v>0</v>
      </c>
    </row>
    <row r="130" spans="1:10" x14ac:dyDescent="0.2">
      <c r="A130" s="4">
        <v>122</v>
      </c>
      <c r="B130" s="85"/>
      <c r="C130" s="5"/>
      <c r="D130" s="5"/>
      <c r="E130" s="6"/>
      <c r="F130" s="7"/>
      <c r="G130" s="41"/>
      <c r="H130" s="6"/>
      <c r="I130" s="41"/>
      <c r="J130" s="41" t="b">
        <f t="shared" si="1"/>
        <v>0</v>
      </c>
    </row>
    <row r="131" spans="1:10" x14ac:dyDescent="0.2">
      <c r="A131" s="4">
        <v>123</v>
      </c>
      <c r="B131" s="85"/>
      <c r="C131" s="5"/>
      <c r="D131" s="5"/>
      <c r="E131" s="6"/>
      <c r="F131" s="7"/>
      <c r="G131" s="41"/>
      <c r="H131" s="6"/>
      <c r="I131" s="41"/>
      <c r="J131" s="41" t="b">
        <f t="shared" si="1"/>
        <v>0</v>
      </c>
    </row>
    <row r="132" spans="1:10" x14ac:dyDescent="0.2">
      <c r="A132" s="4">
        <v>124</v>
      </c>
      <c r="B132" s="85"/>
      <c r="C132" s="5"/>
      <c r="D132" s="5"/>
      <c r="E132" s="6"/>
      <c r="F132" s="7"/>
      <c r="G132" s="41"/>
      <c r="H132" s="6"/>
      <c r="I132" s="41"/>
      <c r="J132" s="41" t="b">
        <f t="shared" si="1"/>
        <v>0</v>
      </c>
    </row>
    <row r="133" spans="1:10" x14ac:dyDescent="0.2">
      <c r="A133" s="4">
        <v>125</v>
      </c>
      <c r="B133" s="85"/>
      <c r="C133" s="5"/>
      <c r="D133" s="5"/>
      <c r="E133" s="6"/>
      <c r="F133" s="7"/>
      <c r="G133" s="41"/>
      <c r="H133" s="6"/>
      <c r="I133" s="41"/>
      <c r="J133" s="41" t="b">
        <f t="shared" si="1"/>
        <v>0</v>
      </c>
    </row>
    <row r="134" spans="1:10" x14ac:dyDescent="0.2">
      <c r="A134" s="4">
        <v>126</v>
      </c>
      <c r="B134" s="85"/>
      <c r="C134" s="5"/>
      <c r="D134" s="5"/>
      <c r="E134" s="6"/>
      <c r="F134" s="7"/>
      <c r="G134" s="41"/>
      <c r="H134" s="6"/>
      <c r="I134" s="41"/>
      <c r="J134" s="41" t="b">
        <f t="shared" si="1"/>
        <v>0</v>
      </c>
    </row>
    <row r="135" spans="1:10" x14ac:dyDescent="0.2">
      <c r="A135" s="4">
        <v>127</v>
      </c>
      <c r="B135" s="85"/>
      <c r="C135" s="5"/>
      <c r="D135" s="5"/>
      <c r="E135" s="6"/>
      <c r="F135" s="7"/>
      <c r="G135" s="41"/>
      <c r="H135" s="6"/>
      <c r="I135" s="41"/>
      <c r="J135" s="41" t="b">
        <f t="shared" si="1"/>
        <v>0</v>
      </c>
    </row>
    <row r="136" spans="1:10" x14ac:dyDescent="0.2">
      <c r="A136" s="4">
        <v>128</v>
      </c>
      <c r="B136" s="85"/>
      <c r="C136" s="5"/>
      <c r="D136" s="5"/>
      <c r="E136" s="6"/>
      <c r="F136" s="7"/>
      <c r="G136" s="41"/>
      <c r="H136" s="6"/>
      <c r="I136" s="41"/>
      <c r="J136" s="41" t="b">
        <f t="shared" si="1"/>
        <v>0</v>
      </c>
    </row>
    <row r="137" spans="1:10" x14ac:dyDescent="0.2">
      <c r="A137" s="4">
        <v>129</v>
      </c>
      <c r="B137" s="85"/>
      <c r="C137" s="5"/>
      <c r="D137" s="5"/>
      <c r="E137" s="6"/>
      <c r="F137" s="7"/>
      <c r="G137" s="41"/>
      <c r="H137" s="6"/>
      <c r="I137" s="41"/>
      <c r="J137" s="41" t="b">
        <f t="shared" si="1"/>
        <v>0</v>
      </c>
    </row>
    <row r="138" spans="1:10" x14ac:dyDescent="0.2">
      <c r="A138" s="4">
        <v>130</v>
      </c>
      <c r="B138" s="85"/>
      <c r="C138" s="5"/>
      <c r="D138" s="5"/>
      <c r="E138" s="6"/>
      <c r="F138" s="7"/>
      <c r="G138" s="41"/>
      <c r="H138" s="6"/>
      <c r="I138" s="41"/>
      <c r="J138" s="41" t="b">
        <f t="shared" ref="J138:J201" si="2">IF(H138=$M$3,G138,IF(H138=$M$4,-I138))</f>
        <v>0</v>
      </c>
    </row>
    <row r="139" spans="1:10" x14ac:dyDescent="0.2">
      <c r="A139" s="4">
        <v>131</v>
      </c>
      <c r="B139" s="85"/>
      <c r="C139" s="5"/>
      <c r="D139" s="5"/>
      <c r="E139" s="6"/>
      <c r="F139" s="7"/>
      <c r="G139" s="41"/>
      <c r="H139" s="6"/>
      <c r="I139" s="41"/>
      <c r="J139" s="41" t="b">
        <f t="shared" si="2"/>
        <v>0</v>
      </c>
    </row>
    <row r="140" spans="1:10" x14ac:dyDescent="0.2">
      <c r="A140" s="4">
        <v>132</v>
      </c>
      <c r="B140" s="85"/>
      <c r="C140" s="5"/>
      <c r="D140" s="5"/>
      <c r="E140" s="6"/>
      <c r="F140" s="7"/>
      <c r="G140" s="41"/>
      <c r="H140" s="6"/>
      <c r="I140" s="41"/>
      <c r="J140" s="41" t="b">
        <f t="shared" si="2"/>
        <v>0</v>
      </c>
    </row>
    <row r="141" spans="1:10" x14ac:dyDescent="0.2">
      <c r="A141" s="4">
        <v>133</v>
      </c>
      <c r="B141" s="85"/>
      <c r="C141" s="5"/>
      <c r="D141" s="5"/>
      <c r="E141" s="6"/>
      <c r="F141" s="7"/>
      <c r="G141" s="41"/>
      <c r="H141" s="6"/>
      <c r="I141" s="41"/>
      <c r="J141" s="41" t="b">
        <f t="shared" si="2"/>
        <v>0</v>
      </c>
    </row>
    <row r="142" spans="1:10" x14ac:dyDescent="0.2">
      <c r="A142" s="4">
        <v>134</v>
      </c>
      <c r="B142" s="85"/>
      <c r="C142" s="5"/>
      <c r="D142" s="5"/>
      <c r="E142" s="6"/>
      <c r="F142" s="7"/>
      <c r="G142" s="41"/>
      <c r="H142" s="6"/>
      <c r="I142" s="41"/>
      <c r="J142" s="41" t="b">
        <f t="shared" si="2"/>
        <v>0</v>
      </c>
    </row>
    <row r="143" spans="1:10" x14ac:dyDescent="0.2">
      <c r="A143" s="4">
        <v>135</v>
      </c>
      <c r="B143" s="85"/>
      <c r="C143" s="5"/>
      <c r="D143" s="5"/>
      <c r="E143" s="6"/>
      <c r="F143" s="7"/>
      <c r="G143" s="41"/>
      <c r="H143" s="6"/>
      <c r="I143" s="41"/>
      <c r="J143" s="41" t="b">
        <f t="shared" si="2"/>
        <v>0</v>
      </c>
    </row>
    <row r="144" spans="1:10" x14ac:dyDescent="0.2">
      <c r="A144" s="4">
        <v>136</v>
      </c>
      <c r="B144" s="85"/>
      <c r="C144" s="5"/>
      <c r="D144" s="5"/>
      <c r="E144" s="6"/>
      <c r="F144" s="7"/>
      <c r="G144" s="41"/>
      <c r="H144" s="6"/>
      <c r="I144" s="41"/>
      <c r="J144" s="41" t="b">
        <f t="shared" si="2"/>
        <v>0</v>
      </c>
    </row>
    <row r="145" spans="1:10" x14ac:dyDescent="0.2">
      <c r="A145" s="4">
        <v>137</v>
      </c>
      <c r="B145" s="85"/>
      <c r="C145" s="5"/>
      <c r="D145" s="5"/>
      <c r="E145" s="6"/>
      <c r="F145" s="7"/>
      <c r="G145" s="41"/>
      <c r="H145" s="6"/>
      <c r="I145" s="41"/>
      <c r="J145" s="41" t="b">
        <f t="shared" si="2"/>
        <v>0</v>
      </c>
    </row>
    <row r="146" spans="1:10" x14ac:dyDescent="0.2">
      <c r="A146" s="4">
        <v>138</v>
      </c>
      <c r="B146" s="85"/>
      <c r="C146" s="5"/>
      <c r="D146" s="5"/>
      <c r="E146" s="6"/>
      <c r="F146" s="7"/>
      <c r="G146" s="41"/>
      <c r="H146" s="6"/>
      <c r="I146" s="41"/>
      <c r="J146" s="41" t="b">
        <f t="shared" si="2"/>
        <v>0</v>
      </c>
    </row>
    <row r="147" spans="1:10" x14ac:dyDescent="0.2">
      <c r="A147" s="4">
        <v>139</v>
      </c>
      <c r="B147" s="85"/>
      <c r="C147" s="5"/>
      <c r="D147" s="5"/>
      <c r="E147" s="6"/>
      <c r="F147" s="7"/>
      <c r="G147" s="41"/>
      <c r="H147" s="6"/>
      <c r="I147" s="41"/>
      <c r="J147" s="41" t="b">
        <f t="shared" si="2"/>
        <v>0</v>
      </c>
    </row>
    <row r="148" spans="1:10" x14ac:dyDescent="0.2">
      <c r="A148" s="4">
        <v>140</v>
      </c>
      <c r="B148" s="85"/>
      <c r="C148" s="5"/>
      <c r="D148" s="5"/>
      <c r="E148" s="6"/>
      <c r="F148" s="7"/>
      <c r="G148" s="41"/>
      <c r="H148" s="6"/>
      <c r="I148" s="41"/>
      <c r="J148" s="41" t="b">
        <f t="shared" si="2"/>
        <v>0</v>
      </c>
    </row>
    <row r="149" spans="1:10" x14ac:dyDescent="0.2">
      <c r="A149" s="4">
        <v>141</v>
      </c>
      <c r="B149" s="85"/>
      <c r="C149" s="5"/>
      <c r="D149" s="5"/>
      <c r="E149" s="6"/>
      <c r="F149" s="7"/>
      <c r="G149" s="41"/>
      <c r="H149" s="6"/>
      <c r="I149" s="41"/>
      <c r="J149" s="41" t="b">
        <f t="shared" si="2"/>
        <v>0</v>
      </c>
    </row>
    <row r="150" spans="1:10" x14ac:dyDescent="0.2">
      <c r="A150" s="4">
        <v>142</v>
      </c>
      <c r="B150" s="85"/>
      <c r="C150" s="5"/>
      <c r="D150" s="5"/>
      <c r="E150" s="6"/>
      <c r="F150" s="7"/>
      <c r="G150" s="41"/>
      <c r="H150" s="6"/>
      <c r="I150" s="41"/>
      <c r="J150" s="41" t="b">
        <f t="shared" si="2"/>
        <v>0</v>
      </c>
    </row>
    <row r="151" spans="1:10" x14ac:dyDescent="0.2">
      <c r="A151" s="4">
        <v>143</v>
      </c>
      <c r="B151" s="85"/>
      <c r="C151" s="5"/>
      <c r="D151" s="5"/>
      <c r="E151" s="6"/>
      <c r="F151" s="7"/>
      <c r="G151" s="41"/>
      <c r="H151" s="6"/>
      <c r="I151" s="41"/>
      <c r="J151" s="41" t="b">
        <f t="shared" si="2"/>
        <v>0</v>
      </c>
    </row>
    <row r="152" spans="1:10" x14ac:dyDescent="0.2">
      <c r="A152" s="4">
        <v>144</v>
      </c>
      <c r="B152" s="85"/>
      <c r="C152" s="5"/>
      <c r="D152" s="5"/>
      <c r="E152" s="6"/>
      <c r="F152" s="7"/>
      <c r="G152" s="41"/>
      <c r="H152" s="6"/>
      <c r="I152" s="41"/>
      <c r="J152" s="41" t="b">
        <f t="shared" si="2"/>
        <v>0</v>
      </c>
    </row>
    <row r="153" spans="1:10" x14ac:dyDescent="0.2">
      <c r="A153" s="4">
        <v>145</v>
      </c>
      <c r="B153" s="85"/>
      <c r="C153" s="5"/>
      <c r="D153" s="5"/>
      <c r="E153" s="6"/>
      <c r="F153" s="7"/>
      <c r="G153" s="41"/>
      <c r="H153" s="6"/>
      <c r="I153" s="41"/>
      <c r="J153" s="41" t="b">
        <f t="shared" si="2"/>
        <v>0</v>
      </c>
    </row>
    <row r="154" spans="1:10" x14ac:dyDescent="0.2">
      <c r="A154" s="4">
        <v>146</v>
      </c>
      <c r="B154" s="85"/>
      <c r="C154" s="5"/>
      <c r="D154" s="5"/>
      <c r="E154" s="6"/>
      <c r="F154" s="7"/>
      <c r="G154" s="41"/>
      <c r="H154" s="6"/>
      <c r="I154" s="41"/>
      <c r="J154" s="41" t="b">
        <f t="shared" si="2"/>
        <v>0</v>
      </c>
    </row>
    <row r="155" spans="1:10" x14ac:dyDescent="0.2">
      <c r="A155" s="4">
        <v>147</v>
      </c>
      <c r="B155" s="85"/>
      <c r="C155" s="5"/>
      <c r="D155" s="5"/>
      <c r="E155" s="6"/>
      <c r="F155" s="7"/>
      <c r="G155" s="41"/>
      <c r="H155" s="6"/>
      <c r="I155" s="41"/>
      <c r="J155" s="41" t="b">
        <f t="shared" si="2"/>
        <v>0</v>
      </c>
    </row>
    <row r="156" spans="1:10" x14ac:dyDescent="0.2">
      <c r="A156" s="4">
        <v>148</v>
      </c>
      <c r="B156" s="85"/>
      <c r="C156" s="5"/>
      <c r="D156" s="5"/>
      <c r="E156" s="6"/>
      <c r="F156" s="7"/>
      <c r="G156" s="41"/>
      <c r="H156" s="6"/>
      <c r="I156" s="41"/>
      <c r="J156" s="41" t="b">
        <f t="shared" si="2"/>
        <v>0</v>
      </c>
    </row>
    <row r="157" spans="1:10" x14ac:dyDescent="0.2">
      <c r="A157" s="4">
        <v>149</v>
      </c>
      <c r="B157" s="85"/>
      <c r="C157" s="5"/>
      <c r="D157" s="5"/>
      <c r="E157" s="6"/>
      <c r="F157" s="7"/>
      <c r="G157" s="41"/>
      <c r="H157" s="6"/>
      <c r="I157" s="41"/>
      <c r="J157" s="41" t="b">
        <f t="shared" si="2"/>
        <v>0</v>
      </c>
    </row>
    <row r="158" spans="1:10" x14ac:dyDescent="0.2">
      <c r="A158" s="4">
        <v>150</v>
      </c>
      <c r="B158" s="85"/>
      <c r="C158" s="5"/>
      <c r="D158" s="5"/>
      <c r="E158" s="6"/>
      <c r="F158" s="7"/>
      <c r="G158" s="41"/>
      <c r="H158" s="6"/>
      <c r="I158" s="41"/>
      <c r="J158" s="41" t="b">
        <f t="shared" si="2"/>
        <v>0</v>
      </c>
    </row>
    <row r="159" spans="1:10" x14ac:dyDescent="0.2">
      <c r="A159" s="4">
        <v>151</v>
      </c>
      <c r="B159" s="85"/>
      <c r="C159" s="5"/>
      <c r="D159" s="5"/>
      <c r="E159" s="6"/>
      <c r="F159" s="7"/>
      <c r="G159" s="41"/>
      <c r="H159" s="6"/>
      <c r="I159" s="41"/>
      <c r="J159" s="41" t="b">
        <f t="shared" si="2"/>
        <v>0</v>
      </c>
    </row>
    <row r="160" spans="1:10" x14ac:dyDescent="0.2">
      <c r="A160" s="4">
        <v>152</v>
      </c>
      <c r="B160" s="85"/>
      <c r="C160" s="5"/>
      <c r="D160" s="5"/>
      <c r="E160" s="6"/>
      <c r="F160" s="7"/>
      <c r="G160" s="41"/>
      <c r="H160" s="6"/>
      <c r="I160" s="41"/>
      <c r="J160" s="41" t="b">
        <f t="shared" si="2"/>
        <v>0</v>
      </c>
    </row>
    <row r="161" spans="1:10" x14ac:dyDescent="0.2">
      <c r="A161" s="4">
        <v>153</v>
      </c>
      <c r="B161" s="85"/>
      <c r="C161" s="5"/>
      <c r="D161" s="5"/>
      <c r="E161" s="6"/>
      <c r="F161" s="7"/>
      <c r="G161" s="41"/>
      <c r="H161" s="6"/>
      <c r="I161" s="41"/>
      <c r="J161" s="41" t="b">
        <f t="shared" si="2"/>
        <v>0</v>
      </c>
    </row>
    <row r="162" spans="1:10" x14ac:dyDescent="0.2">
      <c r="A162" s="4">
        <v>154</v>
      </c>
      <c r="B162" s="85"/>
      <c r="C162" s="5"/>
      <c r="D162" s="5"/>
      <c r="E162" s="6"/>
      <c r="F162" s="7"/>
      <c r="G162" s="41"/>
      <c r="H162" s="6"/>
      <c r="I162" s="41"/>
      <c r="J162" s="41" t="b">
        <f t="shared" si="2"/>
        <v>0</v>
      </c>
    </row>
    <row r="163" spans="1:10" x14ac:dyDescent="0.2">
      <c r="A163" s="4">
        <v>155</v>
      </c>
      <c r="B163" s="85"/>
      <c r="C163" s="5"/>
      <c r="D163" s="5"/>
      <c r="E163" s="6"/>
      <c r="F163" s="7"/>
      <c r="G163" s="41"/>
      <c r="H163" s="6"/>
      <c r="I163" s="41"/>
      <c r="J163" s="41" t="b">
        <f t="shared" si="2"/>
        <v>0</v>
      </c>
    </row>
    <row r="164" spans="1:10" x14ac:dyDescent="0.2">
      <c r="A164" s="4">
        <v>156</v>
      </c>
      <c r="B164" s="85"/>
      <c r="C164" s="5"/>
      <c r="D164" s="5"/>
      <c r="E164" s="6"/>
      <c r="F164" s="7"/>
      <c r="G164" s="41"/>
      <c r="H164" s="6"/>
      <c r="I164" s="41"/>
      <c r="J164" s="41" t="b">
        <f t="shared" si="2"/>
        <v>0</v>
      </c>
    </row>
    <row r="165" spans="1:10" x14ac:dyDescent="0.2">
      <c r="A165" s="4">
        <v>157</v>
      </c>
      <c r="B165" s="85"/>
      <c r="C165" s="5"/>
      <c r="D165" s="5"/>
      <c r="E165" s="6"/>
      <c r="F165" s="7"/>
      <c r="G165" s="41"/>
      <c r="H165" s="6"/>
      <c r="I165" s="41"/>
      <c r="J165" s="41" t="b">
        <f t="shared" si="2"/>
        <v>0</v>
      </c>
    </row>
    <row r="166" spans="1:10" x14ac:dyDescent="0.2">
      <c r="A166" s="4">
        <v>158</v>
      </c>
      <c r="B166" s="85"/>
      <c r="C166" s="5"/>
      <c r="D166" s="5"/>
      <c r="E166" s="6"/>
      <c r="F166" s="7"/>
      <c r="G166" s="41"/>
      <c r="H166" s="6"/>
      <c r="I166" s="41"/>
      <c r="J166" s="41" t="b">
        <f t="shared" si="2"/>
        <v>0</v>
      </c>
    </row>
    <row r="167" spans="1:10" x14ac:dyDescent="0.2">
      <c r="A167" s="4">
        <v>159</v>
      </c>
      <c r="B167" s="85"/>
      <c r="C167" s="5"/>
      <c r="D167" s="5"/>
      <c r="E167" s="6"/>
      <c r="F167" s="7"/>
      <c r="G167" s="41"/>
      <c r="H167" s="6"/>
      <c r="I167" s="41"/>
      <c r="J167" s="41" t="b">
        <f t="shared" si="2"/>
        <v>0</v>
      </c>
    </row>
    <row r="168" spans="1:10" x14ac:dyDescent="0.2">
      <c r="A168" s="4">
        <v>160</v>
      </c>
      <c r="B168" s="85"/>
      <c r="C168" s="5"/>
      <c r="D168" s="5"/>
      <c r="E168" s="6"/>
      <c r="F168" s="7"/>
      <c r="G168" s="41"/>
      <c r="H168" s="6"/>
      <c r="I168" s="41"/>
      <c r="J168" s="41" t="b">
        <f t="shared" si="2"/>
        <v>0</v>
      </c>
    </row>
    <row r="169" spans="1:10" x14ac:dyDescent="0.2">
      <c r="A169" s="4">
        <v>161</v>
      </c>
      <c r="B169" s="85"/>
      <c r="C169" s="5"/>
      <c r="D169" s="5"/>
      <c r="E169" s="6"/>
      <c r="F169" s="7"/>
      <c r="G169" s="41"/>
      <c r="H169" s="6"/>
      <c r="I169" s="41"/>
      <c r="J169" s="41" t="b">
        <f t="shared" si="2"/>
        <v>0</v>
      </c>
    </row>
    <row r="170" spans="1:10" x14ac:dyDescent="0.2">
      <c r="A170" s="4">
        <v>162</v>
      </c>
      <c r="B170" s="85"/>
      <c r="C170" s="5"/>
      <c r="D170" s="5"/>
      <c r="E170" s="6"/>
      <c r="F170" s="7"/>
      <c r="G170" s="41"/>
      <c r="H170" s="6"/>
      <c r="I170" s="41"/>
      <c r="J170" s="41" t="b">
        <f t="shared" si="2"/>
        <v>0</v>
      </c>
    </row>
    <row r="171" spans="1:10" x14ac:dyDescent="0.2">
      <c r="A171" s="4">
        <v>163</v>
      </c>
      <c r="B171" s="85"/>
      <c r="C171" s="5"/>
      <c r="D171" s="5"/>
      <c r="E171" s="6"/>
      <c r="F171" s="7"/>
      <c r="G171" s="41"/>
      <c r="H171" s="6"/>
      <c r="I171" s="41"/>
      <c r="J171" s="41" t="b">
        <f t="shared" si="2"/>
        <v>0</v>
      </c>
    </row>
    <row r="172" spans="1:10" x14ac:dyDescent="0.2">
      <c r="A172" s="4">
        <v>164</v>
      </c>
      <c r="B172" s="85"/>
      <c r="C172" s="5"/>
      <c r="D172" s="5"/>
      <c r="E172" s="6"/>
      <c r="F172" s="7"/>
      <c r="G172" s="41"/>
      <c r="H172" s="6"/>
      <c r="I172" s="41"/>
      <c r="J172" s="41" t="b">
        <f t="shared" si="2"/>
        <v>0</v>
      </c>
    </row>
    <row r="173" spans="1:10" x14ac:dyDescent="0.2">
      <c r="A173" s="4">
        <v>165</v>
      </c>
      <c r="B173" s="85"/>
      <c r="C173" s="5"/>
      <c r="D173" s="5"/>
      <c r="E173" s="6"/>
      <c r="F173" s="7"/>
      <c r="G173" s="41"/>
      <c r="H173" s="6"/>
      <c r="I173" s="41"/>
      <c r="J173" s="41" t="b">
        <f t="shared" si="2"/>
        <v>0</v>
      </c>
    </row>
    <row r="174" spans="1:10" x14ac:dyDescent="0.2">
      <c r="A174" s="4">
        <v>166</v>
      </c>
      <c r="B174" s="85"/>
      <c r="C174" s="5"/>
      <c r="D174" s="5"/>
      <c r="E174" s="6"/>
      <c r="F174" s="7"/>
      <c r="G174" s="41"/>
      <c r="H174" s="6"/>
      <c r="I174" s="41"/>
      <c r="J174" s="41" t="b">
        <f t="shared" si="2"/>
        <v>0</v>
      </c>
    </row>
    <row r="175" spans="1:10" x14ac:dyDescent="0.2">
      <c r="A175" s="4">
        <v>167</v>
      </c>
      <c r="B175" s="85"/>
      <c r="C175" s="5"/>
      <c r="D175" s="5"/>
      <c r="E175" s="6"/>
      <c r="F175" s="7"/>
      <c r="G175" s="41"/>
      <c r="H175" s="6"/>
      <c r="I175" s="41"/>
      <c r="J175" s="41" t="b">
        <f t="shared" si="2"/>
        <v>0</v>
      </c>
    </row>
    <row r="176" spans="1:10" x14ac:dyDescent="0.2">
      <c r="A176" s="4">
        <v>168</v>
      </c>
      <c r="B176" s="85"/>
      <c r="C176" s="5"/>
      <c r="D176" s="5"/>
      <c r="E176" s="6"/>
      <c r="F176" s="7"/>
      <c r="G176" s="41"/>
      <c r="H176" s="6"/>
      <c r="I176" s="41"/>
      <c r="J176" s="41" t="b">
        <f t="shared" si="2"/>
        <v>0</v>
      </c>
    </row>
    <row r="177" spans="1:10" x14ac:dyDescent="0.2">
      <c r="A177" s="4">
        <v>169</v>
      </c>
      <c r="B177" s="85"/>
      <c r="C177" s="5"/>
      <c r="D177" s="5"/>
      <c r="E177" s="6"/>
      <c r="F177" s="7"/>
      <c r="G177" s="41"/>
      <c r="H177" s="6"/>
      <c r="I177" s="41"/>
      <c r="J177" s="41" t="b">
        <f t="shared" si="2"/>
        <v>0</v>
      </c>
    </row>
    <row r="178" spans="1:10" x14ac:dyDescent="0.2">
      <c r="A178" s="4">
        <v>170</v>
      </c>
      <c r="B178" s="85"/>
      <c r="C178" s="5"/>
      <c r="D178" s="5"/>
      <c r="E178" s="6"/>
      <c r="F178" s="7"/>
      <c r="G178" s="41"/>
      <c r="H178" s="6"/>
      <c r="I178" s="41"/>
      <c r="J178" s="41" t="b">
        <f t="shared" si="2"/>
        <v>0</v>
      </c>
    </row>
    <row r="179" spans="1:10" x14ac:dyDescent="0.2">
      <c r="A179" s="4">
        <v>171</v>
      </c>
      <c r="B179" s="85"/>
      <c r="C179" s="5"/>
      <c r="D179" s="5"/>
      <c r="E179" s="6"/>
      <c r="F179" s="7"/>
      <c r="G179" s="41"/>
      <c r="H179" s="6"/>
      <c r="I179" s="41"/>
      <c r="J179" s="41" t="b">
        <f t="shared" si="2"/>
        <v>0</v>
      </c>
    </row>
    <row r="180" spans="1:10" x14ac:dyDescent="0.2">
      <c r="A180" s="4">
        <v>172</v>
      </c>
      <c r="B180" s="85"/>
      <c r="C180" s="5"/>
      <c r="D180" s="5"/>
      <c r="E180" s="6"/>
      <c r="F180" s="7"/>
      <c r="G180" s="41"/>
      <c r="H180" s="6"/>
      <c r="I180" s="41"/>
      <c r="J180" s="41" t="b">
        <f t="shared" si="2"/>
        <v>0</v>
      </c>
    </row>
    <row r="181" spans="1:10" x14ac:dyDescent="0.2">
      <c r="A181" s="4">
        <v>173</v>
      </c>
      <c r="B181" s="85"/>
      <c r="C181" s="5"/>
      <c r="D181" s="5"/>
      <c r="E181" s="6"/>
      <c r="F181" s="7"/>
      <c r="G181" s="41"/>
      <c r="H181" s="6"/>
      <c r="I181" s="41"/>
      <c r="J181" s="41" t="b">
        <f t="shared" si="2"/>
        <v>0</v>
      </c>
    </row>
    <row r="182" spans="1:10" x14ac:dyDescent="0.2">
      <c r="A182" s="4">
        <v>174</v>
      </c>
      <c r="B182" s="85"/>
      <c r="C182" s="5"/>
      <c r="D182" s="5"/>
      <c r="E182" s="6"/>
      <c r="F182" s="7"/>
      <c r="G182" s="41"/>
      <c r="H182" s="6"/>
      <c r="I182" s="41"/>
      <c r="J182" s="41" t="b">
        <f t="shared" si="2"/>
        <v>0</v>
      </c>
    </row>
    <row r="183" spans="1:10" x14ac:dyDescent="0.2">
      <c r="A183" s="4">
        <v>175</v>
      </c>
      <c r="B183" s="85"/>
      <c r="C183" s="5"/>
      <c r="D183" s="5"/>
      <c r="E183" s="6"/>
      <c r="F183" s="7"/>
      <c r="G183" s="41"/>
      <c r="H183" s="6"/>
      <c r="I183" s="41"/>
      <c r="J183" s="41" t="b">
        <f t="shared" si="2"/>
        <v>0</v>
      </c>
    </row>
    <row r="184" spans="1:10" x14ac:dyDescent="0.2">
      <c r="A184" s="4">
        <v>176</v>
      </c>
      <c r="B184" s="85"/>
      <c r="C184" s="5"/>
      <c r="D184" s="5"/>
      <c r="E184" s="6"/>
      <c r="F184" s="7"/>
      <c r="G184" s="41"/>
      <c r="H184" s="6"/>
      <c r="I184" s="41"/>
      <c r="J184" s="41" t="b">
        <f t="shared" si="2"/>
        <v>0</v>
      </c>
    </row>
    <row r="185" spans="1:10" x14ac:dyDescent="0.2">
      <c r="A185" s="4">
        <v>177</v>
      </c>
      <c r="B185" s="85"/>
      <c r="C185" s="5"/>
      <c r="D185" s="5"/>
      <c r="E185" s="6"/>
      <c r="F185" s="7"/>
      <c r="G185" s="41"/>
      <c r="H185" s="6"/>
      <c r="I185" s="41"/>
      <c r="J185" s="41" t="b">
        <f t="shared" si="2"/>
        <v>0</v>
      </c>
    </row>
    <row r="186" spans="1:10" x14ac:dyDescent="0.2">
      <c r="A186" s="4">
        <v>178</v>
      </c>
      <c r="B186" s="85"/>
      <c r="C186" s="5"/>
      <c r="D186" s="5"/>
      <c r="E186" s="6"/>
      <c r="F186" s="7"/>
      <c r="G186" s="41"/>
      <c r="H186" s="6"/>
      <c r="I186" s="41"/>
      <c r="J186" s="41" t="b">
        <f t="shared" si="2"/>
        <v>0</v>
      </c>
    </row>
    <row r="187" spans="1:10" x14ac:dyDescent="0.2">
      <c r="A187" s="4">
        <v>179</v>
      </c>
      <c r="B187" s="85"/>
      <c r="C187" s="5"/>
      <c r="D187" s="5"/>
      <c r="E187" s="6"/>
      <c r="F187" s="7"/>
      <c r="G187" s="41"/>
      <c r="H187" s="6"/>
      <c r="I187" s="41"/>
      <c r="J187" s="41" t="b">
        <f t="shared" si="2"/>
        <v>0</v>
      </c>
    </row>
    <row r="188" spans="1:10" x14ac:dyDescent="0.2">
      <c r="A188" s="4">
        <v>180</v>
      </c>
      <c r="B188" s="85"/>
      <c r="C188" s="5"/>
      <c r="D188" s="5"/>
      <c r="E188" s="6"/>
      <c r="F188" s="7"/>
      <c r="G188" s="41"/>
      <c r="H188" s="6"/>
      <c r="I188" s="41"/>
      <c r="J188" s="41" t="b">
        <f t="shared" si="2"/>
        <v>0</v>
      </c>
    </row>
    <row r="189" spans="1:10" x14ac:dyDescent="0.2">
      <c r="A189" s="4">
        <v>181</v>
      </c>
      <c r="B189" s="85"/>
      <c r="C189" s="5"/>
      <c r="D189" s="5"/>
      <c r="E189" s="6"/>
      <c r="F189" s="7"/>
      <c r="G189" s="41"/>
      <c r="H189" s="6"/>
      <c r="I189" s="41"/>
      <c r="J189" s="41" t="b">
        <f t="shared" si="2"/>
        <v>0</v>
      </c>
    </row>
    <row r="190" spans="1:10" x14ac:dyDescent="0.2">
      <c r="A190" s="4">
        <v>182</v>
      </c>
      <c r="B190" s="85"/>
      <c r="C190" s="5"/>
      <c r="D190" s="5"/>
      <c r="E190" s="6"/>
      <c r="F190" s="7"/>
      <c r="G190" s="41"/>
      <c r="H190" s="6"/>
      <c r="I190" s="41"/>
      <c r="J190" s="41" t="b">
        <f t="shared" si="2"/>
        <v>0</v>
      </c>
    </row>
    <row r="191" spans="1:10" x14ac:dyDescent="0.2">
      <c r="A191" s="4">
        <v>183</v>
      </c>
      <c r="B191" s="85"/>
      <c r="C191" s="5"/>
      <c r="D191" s="5"/>
      <c r="E191" s="6"/>
      <c r="F191" s="7"/>
      <c r="G191" s="41"/>
      <c r="H191" s="6"/>
      <c r="I191" s="41"/>
      <c r="J191" s="41" t="b">
        <f t="shared" si="2"/>
        <v>0</v>
      </c>
    </row>
    <row r="192" spans="1:10" x14ac:dyDescent="0.2">
      <c r="A192" s="4">
        <v>184</v>
      </c>
      <c r="B192" s="85"/>
      <c r="C192" s="5"/>
      <c r="D192" s="5"/>
      <c r="E192" s="6"/>
      <c r="F192" s="7"/>
      <c r="G192" s="41"/>
      <c r="H192" s="6"/>
      <c r="I192" s="41"/>
      <c r="J192" s="41" t="b">
        <f t="shared" si="2"/>
        <v>0</v>
      </c>
    </row>
    <row r="193" spans="1:10" x14ac:dyDescent="0.2">
      <c r="A193" s="4">
        <v>185</v>
      </c>
      <c r="B193" s="85"/>
      <c r="C193" s="5"/>
      <c r="D193" s="5"/>
      <c r="E193" s="6"/>
      <c r="F193" s="7"/>
      <c r="G193" s="41"/>
      <c r="H193" s="6"/>
      <c r="I193" s="41"/>
      <c r="J193" s="41" t="b">
        <f t="shared" si="2"/>
        <v>0</v>
      </c>
    </row>
    <row r="194" spans="1:10" x14ac:dyDescent="0.2">
      <c r="A194" s="4">
        <v>186</v>
      </c>
      <c r="B194" s="85"/>
      <c r="C194" s="5"/>
      <c r="D194" s="5"/>
      <c r="E194" s="6"/>
      <c r="F194" s="7"/>
      <c r="G194" s="41"/>
      <c r="H194" s="6"/>
      <c r="I194" s="41"/>
      <c r="J194" s="41" t="b">
        <f t="shared" si="2"/>
        <v>0</v>
      </c>
    </row>
    <row r="195" spans="1:10" x14ac:dyDescent="0.2">
      <c r="A195" s="4">
        <v>187</v>
      </c>
      <c r="B195" s="85"/>
      <c r="C195" s="5"/>
      <c r="D195" s="5"/>
      <c r="E195" s="6"/>
      <c r="F195" s="7"/>
      <c r="G195" s="41"/>
      <c r="H195" s="6"/>
      <c r="I195" s="41"/>
      <c r="J195" s="41" t="b">
        <f t="shared" si="2"/>
        <v>0</v>
      </c>
    </row>
    <row r="196" spans="1:10" x14ac:dyDescent="0.2">
      <c r="A196" s="4">
        <v>188</v>
      </c>
      <c r="B196" s="85"/>
      <c r="C196" s="5"/>
      <c r="D196" s="5"/>
      <c r="E196" s="6"/>
      <c r="F196" s="7"/>
      <c r="G196" s="41"/>
      <c r="H196" s="6"/>
      <c r="I196" s="41"/>
      <c r="J196" s="41" t="b">
        <f t="shared" si="2"/>
        <v>0</v>
      </c>
    </row>
    <row r="197" spans="1:10" x14ac:dyDescent="0.2">
      <c r="A197" s="4">
        <v>189</v>
      </c>
      <c r="B197" s="85"/>
      <c r="C197" s="5"/>
      <c r="D197" s="5"/>
      <c r="E197" s="6"/>
      <c r="F197" s="7"/>
      <c r="G197" s="41"/>
      <c r="H197" s="6"/>
      <c r="I197" s="41"/>
      <c r="J197" s="41" t="b">
        <f t="shared" si="2"/>
        <v>0</v>
      </c>
    </row>
    <row r="198" spans="1:10" x14ac:dyDescent="0.2">
      <c r="A198" s="4">
        <v>190</v>
      </c>
      <c r="B198" s="85"/>
      <c r="C198" s="5"/>
      <c r="D198" s="5"/>
      <c r="E198" s="6"/>
      <c r="F198" s="7"/>
      <c r="G198" s="41"/>
      <c r="H198" s="6"/>
      <c r="I198" s="41"/>
      <c r="J198" s="41" t="b">
        <f t="shared" si="2"/>
        <v>0</v>
      </c>
    </row>
    <row r="199" spans="1:10" x14ac:dyDescent="0.2">
      <c r="A199" s="4">
        <v>191</v>
      </c>
      <c r="B199" s="85"/>
      <c r="C199" s="5"/>
      <c r="D199" s="5"/>
      <c r="E199" s="6"/>
      <c r="F199" s="7"/>
      <c r="G199" s="41"/>
      <c r="H199" s="6"/>
      <c r="I199" s="41"/>
      <c r="J199" s="41" t="b">
        <f t="shared" si="2"/>
        <v>0</v>
      </c>
    </row>
    <row r="200" spans="1:10" x14ac:dyDescent="0.2">
      <c r="A200" s="4">
        <v>192</v>
      </c>
      <c r="B200" s="85"/>
      <c r="C200" s="5"/>
      <c r="D200" s="5"/>
      <c r="E200" s="6"/>
      <c r="F200" s="7"/>
      <c r="G200" s="41"/>
      <c r="H200" s="6"/>
      <c r="I200" s="41"/>
      <c r="J200" s="41" t="b">
        <f t="shared" si="2"/>
        <v>0</v>
      </c>
    </row>
    <row r="201" spans="1:10" x14ac:dyDescent="0.2">
      <c r="A201" s="4">
        <v>193</v>
      </c>
      <c r="B201" s="85"/>
      <c r="C201" s="5"/>
      <c r="D201" s="5"/>
      <c r="E201" s="6"/>
      <c r="F201" s="7"/>
      <c r="G201" s="41"/>
      <c r="H201" s="6"/>
      <c r="I201" s="41"/>
      <c r="J201" s="41" t="b">
        <f t="shared" si="2"/>
        <v>0</v>
      </c>
    </row>
    <row r="202" spans="1:10" x14ac:dyDescent="0.2">
      <c r="A202" s="4">
        <v>194</v>
      </c>
      <c r="B202" s="85"/>
      <c r="C202" s="5"/>
      <c r="D202" s="5"/>
      <c r="E202" s="6"/>
      <c r="F202" s="7"/>
      <c r="G202" s="41"/>
      <c r="H202" s="6"/>
      <c r="I202" s="41"/>
      <c r="J202" s="41" t="b">
        <f t="shared" ref="J202:J208" si="3">IF(H202=$M$3,G202,IF(H202=$M$4,-I202))</f>
        <v>0</v>
      </c>
    </row>
    <row r="203" spans="1:10" x14ac:dyDescent="0.2">
      <c r="A203" s="4">
        <v>195</v>
      </c>
      <c r="B203" s="85"/>
      <c r="C203" s="5"/>
      <c r="D203" s="5"/>
      <c r="E203" s="6"/>
      <c r="F203" s="7"/>
      <c r="G203" s="41"/>
      <c r="H203" s="6"/>
      <c r="I203" s="41"/>
      <c r="J203" s="41" t="b">
        <f t="shared" si="3"/>
        <v>0</v>
      </c>
    </row>
    <row r="204" spans="1:10" x14ac:dyDescent="0.2">
      <c r="A204" s="4">
        <v>196</v>
      </c>
      <c r="B204" s="85"/>
      <c r="C204" s="5"/>
      <c r="D204" s="5"/>
      <c r="E204" s="6"/>
      <c r="F204" s="7"/>
      <c r="G204" s="41"/>
      <c r="H204" s="6"/>
      <c r="I204" s="41"/>
      <c r="J204" s="41" t="b">
        <f t="shared" si="3"/>
        <v>0</v>
      </c>
    </row>
    <row r="205" spans="1:10" x14ac:dyDescent="0.2">
      <c r="A205" s="4">
        <v>197</v>
      </c>
      <c r="B205" s="85"/>
      <c r="C205" s="5"/>
      <c r="D205" s="5"/>
      <c r="E205" s="6"/>
      <c r="F205" s="7"/>
      <c r="G205" s="41"/>
      <c r="H205" s="6"/>
      <c r="I205" s="41"/>
      <c r="J205" s="41" t="b">
        <f t="shared" si="3"/>
        <v>0</v>
      </c>
    </row>
    <row r="206" spans="1:10" x14ac:dyDescent="0.2">
      <c r="A206" s="4">
        <v>198</v>
      </c>
      <c r="B206" s="85"/>
      <c r="C206" s="5"/>
      <c r="D206" s="5"/>
      <c r="E206" s="6"/>
      <c r="F206" s="7"/>
      <c r="G206" s="41"/>
      <c r="H206" s="6"/>
      <c r="I206" s="41"/>
      <c r="J206" s="41" t="b">
        <f t="shared" si="3"/>
        <v>0</v>
      </c>
    </row>
    <row r="207" spans="1:10" x14ac:dyDescent="0.2">
      <c r="A207" s="4">
        <v>199</v>
      </c>
      <c r="B207" s="85"/>
      <c r="C207" s="5"/>
      <c r="D207" s="5"/>
      <c r="E207" s="6"/>
      <c r="F207" s="7"/>
      <c r="G207" s="41"/>
      <c r="H207" s="6"/>
      <c r="I207" s="41"/>
      <c r="J207" s="41" t="b">
        <f t="shared" si="3"/>
        <v>0</v>
      </c>
    </row>
    <row r="208" spans="1:10" x14ac:dyDescent="0.2">
      <c r="A208" s="4">
        <v>200</v>
      </c>
      <c r="B208" s="85"/>
      <c r="C208" s="5"/>
      <c r="D208" s="5"/>
      <c r="E208" s="6"/>
      <c r="F208" s="7"/>
      <c r="G208" s="41"/>
      <c r="H208" s="6"/>
      <c r="I208" s="41"/>
      <c r="J208" s="41" t="b">
        <f t="shared" si="3"/>
        <v>0</v>
      </c>
    </row>
  </sheetData>
  <autoFilter ref="A8:J208" xr:uid="{00000000-0009-0000-0000-000009000000}"/>
  <mergeCells count="2">
    <mergeCell ref="A1:E1"/>
    <mergeCell ref="I1:J1"/>
  </mergeCells>
  <conditionalFormatting sqref="J8:J1048576">
    <cfRule type="cellIs" dxfId="164" priority="3" operator="equal">
      <formula>"ERROR"</formula>
    </cfRule>
  </conditionalFormatting>
  <conditionalFormatting sqref="D4">
    <cfRule type="cellIs" dxfId="163" priority="1" operator="lessThanOrEqual">
      <formula>0</formula>
    </cfRule>
    <cfRule type="cellIs" dxfId="162" priority="2" operator="greaterThan">
      <formula>0</formula>
    </cfRule>
  </conditionalFormatting>
  <dataValidations count="2">
    <dataValidation type="list" allowBlank="1" showInputMessage="1" showErrorMessage="1" sqref="H9:H1048576" xr:uid="{B26B7598-B389-2542-8126-0FF2A2B86B9C}">
      <formula1>$M$3:$M$4</formula1>
    </dataValidation>
    <dataValidation type="list" allowBlank="1" showInputMessage="1" showErrorMessage="1" sqref="C10:C1048576" xr:uid="{FB4A9366-48F2-A149-BBC7-9B96573C77B1}">
      <formula1>$P$3:$P$5</formula1>
    </dataValidation>
  </dataValidations>
  <hyperlinks>
    <hyperlink ref="I1:J1" location="'Master Sheet'!A1" display="GO BACK TO MASTER SHEET" xr:uid="{C7BD4324-8B4A-414A-BC94-478335E94C72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errorTitle="Invalid selection" error="Select a value from the list." promptTitle="Selection" prompt="Pick from the dropdown list." xr:uid="{CC2583F9-E58D-5A43-A939-43581CF6C7A5}">
          <x14:formula1>
            <xm:f>'Master Sheet'!$AJ$5:$AJ$6</xm:f>
          </x14:formula1>
          <xm:sqref>E10:E1048576</xm:sqref>
        </x14:dataValidation>
        <x14:dataValidation type="list" allowBlank="1" errorTitle="Invalid selection" error="Select a value from the list." promptTitle="Selection" prompt="Pick from the dropdown list." xr:uid="{C7EF393F-DD10-1B49-AF05-4B7734F9163A}">
          <x14:formula1>
            <xm:f>'Master Sheet'!$AE$5:$AE$28</xm:f>
          </x14:formula1>
          <xm:sqref>E9</xm:sqref>
        </x14:dataValidation>
        <x14:dataValidation type="list" allowBlank="1" showInputMessage="1" showErrorMessage="1" xr:uid="{9696AA0A-0CAB-1C43-9810-E5230D85E190}">
          <x14:formula1>
            <xm:f>'Master Sheet'!$AT$5:$AT$59</xm:f>
          </x14:formula1>
          <xm:sqref>C9:D9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2161B-4CAE-814B-9FBC-4EB31A827C09}">
  <sheetPr codeName="Sheet8"/>
  <dimension ref="A1:P208"/>
  <sheetViews>
    <sheetView showGridLines="0" workbookViewId="0">
      <pane ySplit="8" topLeftCell="A17" activePane="bottomLeft" state="frozen"/>
      <selection pane="bottomLeft" activeCell="C4" sqref="C4:D4"/>
    </sheetView>
  </sheetViews>
  <sheetFormatPr baseColWidth="10" defaultColWidth="8.83203125" defaultRowHeight="15" x14ac:dyDescent="0.2"/>
  <cols>
    <col min="1" max="1" width="10" customWidth="1"/>
    <col min="2" max="4" width="12" customWidth="1"/>
    <col min="5" max="6" width="13" customWidth="1"/>
    <col min="7" max="7" width="13" style="42" customWidth="1"/>
    <col min="8" max="8" width="23.83203125" bestFit="1" customWidth="1"/>
    <col min="9" max="9" width="14.6640625" style="42" bestFit="1" customWidth="1"/>
    <col min="10" max="10" width="16" style="42" customWidth="1"/>
  </cols>
  <sheetData>
    <row r="1" spans="1:16" ht="24" customHeight="1" x14ac:dyDescent="0.2">
      <c r="A1" s="86" t="str">
        <f ca="1">VLOOKUP(A2,'Master Sheet'!T5:U7,2)</f>
        <v>Sher Khan</v>
      </c>
      <c r="B1" s="86"/>
      <c r="C1" s="86"/>
      <c r="D1" s="86"/>
      <c r="E1" s="86"/>
      <c r="F1" s="49"/>
      <c r="G1" s="49"/>
      <c r="I1" s="87" t="s">
        <v>202</v>
      </c>
      <c r="J1" s="87"/>
    </row>
    <row r="2" spans="1:16" ht="20" thickBot="1" x14ac:dyDescent="0.3">
      <c r="A2" s="48" t="str" cm="1">
        <f t="array" aca="1" ref="A2" ca="1">MID(CELL("filename",A1),FIND("]",CELL("filename",A1))+1,99)</f>
        <v>L002</v>
      </c>
      <c r="G2"/>
      <c r="I2"/>
      <c r="J2"/>
    </row>
    <row r="3" spans="1:16" ht="16" thickBot="1" x14ac:dyDescent="0.25">
      <c r="A3" s="3"/>
      <c r="G3"/>
      <c r="I3"/>
      <c r="J3"/>
      <c r="M3" s="43" t="s">
        <v>197</v>
      </c>
      <c r="N3" s="44"/>
      <c r="P3" s="19" t="s">
        <v>208</v>
      </c>
    </row>
    <row r="4" spans="1:16" ht="16" thickBot="1" x14ac:dyDescent="0.25">
      <c r="A4" s="3"/>
      <c r="C4" s="20" t="s">
        <v>201</v>
      </c>
      <c r="D4" s="51">
        <f>SUM(J9:J1048576)</f>
        <v>0</v>
      </c>
      <c r="G4"/>
      <c r="I4"/>
      <c r="J4"/>
      <c r="M4" s="30" t="s">
        <v>198</v>
      </c>
      <c r="N4" s="45"/>
      <c r="P4" s="18" t="s">
        <v>209</v>
      </c>
    </row>
    <row r="5" spans="1:16" ht="16" thickBot="1" x14ac:dyDescent="0.25">
      <c r="A5" s="3"/>
      <c r="G5"/>
      <c r="I5"/>
      <c r="J5"/>
      <c r="P5" s="9" t="s">
        <v>210</v>
      </c>
    </row>
    <row r="6" spans="1:16" x14ac:dyDescent="0.2">
      <c r="A6" s="3"/>
      <c r="G6"/>
      <c r="I6"/>
      <c r="J6"/>
    </row>
    <row r="7" spans="1:16" x14ac:dyDescent="0.2">
      <c r="A7" s="3"/>
      <c r="G7"/>
      <c r="I7"/>
      <c r="J7"/>
    </row>
    <row r="8" spans="1:16" ht="36" customHeight="1" x14ac:dyDescent="0.2">
      <c r="A8" s="1" t="s">
        <v>70</v>
      </c>
      <c r="B8" s="1" t="s">
        <v>71</v>
      </c>
      <c r="C8" s="1" t="s">
        <v>205</v>
      </c>
      <c r="D8" s="1" t="s">
        <v>206</v>
      </c>
      <c r="E8" s="1" t="s">
        <v>78</v>
      </c>
      <c r="F8" s="1" t="s">
        <v>74</v>
      </c>
      <c r="G8" s="1" t="s">
        <v>212</v>
      </c>
      <c r="H8" s="1" t="s">
        <v>81</v>
      </c>
      <c r="I8" s="1" t="s">
        <v>211</v>
      </c>
      <c r="J8" s="1" t="s">
        <v>196</v>
      </c>
    </row>
    <row r="9" spans="1:16" x14ac:dyDescent="0.2">
      <c r="A9" s="4">
        <v>1</v>
      </c>
      <c r="B9" s="5"/>
      <c r="C9" s="5"/>
      <c r="D9" s="5"/>
      <c r="E9" s="6"/>
      <c r="F9" s="7"/>
      <c r="G9" s="41"/>
      <c r="H9" s="6"/>
      <c r="I9" s="41"/>
      <c r="J9" s="41" t="b">
        <f>IF(H9=$M$3,G9,IF(H9=$M$4,-I9))</f>
        <v>0</v>
      </c>
    </row>
    <row r="10" spans="1:16" x14ac:dyDescent="0.2">
      <c r="A10" s="4">
        <v>2</v>
      </c>
      <c r="B10" s="5"/>
      <c r="C10" s="5"/>
      <c r="D10" s="5"/>
      <c r="E10" s="6"/>
      <c r="F10" s="7"/>
      <c r="G10" s="41"/>
      <c r="H10" s="6"/>
      <c r="I10" s="41"/>
      <c r="J10" s="41" t="b">
        <f t="shared" ref="J10:J73" si="0">IF(H10=$M$3,G10,IF(H10=$M$4,-I10))</f>
        <v>0</v>
      </c>
    </row>
    <row r="11" spans="1:16" x14ac:dyDescent="0.2">
      <c r="A11" s="4">
        <v>3</v>
      </c>
      <c r="B11" s="5"/>
      <c r="C11" s="5"/>
      <c r="D11" s="5"/>
      <c r="E11" s="6"/>
      <c r="F11" s="7"/>
      <c r="G11" s="41"/>
      <c r="H11" s="6"/>
      <c r="I11" s="41"/>
      <c r="J11" s="41" t="b">
        <f t="shared" si="0"/>
        <v>0</v>
      </c>
    </row>
    <row r="12" spans="1:16" x14ac:dyDescent="0.2">
      <c r="A12" s="4">
        <v>4</v>
      </c>
      <c r="B12" s="5"/>
      <c r="C12" s="5"/>
      <c r="D12" s="5"/>
      <c r="E12" s="6"/>
      <c r="F12" s="7"/>
      <c r="G12" s="41"/>
      <c r="H12" s="6"/>
      <c r="I12" s="41"/>
      <c r="J12" s="41" t="b">
        <f t="shared" si="0"/>
        <v>0</v>
      </c>
    </row>
    <row r="13" spans="1:16" x14ac:dyDescent="0.2">
      <c r="A13" s="4">
        <v>5</v>
      </c>
      <c r="B13" s="5"/>
      <c r="C13" s="5"/>
      <c r="D13" s="5"/>
      <c r="E13" s="6"/>
      <c r="F13" s="7"/>
      <c r="G13" s="41"/>
      <c r="H13" s="6"/>
      <c r="I13" s="41"/>
      <c r="J13" s="41" t="b">
        <f t="shared" si="0"/>
        <v>0</v>
      </c>
    </row>
    <row r="14" spans="1:16" x14ac:dyDescent="0.2">
      <c r="A14" s="4">
        <v>6</v>
      </c>
      <c r="B14" s="5"/>
      <c r="C14" s="5"/>
      <c r="D14" s="5"/>
      <c r="E14" s="6"/>
      <c r="F14" s="7"/>
      <c r="G14" s="41"/>
      <c r="H14" s="6"/>
      <c r="I14" s="41"/>
      <c r="J14" s="41" t="b">
        <f t="shared" si="0"/>
        <v>0</v>
      </c>
    </row>
    <row r="15" spans="1:16" x14ac:dyDescent="0.2">
      <c r="A15" s="4">
        <v>7</v>
      </c>
      <c r="B15" s="5"/>
      <c r="C15" s="5"/>
      <c r="D15" s="5"/>
      <c r="E15" s="6"/>
      <c r="F15" s="7"/>
      <c r="G15" s="41"/>
      <c r="H15" s="6"/>
      <c r="I15" s="41"/>
      <c r="J15" s="41" t="b">
        <f t="shared" si="0"/>
        <v>0</v>
      </c>
    </row>
    <row r="16" spans="1:16" x14ac:dyDescent="0.2">
      <c r="A16" s="4">
        <v>8</v>
      </c>
      <c r="B16" s="5"/>
      <c r="C16" s="5"/>
      <c r="D16" s="5"/>
      <c r="E16" s="6"/>
      <c r="F16" s="7"/>
      <c r="G16" s="41"/>
      <c r="H16" s="6"/>
      <c r="I16" s="41"/>
      <c r="J16" s="41" t="b">
        <f t="shared" si="0"/>
        <v>0</v>
      </c>
    </row>
    <row r="17" spans="1:10" x14ac:dyDescent="0.2">
      <c r="A17" s="4">
        <v>9</v>
      </c>
      <c r="B17" s="5"/>
      <c r="C17" s="5"/>
      <c r="D17" s="5"/>
      <c r="E17" s="6"/>
      <c r="F17" s="7"/>
      <c r="G17" s="41"/>
      <c r="H17" s="6"/>
      <c r="I17" s="41"/>
      <c r="J17" s="41" t="b">
        <f t="shared" si="0"/>
        <v>0</v>
      </c>
    </row>
    <row r="18" spans="1:10" x14ac:dyDescent="0.2">
      <c r="A18" s="4">
        <v>10</v>
      </c>
      <c r="B18" s="5"/>
      <c r="C18" s="5"/>
      <c r="D18" s="5"/>
      <c r="E18" s="6"/>
      <c r="F18" s="7"/>
      <c r="G18" s="41"/>
      <c r="H18" s="6"/>
      <c r="I18" s="41"/>
      <c r="J18" s="41" t="b">
        <f t="shared" si="0"/>
        <v>0</v>
      </c>
    </row>
    <row r="19" spans="1:10" x14ac:dyDescent="0.2">
      <c r="A19" s="4">
        <v>11</v>
      </c>
      <c r="B19" s="5"/>
      <c r="C19" s="5"/>
      <c r="D19" s="5"/>
      <c r="E19" s="6"/>
      <c r="F19" s="7"/>
      <c r="G19" s="41"/>
      <c r="H19" s="6"/>
      <c r="I19" s="41"/>
      <c r="J19" s="41" t="b">
        <f t="shared" si="0"/>
        <v>0</v>
      </c>
    </row>
    <row r="20" spans="1:10" x14ac:dyDescent="0.2">
      <c r="A20" s="4">
        <v>12</v>
      </c>
      <c r="B20" s="5"/>
      <c r="C20" s="5"/>
      <c r="D20" s="5"/>
      <c r="E20" s="6"/>
      <c r="F20" s="7"/>
      <c r="G20" s="41"/>
      <c r="H20" s="6"/>
      <c r="I20" s="41"/>
      <c r="J20" s="41" t="b">
        <f t="shared" si="0"/>
        <v>0</v>
      </c>
    </row>
    <row r="21" spans="1:10" x14ac:dyDescent="0.2">
      <c r="A21" s="4">
        <v>13</v>
      </c>
      <c r="B21" s="5"/>
      <c r="C21" s="5"/>
      <c r="D21" s="5"/>
      <c r="E21" s="6"/>
      <c r="F21" s="7"/>
      <c r="G21" s="41"/>
      <c r="H21" s="6"/>
      <c r="I21" s="41"/>
      <c r="J21" s="41" t="b">
        <f t="shared" si="0"/>
        <v>0</v>
      </c>
    </row>
    <row r="22" spans="1:10" x14ac:dyDescent="0.2">
      <c r="A22" s="4">
        <v>14</v>
      </c>
      <c r="B22" s="5"/>
      <c r="C22" s="5"/>
      <c r="D22" s="5"/>
      <c r="E22" s="6"/>
      <c r="F22" s="7"/>
      <c r="G22" s="41"/>
      <c r="H22" s="6"/>
      <c r="I22" s="41"/>
      <c r="J22" s="41" t="b">
        <f t="shared" si="0"/>
        <v>0</v>
      </c>
    </row>
    <row r="23" spans="1:10" x14ac:dyDescent="0.2">
      <c r="A23" s="4">
        <v>15</v>
      </c>
      <c r="B23" s="5"/>
      <c r="C23" s="5"/>
      <c r="D23" s="5"/>
      <c r="E23" s="6"/>
      <c r="F23" s="7"/>
      <c r="G23" s="41"/>
      <c r="H23" s="6"/>
      <c r="I23" s="41"/>
      <c r="J23" s="41" t="b">
        <f t="shared" si="0"/>
        <v>0</v>
      </c>
    </row>
    <row r="24" spans="1:10" x14ac:dyDescent="0.2">
      <c r="A24" s="4">
        <v>16</v>
      </c>
      <c r="B24" s="5"/>
      <c r="C24" s="5"/>
      <c r="D24" s="5"/>
      <c r="E24" s="6"/>
      <c r="F24" s="7"/>
      <c r="G24" s="41"/>
      <c r="H24" s="6"/>
      <c r="I24" s="41"/>
      <c r="J24" s="41" t="b">
        <f t="shared" si="0"/>
        <v>0</v>
      </c>
    </row>
    <row r="25" spans="1:10" x14ac:dyDescent="0.2">
      <c r="A25" s="4">
        <v>17</v>
      </c>
      <c r="B25" s="5"/>
      <c r="C25" s="5"/>
      <c r="D25" s="5"/>
      <c r="E25" s="6"/>
      <c r="F25" s="7"/>
      <c r="G25" s="41"/>
      <c r="H25" s="6"/>
      <c r="I25" s="41"/>
      <c r="J25" s="41" t="b">
        <f t="shared" si="0"/>
        <v>0</v>
      </c>
    </row>
    <row r="26" spans="1:10" x14ac:dyDescent="0.2">
      <c r="A26" s="4">
        <v>18</v>
      </c>
      <c r="B26" s="5"/>
      <c r="C26" s="5"/>
      <c r="D26" s="5"/>
      <c r="E26" s="6"/>
      <c r="F26" s="7"/>
      <c r="G26" s="41"/>
      <c r="H26" s="6"/>
      <c r="I26" s="41"/>
      <c r="J26" s="41" t="b">
        <f t="shared" si="0"/>
        <v>0</v>
      </c>
    </row>
    <row r="27" spans="1:10" x14ac:dyDescent="0.2">
      <c r="A27" s="4">
        <v>19</v>
      </c>
      <c r="B27" s="5"/>
      <c r="C27" s="5"/>
      <c r="D27" s="5"/>
      <c r="E27" s="6"/>
      <c r="F27" s="7"/>
      <c r="G27" s="41"/>
      <c r="H27" s="6"/>
      <c r="I27" s="41"/>
      <c r="J27" s="41" t="b">
        <f t="shared" si="0"/>
        <v>0</v>
      </c>
    </row>
    <row r="28" spans="1:10" x14ac:dyDescent="0.2">
      <c r="A28" s="4">
        <v>20</v>
      </c>
      <c r="B28" s="5"/>
      <c r="C28" s="5"/>
      <c r="D28" s="5"/>
      <c r="E28" s="6"/>
      <c r="F28" s="7"/>
      <c r="G28" s="41"/>
      <c r="H28" s="6"/>
      <c r="I28" s="41"/>
      <c r="J28" s="41" t="b">
        <f t="shared" si="0"/>
        <v>0</v>
      </c>
    </row>
    <row r="29" spans="1:10" x14ac:dyDescent="0.2">
      <c r="A29" s="4">
        <v>21</v>
      </c>
      <c r="B29" s="5"/>
      <c r="C29" s="5"/>
      <c r="D29" s="5"/>
      <c r="E29" s="6"/>
      <c r="F29" s="7"/>
      <c r="G29" s="41"/>
      <c r="H29" s="6"/>
      <c r="I29" s="41"/>
      <c r="J29" s="41" t="b">
        <f t="shared" si="0"/>
        <v>0</v>
      </c>
    </row>
    <row r="30" spans="1:10" x14ac:dyDescent="0.2">
      <c r="A30" s="4">
        <v>22</v>
      </c>
      <c r="B30" s="5"/>
      <c r="C30" s="5"/>
      <c r="D30" s="5"/>
      <c r="E30" s="6"/>
      <c r="F30" s="7"/>
      <c r="G30" s="41"/>
      <c r="H30" s="6"/>
      <c r="I30" s="41"/>
      <c r="J30" s="41" t="b">
        <f t="shared" si="0"/>
        <v>0</v>
      </c>
    </row>
    <row r="31" spans="1:10" x14ac:dyDescent="0.2">
      <c r="A31" s="4">
        <v>23</v>
      </c>
      <c r="B31" s="5"/>
      <c r="C31" s="5"/>
      <c r="D31" s="5"/>
      <c r="E31" s="6"/>
      <c r="F31" s="7"/>
      <c r="G31" s="41"/>
      <c r="H31" s="6"/>
      <c r="I31" s="41"/>
      <c r="J31" s="41" t="b">
        <f t="shared" si="0"/>
        <v>0</v>
      </c>
    </row>
    <row r="32" spans="1:10" x14ac:dyDescent="0.2">
      <c r="A32" s="4">
        <v>24</v>
      </c>
      <c r="B32" s="5"/>
      <c r="C32" s="5"/>
      <c r="D32" s="5"/>
      <c r="E32" s="6"/>
      <c r="F32" s="7"/>
      <c r="G32" s="41"/>
      <c r="H32" s="6"/>
      <c r="I32" s="41"/>
      <c r="J32" s="41" t="b">
        <f t="shared" si="0"/>
        <v>0</v>
      </c>
    </row>
    <row r="33" spans="1:10" x14ac:dyDescent="0.2">
      <c r="A33" s="4">
        <v>25</v>
      </c>
      <c r="B33" s="5"/>
      <c r="C33" s="5"/>
      <c r="D33" s="5"/>
      <c r="E33" s="6"/>
      <c r="F33" s="7"/>
      <c r="G33" s="41"/>
      <c r="H33" s="6"/>
      <c r="I33" s="41"/>
      <c r="J33" s="41" t="b">
        <f t="shared" si="0"/>
        <v>0</v>
      </c>
    </row>
    <row r="34" spans="1:10" x14ac:dyDescent="0.2">
      <c r="A34" s="4">
        <v>26</v>
      </c>
      <c r="B34" s="5"/>
      <c r="C34" s="5"/>
      <c r="D34" s="5"/>
      <c r="E34" s="6"/>
      <c r="F34" s="7"/>
      <c r="G34" s="41"/>
      <c r="H34" s="6"/>
      <c r="I34" s="41"/>
      <c r="J34" s="41" t="b">
        <f t="shared" si="0"/>
        <v>0</v>
      </c>
    </row>
    <row r="35" spans="1:10" x14ac:dyDescent="0.2">
      <c r="A35" s="4">
        <v>27</v>
      </c>
      <c r="B35" s="5"/>
      <c r="C35" s="5"/>
      <c r="D35" s="5"/>
      <c r="E35" s="6"/>
      <c r="F35" s="7"/>
      <c r="G35" s="41"/>
      <c r="H35" s="6"/>
      <c r="I35" s="41"/>
      <c r="J35" s="41" t="b">
        <f t="shared" si="0"/>
        <v>0</v>
      </c>
    </row>
    <row r="36" spans="1:10" x14ac:dyDescent="0.2">
      <c r="A36" s="4">
        <v>28</v>
      </c>
      <c r="B36" s="5"/>
      <c r="C36" s="5"/>
      <c r="D36" s="5"/>
      <c r="E36" s="6"/>
      <c r="F36" s="7"/>
      <c r="G36" s="41"/>
      <c r="H36" s="6"/>
      <c r="I36" s="41"/>
      <c r="J36" s="41" t="b">
        <f t="shared" si="0"/>
        <v>0</v>
      </c>
    </row>
    <row r="37" spans="1:10" x14ac:dyDescent="0.2">
      <c r="A37" s="4">
        <v>29</v>
      </c>
      <c r="B37" s="5"/>
      <c r="C37" s="5"/>
      <c r="D37" s="5"/>
      <c r="E37" s="6"/>
      <c r="F37" s="7"/>
      <c r="G37" s="41"/>
      <c r="H37" s="6"/>
      <c r="I37" s="41"/>
      <c r="J37" s="41" t="b">
        <f t="shared" si="0"/>
        <v>0</v>
      </c>
    </row>
    <row r="38" spans="1:10" x14ac:dyDescent="0.2">
      <c r="A38" s="4">
        <v>30</v>
      </c>
      <c r="B38" s="5"/>
      <c r="C38" s="5"/>
      <c r="D38" s="5"/>
      <c r="E38" s="6"/>
      <c r="F38" s="7"/>
      <c r="G38" s="41"/>
      <c r="H38" s="6"/>
      <c r="I38" s="41"/>
      <c r="J38" s="41" t="b">
        <f t="shared" si="0"/>
        <v>0</v>
      </c>
    </row>
    <row r="39" spans="1:10" x14ac:dyDescent="0.2">
      <c r="A39" s="4">
        <v>31</v>
      </c>
      <c r="B39" s="5"/>
      <c r="C39" s="5"/>
      <c r="D39" s="5"/>
      <c r="E39" s="6"/>
      <c r="F39" s="7"/>
      <c r="G39" s="41"/>
      <c r="H39" s="6"/>
      <c r="I39" s="41"/>
      <c r="J39" s="41" t="b">
        <f t="shared" si="0"/>
        <v>0</v>
      </c>
    </row>
    <row r="40" spans="1:10" x14ac:dyDescent="0.2">
      <c r="A40" s="4">
        <v>32</v>
      </c>
      <c r="B40" s="5"/>
      <c r="C40" s="5"/>
      <c r="D40" s="5"/>
      <c r="E40" s="6"/>
      <c r="F40" s="7"/>
      <c r="G40" s="41"/>
      <c r="H40" s="6"/>
      <c r="I40" s="41"/>
      <c r="J40" s="41" t="b">
        <f t="shared" si="0"/>
        <v>0</v>
      </c>
    </row>
    <row r="41" spans="1:10" x14ac:dyDescent="0.2">
      <c r="A41" s="4">
        <v>33</v>
      </c>
      <c r="B41" s="5"/>
      <c r="C41" s="5"/>
      <c r="D41" s="5"/>
      <c r="E41" s="6"/>
      <c r="F41" s="7"/>
      <c r="G41" s="41"/>
      <c r="H41" s="6"/>
      <c r="I41" s="41"/>
      <c r="J41" s="41" t="b">
        <f t="shared" si="0"/>
        <v>0</v>
      </c>
    </row>
    <row r="42" spans="1:10" x14ac:dyDescent="0.2">
      <c r="A42" s="4">
        <v>34</v>
      </c>
      <c r="B42" s="5"/>
      <c r="C42" s="5"/>
      <c r="D42" s="5"/>
      <c r="E42" s="6"/>
      <c r="F42" s="7"/>
      <c r="G42" s="41"/>
      <c r="H42" s="6"/>
      <c r="I42" s="41"/>
      <c r="J42" s="41" t="b">
        <f t="shared" si="0"/>
        <v>0</v>
      </c>
    </row>
    <row r="43" spans="1:10" x14ac:dyDescent="0.2">
      <c r="A43" s="4">
        <v>35</v>
      </c>
      <c r="B43" s="5"/>
      <c r="C43" s="5"/>
      <c r="D43" s="5"/>
      <c r="E43" s="6"/>
      <c r="F43" s="7"/>
      <c r="G43" s="41"/>
      <c r="H43" s="6"/>
      <c r="I43" s="41"/>
      <c r="J43" s="41" t="b">
        <f t="shared" si="0"/>
        <v>0</v>
      </c>
    </row>
    <row r="44" spans="1:10" x14ac:dyDescent="0.2">
      <c r="A44" s="4">
        <v>36</v>
      </c>
      <c r="B44" s="5"/>
      <c r="C44" s="5"/>
      <c r="D44" s="5"/>
      <c r="E44" s="6"/>
      <c r="F44" s="7"/>
      <c r="G44" s="41"/>
      <c r="H44" s="6"/>
      <c r="I44" s="41"/>
      <c r="J44" s="41" t="b">
        <f t="shared" si="0"/>
        <v>0</v>
      </c>
    </row>
    <row r="45" spans="1:10" x14ac:dyDescent="0.2">
      <c r="A45" s="4">
        <v>37</v>
      </c>
      <c r="B45" s="5"/>
      <c r="C45" s="5"/>
      <c r="D45" s="5"/>
      <c r="E45" s="6"/>
      <c r="F45" s="7"/>
      <c r="G45" s="41"/>
      <c r="H45" s="6"/>
      <c r="I45" s="41"/>
      <c r="J45" s="41" t="b">
        <f t="shared" si="0"/>
        <v>0</v>
      </c>
    </row>
    <row r="46" spans="1:10" x14ac:dyDescent="0.2">
      <c r="A46" s="4">
        <v>38</v>
      </c>
      <c r="B46" s="5"/>
      <c r="C46" s="5"/>
      <c r="D46" s="5"/>
      <c r="E46" s="6"/>
      <c r="F46" s="7"/>
      <c r="G46" s="41"/>
      <c r="H46" s="6"/>
      <c r="I46" s="41"/>
      <c r="J46" s="41" t="b">
        <f t="shared" si="0"/>
        <v>0</v>
      </c>
    </row>
    <row r="47" spans="1:10" x14ac:dyDescent="0.2">
      <c r="A47" s="4">
        <v>39</v>
      </c>
      <c r="B47" s="5"/>
      <c r="C47" s="5"/>
      <c r="D47" s="5"/>
      <c r="E47" s="6"/>
      <c r="F47" s="7"/>
      <c r="G47" s="41"/>
      <c r="H47" s="6"/>
      <c r="I47" s="41"/>
      <c r="J47" s="41" t="b">
        <f t="shared" si="0"/>
        <v>0</v>
      </c>
    </row>
    <row r="48" spans="1:10" x14ac:dyDescent="0.2">
      <c r="A48" s="4">
        <v>40</v>
      </c>
      <c r="B48" s="5"/>
      <c r="C48" s="5"/>
      <c r="D48" s="5"/>
      <c r="E48" s="6"/>
      <c r="F48" s="7"/>
      <c r="G48" s="41"/>
      <c r="H48" s="6"/>
      <c r="I48" s="41"/>
      <c r="J48" s="41" t="b">
        <f t="shared" si="0"/>
        <v>0</v>
      </c>
    </row>
    <row r="49" spans="1:10" x14ac:dyDescent="0.2">
      <c r="A49" s="4">
        <v>41</v>
      </c>
      <c r="B49" s="5"/>
      <c r="C49" s="5"/>
      <c r="D49" s="5"/>
      <c r="E49" s="6"/>
      <c r="F49" s="7"/>
      <c r="G49" s="41"/>
      <c r="H49" s="6"/>
      <c r="I49" s="41"/>
      <c r="J49" s="41" t="b">
        <f t="shared" si="0"/>
        <v>0</v>
      </c>
    </row>
    <row r="50" spans="1:10" x14ac:dyDescent="0.2">
      <c r="A50" s="4">
        <v>42</v>
      </c>
      <c r="B50" s="5"/>
      <c r="C50" s="5"/>
      <c r="D50" s="5"/>
      <c r="E50" s="6"/>
      <c r="F50" s="7"/>
      <c r="G50" s="41"/>
      <c r="H50" s="6"/>
      <c r="I50" s="41"/>
      <c r="J50" s="41" t="b">
        <f t="shared" si="0"/>
        <v>0</v>
      </c>
    </row>
    <row r="51" spans="1:10" x14ac:dyDescent="0.2">
      <c r="A51" s="4">
        <v>43</v>
      </c>
      <c r="B51" s="5"/>
      <c r="C51" s="5"/>
      <c r="D51" s="5"/>
      <c r="E51" s="6"/>
      <c r="F51" s="7"/>
      <c r="G51" s="41"/>
      <c r="H51" s="6"/>
      <c r="I51" s="41"/>
      <c r="J51" s="41" t="b">
        <f t="shared" si="0"/>
        <v>0</v>
      </c>
    </row>
    <row r="52" spans="1:10" x14ac:dyDescent="0.2">
      <c r="A52" s="4">
        <v>44</v>
      </c>
      <c r="B52" s="5"/>
      <c r="C52" s="5"/>
      <c r="D52" s="5"/>
      <c r="E52" s="6"/>
      <c r="F52" s="7"/>
      <c r="G52" s="41"/>
      <c r="H52" s="6"/>
      <c r="I52" s="41"/>
      <c r="J52" s="41" t="b">
        <f t="shared" si="0"/>
        <v>0</v>
      </c>
    </row>
    <row r="53" spans="1:10" x14ac:dyDescent="0.2">
      <c r="A53" s="4">
        <v>45</v>
      </c>
      <c r="B53" s="5"/>
      <c r="C53" s="5"/>
      <c r="D53" s="5"/>
      <c r="E53" s="6"/>
      <c r="F53" s="7"/>
      <c r="G53" s="41"/>
      <c r="H53" s="6"/>
      <c r="I53" s="41"/>
      <c r="J53" s="41" t="b">
        <f t="shared" si="0"/>
        <v>0</v>
      </c>
    </row>
    <row r="54" spans="1:10" x14ac:dyDescent="0.2">
      <c r="A54" s="4">
        <v>46</v>
      </c>
      <c r="B54" s="5"/>
      <c r="C54" s="5"/>
      <c r="D54" s="5"/>
      <c r="E54" s="6"/>
      <c r="F54" s="7"/>
      <c r="G54" s="41"/>
      <c r="H54" s="6"/>
      <c r="I54" s="41"/>
      <c r="J54" s="41" t="b">
        <f t="shared" si="0"/>
        <v>0</v>
      </c>
    </row>
    <row r="55" spans="1:10" x14ac:dyDescent="0.2">
      <c r="A55" s="4">
        <v>47</v>
      </c>
      <c r="B55" s="5"/>
      <c r="C55" s="5"/>
      <c r="D55" s="5"/>
      <c r="E55" s="6"/>
      <c r="F55" s="7"/>
      <c r="G55" s="41"/>
      <c r="H55" s="6"/>
      <c r="I55" s="41"/>
      <c r="J55" s="41" t="b">
        <f t="shared" si="0"/>
        <v>0</v>
      </c>
    </row>
    <row r="56" spans="1:10" x14ac:dyDescent="0.2">
      <c r="A56" s="4">
        <v>48</v>
      </c>
      <c r="B56" s="5"/>
      <c r="C56" s="5"/>
      <c r="D56" s="5"/>
      <c r="E56" s="6"/>
      <c r="F56" s="7"/>
      <c r="G56" s="41"/>
      <c r="H56" s="6"/>
      <c r="I56" s="41"/>
      <c r="J56" s="41" t="b">
        <f t="shared" si="0"/>
        <v>0</v>
      </c>
    </row>
    <row r="57" spans="1:10" x14ac:dyDescent="0.2">
      <c r="A57" s="4">
        <v>49</v>
      </c>
      <c r="B57" s="5"/>
      <c r="C57" s="5"/>
      <c r="D57" s="5"/>
      <c r="E57" s="6"/>
      <c r="F57" s="7"/>
      <c r="G57" s="41"/>
      <c r="H57" s="6"/>
      <c r="I57" s="41"/>
      <c r="J57" s="41" t="b">
        <f t="shared" si="0"/>
        <v>0</v>
      </c>
    </row>
    <row r="58" spans="1:10" x14ac:dyDescent="0.2">
      <c r="A58" s="4">
        <v>50</v>
      </c>
      <c r="B58" s="5"/>
      <c r="C58" s="5"/>
      <c r="D58" s="5"/>
      <c r="E58" s="6"/>
      <c r="F58" s="7"/>
      <c r="G58" s="41"/>
      <c r="H58" s="6"/>
      <c r="I58" s="41"/>
      <c r="J58" s="41" t="b">
        <f t="shared" si="0"/>
        <v>0</v>
      </c>
    </row>
    <row r="59" spans="1:10" x14ac:dyDescent="0.2">
      <c r="A59" s="4">
        <v>51</v>
      </c>
      <c r="B59" s="5"/>
      <c r="C59" s="5"/>
      <c r="D59" s="5"/>
      <c r="E59" s="6"/>
      <c r="F59" s="7"/>
      <c r="G59" s="41"/>
      <c r="H59" s="6"/>
      <c r="I59" s="41"/>
      <c r="J59" s="41" t="b">
        <f t="shared" si="0"/>
        <v>0</v>
      </c>
    </row>
    <row r="60" spans="1:10" x14ac:dyDescent="0.2">
      <c r="A60" s="4">
        <v>52</v>
      </c>
      <c r="B60" s="5"/>
      <c r="C60" s="5"/>
      <c r="D60" s="5"/>
      <c r="E60" s="6"/>
      <c r="F60" s="7"/>
      <c r="G60" s="41"/>
      <c r="H60" s="6"/>
      <c r="I60" s="41"/>
      <c r="J60" s="41" t="b">
        <f t="shared" si="0"/>
        <v>0</v>
      </c>
    </row>
    <row r="61" spans="1:10" x14ac:dyDescent="0.2">
      <c r="A61" s="4">
        <v>53</v>
      </c>
      <c r="B61" s="5"/>
      <c r="C61" s="5"/>
      <c r="D61" s="5"/>
      <c r="E61" s="6"/>
      <c r="F61" s="7"/>
      <c r="G61" s="41"/>
      <c r="H61" s="6"/>
      <c r="I61" s="41"/>
      <c r="J61" s="41" t="b">
        <f t="shared" si="0"/>
        <v>0</v>
      </c>
    </row>
    <row r="62" spans="1:10" x14ac:dyDescent="0.2">
      <c r="A62" s="4">
        <v>54</v>
      </c>
      <c r="B62" s="5"/>
      <c r="C62" s="5"/>
      <c r="D62" s="5"/>
      <c r="E62" s="6"/>
      <c r="F62" s="7"/>
      <c r="G62" s="41"/>
      <c r="H62" s="6"/>
      <c r="I62" s="41"/>
      <c r="J62" s="41" t="b">
        <f t="shared" si="0"/>
        <v>0</v>
      </c>
    </row>
    <row r="63" spans="1:10" x14ac:dyDescent="0.2">
      <c r="A63" s="4">
        <v>55</v>
      </c>
      <c r="B63" s="5"/>
      <c r="C63" s="5"/>
      <c r="D63" s="5"/>
      <c r="E63" s="6"/>
      <c r="F63" s="7"/>
      <c r="G63" s="41"/>
      <c r="H63" s="6"/>
      <c r="I63" s="41"/>
      <c r="J63" s="41" t="b">
        <f t="shared" si="0"/>
        <v>0</v>
      </c>
    </row>
    <row r="64" spans="1:10" x14ac:dyDescent="0.2">
      <c r="A64" s="4">
        <v>56</v>
      </c>
      <c r="B64" s="5"/>
      <c r="C64" s="5"/>
      <c r="D64" s="5"/>
      <c r="E64" s="6"/>
      <c r="F64" s="7"/>
      <c r="G64" s="41"/>
      <c r="H64" s="6"/>
      <c r="I64" s="41"/>
      <c r="J64" s="41" t="b">
        <f t="shared" si="0"/>
        <v>0</v>
      </c>
    </row>
    <row r="65" spans="1:10" x14ac:dyDescent="0.2">
      <c r="A65" s="4">
        <v>57</v>
      </c>
      <c r="B65" s="5"/>
      <c r="C65" s="5"/>
      <c r="D65" s="5"/>
      <c r="E65" s="6"/>
      <c r="F65" s="7"/>
      <c r="G65" s="41"/>
      <c r="H65" s="6"/>
      <c r="I65" s="41"/>
      <c r="J65" s="41" t="b">
        <f t="shared" si="0"/>
        <v>0</v>
      </c>
    </row>
    <row r="66" spans="1:10" x14ac:dyDescent="0.2">
      <c r="A66" s="4">
        <v>58</v>
      </c>
      <c r="B66" s="5"/>
      <c r="C66" s="5"/>
      <c r="D66" s="5"/>
      <c r="E66" s="6"/>
      <c r="F66" s="7"/>
      <c r="G66" s="41"/>
      <c r="H66" s="6"/>
      <c r="I66" s="41"/>
      <c r="J66" s="41" t="b">
        <f t="shared" si="0"/>
        <v>0</v>
      </c>
    </row>
    <row r="67" spans="1:10" x14ac:dyDescent="0.2">
      <c r="A67" s="4">
        <v>59</v>
      </c>
      <c r="B67" s="5"/>
      <c r="C67" s="5"/>
      <c r="D67" s="5"/>
      <c r="E67" s="6"/>
      <c r="F67" s="7"/>
      <c r="G67" s="41"/>
      <c r="H67" s="6"/>
      <c r="I67" s="41"/>
      <c r="J67" s="41" t="b">
        <f t="shared" si="0"/>
        <v>0</v>
      </c>
    </row>
    <row r="68" spans="1:10" x14ac:dyDescent="0.2">
      <c r="A68" s="4">
        <v>60</v>
      </c>
      <c r="B68" s="5"/>
      <c r="C68" s="5"/>
      <c r="D68" s="5"/>
      <c r="E68" s="6"/>
      <c r="F68" s="7"/>
      <c r="G68" s="41"/>
      <c r="H68" s="6"/>
      <c r="I68" s="41"/>
      <c r="J68" s="41" t="b">
        <f t="shared" si="0"/>
        <v>0</v>
      </c>
    </row>
    <row r="69" spans="1:10" x14ac:dyDescent="0.2">
      <c r="A69" s="4">
        <v>61</v>
      </c>
      <c r="B69" s="5"/>
      <c r="C69" s="5"/>
      <c r="D69" s="5"/>
      <c r="E69" s="6"/>
      <c r="F69" s="7"/>
      <c r="G69" s="41"/>
      <c r="H69" s="6"/>
      <c r="I69" s="41"/>
      <c r="J69" s="41" t="b">
        <f t="shared" si="0"/>
        <v>0</v>
      </c>
    </row>
    <row r="70" spans="1:10" x14ac:dyDescent="0.2">
      <c r="A70" s="4">
        <v>62</v>
      </c>
      <c r="B70" s="5"/>
      <c r="C70" s="5"/>
      <c r="D70" s="5"/>
      <c r="E70" s="6"/>
      <c r="F70" s="7"/>
      <c r="G70" s="41"/>
      <c r="H70" s="6"/>
      <c r="I70" s="41"/>
      <c r="J70" s="41" t="b">
        <f t="shared" si="0"/>
        <v>0</v>
      </c>
    </row>
    <row r="71" spans="1:10" x14ac:dyDescent="0.2">
      <c r="A71" s="4">
        <v>63</v>
      </c>
      <c r="B71" s="5"/>
      <c r="C71" s="5"/>
      <c r="D71" s="5"/>
      <c r="E71" s="6"/>
      <c r="F71" s="7"/>
      <c r="G71" s="41"/>
      <c r="H71" s="6"/>
      <c r="I71" s="41"/>
      <c r="J71" s="41" t="b">
        <f t="shared" si="0"/>
        <v>0</v>
      </c>
    </row>
    <row r="72" spans="1:10" x14ac:dyDescent="0.2">
      <c r="A72" s="4">
        <v>64</v>
      </c>
      <c r="B72" s="5"/>
      <c r="C72" s="5"/>
      <c r="D72" s="5"/>
      <c r="E72" s="6"/>
      <c r="F72" s="7"/>
      <c r="G72" s="41"/>
      <c r="H72" s="6"/>
      <c r="I72" s="41"/>
      <c r="J72" s="41" t="b">
        <f t="shared" si="0"/>
        <v>0</v>
      </c>
    </row>
    <row r="73" spans="1:10" x14ac:dyDescent="0.2">
      <c r="A73" s="4">
        <v>65</v>
      </c>
      <c r="B73" s="5"/>
      <c r="C73" s="5"/>
      <c r="D73" s="5"/>
      <c r="E73" s="6"/>
      <c r="F73" s="7"/>
      <c r="G73" s="41"/>
      <c r="H73" s="6"/>
      <c r="I73" s="41"/>
      <c r="J73" s="41" t="b">
        <f t="shared" si="0"/>
        <v>0</v>
      </c>
    </row>
    <row r="74" spans="1:10" x14ac:dyDescent="0.2">
      <c r="A74" s="4">
        <v>66</v>
      </c>
      <c r="B74" s="5"/>
      <c r="C74" s="5"/>
      <c r="D74" s="5"/>
      <c r="E74" s="6"/>
      <c r="F74" s="7"/>
      <c r="G74" s="41"/>
      <c r="H74" s="6"/>
      <c r="I74" s="41"/>
      <c r="J74" s="41" t="b">
        <f t="shared" ref="J74:J137" si="1">IF(H74=$M$3,G74,IF(H74=$M$4,-I74))</f>
        <v>0</v>
      </c>
    </row>
    <row r="75" spans="1:10" x14ac:dyDescent="0.2">
      <c r="A75" s="4">
        <v>67</v>
      </c>
      <c r="B75" s="5"/>
      <c r="C75" s="5"/>
      <c r="D75" s="5"/>
      <c r="E75" s="6"/>
      <c r="F75" s="7"/>
      <c r="G75" s="41"/>
      <c r="H75" s="6"/>
      <c r="I75" s="41"/>
      <c r="J75" s="41" t="b">
        <f t="shared" si="1"/>
        <v>0</v>
      </c>
    </row>
    <row r="76" spans="1:10" x14ac:dyDescent="0.2">
      <c r="A76" s="4">
        <v>68</v>
      </c>
      <c r="B76" s="5"/>
      <c r="C76" s="5"/>
      <c r="D76" s="5"/>
      <c r="E76" s="6"/>
      <c r="F76" s="7"/>
      <c r="G76" s="41"/>
      <c r="H76" s="6"/>
      <c r="I76" s="41"/>
      <c r="J76" s="41" t="b">
        <f t="shared" si="1"/>
        <v>0</v>
      </c>
    </row>
    <row r="77" spans="1:10" x14ac:dyDescent="0.2">
      <c r="A77" s="4">
        <v>69</v>
      </c>
      <c r="B77" s="5"/>
      <c r="C77" s="5"/>
      <c r="D77" s="5"/>
      <c r="E77" s="6"/>
      <c r="F77" s="7"/>
      <c r="G77" s="41"/>
      <c r="H77" s="6"/>
      <c r="I77" s="41"/>
      <c r="J77" s="41" t="b">
        <f t="shared" si="1"/>
        <v>0</v>
      </c>
    </row>
    <row r="78" spans="1:10" x14ac:dyDescent="0.2">
      <c r="A78" s="4">
        <v>70</v>
      </c>
      <c r="B78" s="5"/>
      <c r="C78" s="5"/>
      <c r="D78" s="5"/>
      <c r="E78" s="6"/>
      <c r="F78" s="7"/>
      <c r="G78" s="41"/>
      <c r="H78" s="6"/>
      <c r="I78" s="41"/>
      <c r="J78" s="41" t="b">
        <f t="shared" si="1"/>
        <v>0</v>
      </c>
    </row>
    <row r="79" spans="1:10" x14ac:dyDescent="0.2">
      <c r="A79" s="4">
        <v>71</v>
      </c>
      <c r="B79" s="5"/>
      <c r="C79" s="5"/>
      <c r="D79" s="5"/>
      <c r="E79" s="6"/>
      <c r="F79" s="7"/>
      <c r="G79" s="41"/>
      <c r="H79" s="6"/>
      <c r="I79" s="41"/>
      <c r="J79" s="41" t="b">
        <f t="shared" si="1"/>
        <v>0</v>
      </c>
    </row>
    <row r="80" spans="1:10" x14ac:dyDescent="0.2">
      <c r="A80" s="4">
        <v>72</v>
      </c>
      <c r="B80" s="5"/>
      <c r="C80" s="5"/>
      <c r="D80" s="5"/>
      <c r="E80" s="6"/>
      <c r="F80" s="7"/>
      <c r="G80" s="41"/>
      <c r="H80" s="6"/>
      <c r="I80" s="41"/>
      <c r="J80" s="41" t="b">
        <f t="shared" si="1"/>
        <v>0</v>
      </c>
    </row>
    <row r="81" spans="1:10" x14ac:dyDescent="0.2">
      <c r="A81" s="4">
        <v>73</v>
      </c>
      <c r="B81" s="5"/>
      <c r="C81" s="5"/>
      <c r="D81" s="5"/>
      <c r="E81" s="6"/>
      <c r="F81" s="7"/>
      <c r="G81" s="41"/>
      <c r="H81" s="6"/>
      <c r="I81" s="41"/>
      <c r="J81" s="41" t="b">
        <f t="shared" si="1"/>
        <v>0</v>
      </c>
    </row>
    <row r="82" spans="1:10" x14ac:dyDescent="0.2">
      <c r="A82" s="4">
        <v>74</v>
      </c>
      <c r="B82" s="5"/>
      <c r="C82" s="5"/>
      <c r="D82" s="5"/>
      <c r="E82" s="6"/>
      <c r="F82" s="7"/>
      <c r="G82" s="41"/>
      <c r="H82" s="6"/>
      <c r="I82" s="41"/>
      <c r="J82" s="41" t="b">
        <f t="shared" si="1"/>
        <v>0</v>
      </c>
    </row>
    <row r="83" spans="1:10" x14ac:dyDescent="0.2">
      <c r="A83" s="4">
        <v>75</v>
      </c>
      <c r="B83" s="5"/>
      <c r="C83" s="5"/>
      <c r="D83" s="5"/>
      <c r="E83" s="6"/>
      <c r="F83" s="7"/>
      <c r="G83" s="41"/>
      <c r="H83" s="6"/>
      <c r="I83" s="41"/>
      <c r="J83" s="41" t="b">
        <f t="shared" si="1"/>
        <v>0</v>
      </c>
    </row>
    <row r="84" spans="1:10" x14ac:dyDescent="0.2">
      <c r="A84" s="4">
        <v>76</v>
      </c>
      <c r="B84" s="5"/>
      <c r="C84" s="5"/>
      <c r="D84" s="5"/>
      <c r="E84" s="6"/>
      <c r="F84" s="7"/>
      <c r="G84" s="41"/>
      <c r="H84" s="6"/>
      <c r="I84" s="41"/>
      <c r="J84" s="41" t="b">
        <f t="shared" si="1"/>
        <v>0</v>
      </c>
    </row>
    <row r="85" spans="1:10" x14ac:dyDescent="0.2">
      <c r="A85" s="4">
        <v>77</v>
      </c>
      <c r="B85" s="5"/>
      <c r="C85" s="5"/>
      <c r="D85" s="5"/>
      <c r="E85" s="6"/>
      <c r="F85" s="7"/>
      <c r="G85" s="41"/>
      <c r="H85" s="6"/>
      <c r="I85" s="41"/>
      <c r="J85" s="41" t="b">
        <f t="shared" si="1"/>
        <v>0</v>
      </c>
    </row>
    <row r="86" spans="1:10" x14ac:dyDescent="0.2">
      <c r="A86" s="4">
        <v>78</v>
      </c>
      <c r="B86" s="5"/>
      <c r="C86" s="5"/>
      <c r="D86" s="5"/>
      <c r="E86" s="6"/>
      <c r="F86" s="7"/>
      <c r="G86" s="41"/>
      <c r="H86" s="6"/>
      <c r="I86" s="41"/>
      <c r="J86" s="41" t="b">
        <f t="shared" si="1"/>
        <v>0</v>
      </c>
    </row>
    <row r="87" spans="1:10" x14ac:dyDescent="0.2">
      <c r="A87" s="4">
        <v>79</v>
      </c>
      <c r="B87" s="5"/>
      <c r="C87" s="5"/>
      <c r="D87" s="5"/>
      <c r="E87" s="6"/>
      <c r="F87" s="7"/>
      <c r="G87" s="41"/>
      <c r="H87" s="6"/>
      <c r="I87" s="41"/>
      <c r="J87" s="41" t="b">
        <f t="shared" si="1"/>
        <v>0</v>
      </c>
    </row>
    <row r="88" spans="1:10" x14ac:dyDescent="0.2">
      <c r="A88" s="4">
        <v>80</v>
      </c>
      <c r="B88" s="5"/>
      <c r="C88" s="5"/>
      <c r="D88" s="5"/>
      <c r="E88" s="6"/>
      <c r="F88" s="7"/>
      <c r="G88" s="41"/>
      <c r="H88" s="6"/>
      <c r="I88" s="41"/>
      <c r="J88" s="41" t="b">
        <f t="shared" si="1"/>
        <v>0</v>
      </c>
    </row>
    <row r="89" spans="1:10" x14ac:dyDescent="0.2">
      <c r="A89" s="4">
        <v>81</v>
      </c>
      <c r="B89" s="5"/>
      <c r="C89" s="5"/>
      <c r="D89" s="5"/>
      <c r="E89" s="6"/>
      <c r="F89" s="7"/>
      <c r="G89" s="41"/>
      <c r="H89" s="6"/>
      <c r="I89" s="41"/>
      <c r="J89" s="41" t="b">
        <f t="shared" si="1"/>
        <v>0</v>
      </c>
    </row>
    <row r="90" spans="1:10" x14ac:dyDescent="0.2">
      <c r="A90" s="4">
        <v>82</v>
      </c>
      <c r="B90" s="5"/>
      <c r="C90" s="5"/>
      <c r="D90" s="5"/>
      <c r="E90" s="6"/>
      <c r="F90" s="7"/>
      <c r="G90" s="41"/>
      <c r="H90" s="6"/>
      <c r="I90" s="41"/>
      <c r="J90" s="41" t="b">
        <f t="shared" si="1"/>
        <v>0</v>
      </c>
    </row>
    <row r="91" spans="1:10" x14ac:dyDescent="0.2">
      <c r="A91" s="4">
        <v>83</v>
      </c>
      <c r="B91" s="5"/>
      <c r="C91" s="5"/>
      <c r="D91" s="5"/>
      <c r="E91" s="6"/>
      <c r="F91" s="7"/>
      <c r="G91" s="41"/>
      <c r="H91" s="6"/>
      <c r="I91" s="41"/>
      <c r="J91" s="41" t="b">
        <f t="shared" si="1"/>
        <v>0</v>
      </c>
    </row>
    <row r="92" spans="1:10" x14ac:dyDescent="0.2">
      <c r="A92" s="4">
        <v>84</v>
      </c>
      <c r="B92" s="5"/>
      <c r="C92" s="5"/>
      <c r="D92" s="5"/>
      <c r="E92" s="6"/>
      <c r="F92" s="7"/>
      <c r="G92" s="41"/>
      <c r="H92" s="6"/>
      <c r="I92" s="41"/>
      <c r="J92" s="41" t="b">
        <f t="shared" si="1"/>
        <v>0</v>
      </c>
    </row>
    <row r="93" spans="1:10" x14ac:dyDescent="0.2">
      <c r="A93" s="4">
        <v>85</v>
      </c>
      <c r="B93" s="5"/>
      <c r="C93" s="5"/>
      <c r="D93" s="5"/>
      <c r="E93" s="6"/>
      <c r="F93" s="7"/>
      <c r="G93" s="41"/>
      <c r="H93" s="6"/>
      <c r="I93" s="41"/>
      <c r="J93" s="41" t="b">
        <f t="shared" si="1"/>
        <v>0</v>
      </c>
    </row>
    <row r="94" spans="1:10" x14ac:dyDescent="0.2">
      <c r="A94" s="4">
        <v>86</v>
      </c>
      <c r="B94" s="5"/>
      <c r="C94" s="5"/>
      <c r="D94" s="5"/>
      <c r="E94" s="6"/>
      <c r="F94" s="7"/>
      <c r="G94" s="41"/>
      <c r="H94" s="6"/>
      <c r="I94" s="41"/>
      <c r="J94" s="41" t="b">
        <f t="shared" si="1"/>
        <v>0</v>
      </c>
    </row>
    <row r="95" spans="1:10" x14ac:dyDescent="0.2">
      <c r="A95" s="4">
        <v>87</v>
      </c>
      <c r="B95" s="5"/>
      <c r="C95" s="5"/>
      <c r="D95" s="5"/>
      <c r="E95" s="6"/>
      <c r="F95" s="7"/>
      <c r="G95" s="41"/>
      <c r="H95" s="6"/>
      <c r="I95" s="41"/>
      <c r="J95" s="41" t="b">
        <f t="shared" si="1"/>
        <v>0</v>
      </c>
    </row>
    <row r="96" spans="1:10" x14ac:dyDescent="0.2">
      <c r="A96" s="4">
        <v>88</v>
      </c>
      <c r="B96" s="5"/>
      <c r="C96" s="5"/>
      <c r="D96" s="5"/>
      <c r="E96" s="6"/>
      <c r="F96" s="7"/>
      <c r="G96" s="41"/>
      <c r="H96" s="6"/>
      <c r="I96" s="41"/>
      <c r="J96" s="41" t="b">
        <f t="shared" si="1"/>
        <v>0</v>
      </c>
    </row>
    <row r="97" spans="1:10" x14ac:dyDescent="0.2">
      <c r="A97" s="4">
        <v>89</v>
      </c>
      <c r="B97" s="5"/>
      <c r="C97" s="5"/>
      <c r="D97" s="5"/>
      <c r="E97" s="6"/>
      <c r="F97" s="7"/>
      <c r="G97" s="41"/>
      <c r="H97" s="6"/>
      <c r="I97" s="41"/>
      <c r="J97" s="41" t="b">
        <f t="shared" si="1"/>
        <v>0</v>
      </c>
    </row>
    <row r="98" spans="1:10" x14ac:dyDescent="0.2">
      <c r="A98" s="4">
        <v>90</v>
      </c>
      <c r="B98" s="5"/>
      <c r="C98" s="5"/>
      <c r="D98" s="5"/>
      <c r="E98" s="6"/>
      <c r="F98" s="7"/>
      <c r="G98" s="41"/>
      <c r="H98" s="6"/>
      <c r="I98" s="41"/>
      <c r="J98" s="41" t="b">
        <f t="shared" si="1"/>
        <v>0</v>
      </c>
    </row>
    <row r="99" spans="1:10" x14ac:dyDescent="0.2">
      <c r="A99" s="4">
        <v>91</v>
      </c>
      <c r="B99" s="5"/>
      <c r="C99" s="5"/>
      <c r="D99" s="5"/>
      <c r="E99" s="6"/>
      <c r="F99" s="7"/>
      <c r="G99" s="41"/>
      <c r="H99" s="6"/>
      <c r="I99" s="41"/>
      <c r="J99" s="41" t="b">
        <f t="shared" si="1"/>
        <v>0</v>
      </c>
    </row>
    <row r="100" spans="1:10" x14ac:dyDescent="0.2">
      <c r="A100" s="4">
        <v>92</v>
      </c>
      <c r="B100" s="5"/>
      <c r="C100" s="5"/>
      <c r="D100" s="5"/>
      <c r="E100" s="6"/>
      <c r="F100" s="7"/>
      <c r="G100" s="41"/>
      <c r="H100" s="6"/>
      <c r="I100" s="41"/>
      <c r="J100" s="41" t="b">
        <f t="shared" si="1"/>
        <v>0</v>
      </c>
    </row>
    <row r="101" spans="1:10" x14ac:dyDescent="0.2">
      <c r="A101" s="4">
        <v>93</v>
      </c>
      <c r="B101" s="5"/>
      <c r="C101" s="5"/>
      <c r="D101" s="5"/>
      <c r="E101" s="6"/>
      <c r="F101" s="7"/>
      <c r="G101" s="41"/>
      <c r="H101" s="6"/>
      <c r="I101" s="41"/>
      <c r="J101" s="41" t="b">
        <f t="shared" si="1"/>
        <v>0</v>
      </c>
    </row>
    <row r="102" spans="1:10" x14ac:dyDescent="0.2">
      <c r="A102" s="4">
        <v>94</v>
      </c>
      <c r="B102" s="5"/>
      <c r="C102" s="5"/>
      <c r="D102" s="5"/>
      <c r="E102" s="6"/>
      <c r="F102" s="7"/>
      <c r="G102" s="41"/>
      <c r="H102" s="6"/>
      <c r="I102" s="41"/>
      <c r="J102" s="41" t="b">
        <f t="shared" si="1"/>
        <v>0</v>
      </c>
    </row>
    <row r="103" spans="1:10" x14ac:dyDescent="0.2">
      <c r="A103" s="4">
        <v>95</v>
      </c>
      <c r="B103" s="5"/>
      <c r="C103" s="5"/>
      <c r="D103" s="5"/>
      <c r="E103" s="6"/>
      <c r="F103" s="7"/>
      <c r="G103" s="41"/>
      <c r="H103" s="6"/>
      <c r="I103" s="41"/>
      <c r="J103" s="41" t="b">
        <f t="shared" si="1"/>
        <v>0</v>
      </c>
    </row>
    <row r="104" spans="1:10" x14ac:dyDescent="0.2">
      <c r="A104" s="4">
        <v>96</v>
      </c>
      <c r="B104" s="5"/>
      <c r="C104" s="5"/>
      <c r="D104" s="5"/>
      <c r="E104" s="6"/>
      <c r="F104" s="7"/>
      <c r="G104" s="41"/>
      <c r="H104" s="6"/>
      <c r="I104" s="41"/>
      <c r="J104" s="41" t="b">
        <f t="shared" si="1"/>
        <v>0</v>
      </c>
    </row>
    <row r="105" spans="1:10" x14ac:dyDescent="0.2">
      <c r="A105" s="4">
        <v>97</v>
      </c>
      <c r="B105" s="5"/>
      <c r="C105" s="5"/>
      <c r="D105" s="5"/>
      <c r="E105" s="6"/>
      <c r="F105" s="7"/>
      <c r="G105" s="41"/>
      <c r="H105" s="6"/>
      <c r="I105" s="41"/>
      <c r="J105" s="41" t="b">
        <f t="shared" si="1"/>
        <v>0</v>
      </c>
    </row>
    <row r="106" spans="1:10" x14ac:dyDescent="0.2">
      <c r="A106" s="4">
        <v>98</v>
      </c>
      <c r="B106" s="5"/>
      <c r="C106" s="5"/>
      <c r="D106" s="5"/>
      <c r="E106" s="6"/>
      <c r="F106" s="7"/>
      <c r="G106" s="41"/>
      <c r="H106" s="6"/>
      <c r="I106" s="41"/>
      <c r="J106" s="41" t="b">
        <f t="shared" si="1"/>
        <v>0</v>
      </c>
    </row>
    <row r="107" spans="1:10" x14ac:dyDescent="0.2">
      <c r="A107" s="4">
        <v>99</v>
      </c>
      <c r="B107" s="5"/>
      <c r="C107" s="5"/>
      <c r="D107" s="5"/>
      <c r="E107" s="6"/>
      <c r="F107" s="7"/>
      <c r="G107" s="41"/>
      <c r="H107" s="6"/>
      <c r="I107" s="41"/>
      <c r="J107" s="41" t="b">
        <f t="shared" si="1"/>
        <v>0</v>
      </c>
    </row>
    <row r="108" spans="1:10" x14ac:dyDescent="0.2">
      <c r="A108" s="4">
        <v>100</v>
      </c>
      <c r="B108" s="5"/>
      <c r="C108" s="5"/>
      <c r="D108" s="5"/>
      <c r="E108" s="6"/>
      <c r="F108" s="7"/>
      <c r="G108" s="41"/>
      <c r="H108" s="6"/>
      <c r="I108" s="41"/>
      <c r="J108" s="41" t="b">
        <f t="shared" si="1"/>
        <v>0</v>
      </c>
    </row>
    <row r="109" spans="1:10" x14ac:dyDescent="0.2">
      <c r="A109" s="4">
        <v>101</v>
      </c>
      <c r="B109" s="5"/>
      <c r="C109" s="5"/>
      <c r="D109" s="5"/>
      <c r="E109" s="6"/>
      <c r="F109" s="7"/>
      <c r="G109" s="41"/>
      <c r="H109" s="6"/>
      <c r="I109" s="41"/>
      <c r="J109" s="41" t="b">
        <f t="shared" si="1"/>
        <v>0</v>
      </c>
    </row>
    <row r="110" spans="1:10" x14ac:dyDescent="0.2">
      <c r="A110" s="4">
        <v>102</v>
      </c>
      <c r="B110" s="5"/>
      <c r="C110" s="5"/>
      <c r="D110" s="5"/>
      <c r="E110" s="6"/>
      <c r="F110" s="7"/>
      <c r="G110" s="41"/>
      <c r="H110" s="6"/>
      <c r="I110" s="41"/>
      <c r="J110" s="41" t="b">
        <f t="shared" si="1"/>
        <v>0</v>
      </c>
    </row>
    <row r="111" spans="1:10" x14ac:dyDescent="0.2">
      <c r="A111" s="4">
        <v>103</v>
      </c>
      <c r="B111" s="5"/>
      <c r="C111" s="5"/>
      <c r="D111" s="5"/>
      <c r="E111" s="6"/>
      <c r="F111" s="7"/>
      <c r="G111" s="41"/>
      <c r="H111" s="6"/>
      <c r="I111" s="41"/>
      <c r="J111" s="41" t="b">
        <f t="shared" si="1"/>
        <v>0</v>
      </c>
    </row>
    <row r="112" spans="1:10" x14ac:dyDescent="0.2">
      <c r="A112" s="4">
        <v>104</v>
      </c>
      <c r="B112" s="5"/>
      <c r="C112" s="5"/>
      <c r="D112" s="5"/>
      <c r="E112" s="6"/>
      <c r="F112" s="7"/>
      <c r="G112" s="41"/>
      <c r="H112" s="6"/>
      <c r="I112" s="41"/>
      <c r="J112" s="41" t="b">
        <f t="shared" si="1"/>
        <v>0</v>
      </c>
    </row>
    <row r="113" spans="1:10" x14ac:dyDescent="0.2">
      <c r="A113" s="4">
        <v>105</v>
      </c>
      <c r="B113" s="5"/>
      <c r="C113" s="5"/>
      <c r="D113" s="5"/>
      <c r="E113" s="6"/>
      <c r="F113" s="7"/>
      <c r="G113" s="41"/>
      <c r="H113" s="6"/>
      <c r="I113" s="41"/>
      <c r="J113" s="41" t="b">
        <f t="shared" si="1"/>
        <v>0</v>
      </c>
    </row>
    <row r="114" spans="1:10" x14ac:dyDescent="0.2">
      <c r="A114" s="4">
        <v>106</v>
      </c>
      <c r="B114" s="5"/>
      <c r="C114" s="5"/>
      <c r="D114" s="5"/>
      <c r="E114" s="6"/>
      <c r="F114" s="7"/>
      <c r="G114" s="41"/>
      <c r="H114" s="6"/>
      <c r="I114" s="41"/>
      <c r="J114" s="41" t="b">
        <f t="shared" si="1"/>
        <v>0</v>
      </c>
    </row>
    <row r="115" spans="1:10" x14ac:dyDescent="0.2">
      <c r="A115" s="4">
        <v>107</v>
      </c>
      <c r="B115" s="5"/>
      <c r="C115" s="5"/>
      <c r="D115" s="5"/>
      <c r="E115" s="6"/>
      <c r="F115" s="7"/>
      <c r="G115" s="41"/>
      <c r="H115" s="6"/>
      <c r="I115" s="41"/>
      <c r="J115" s="41" t="b">
        <f t="shared" si="1"/>
        <v>0</v>
      </c>
    </row>
    <row r="116" spans="1:10" x14ac:dyDescent="0.2">
      <c r="A116" s="4">
        <v>108</v>
      </c>
      <c r="B116" s="5"/>
      <c r="C116" s="5"/>
      <c r="D116" s="5"/>
      <c r="E116" s="6"/>
      <c r="F116" s="7"/>
      <c r="G116" s="41"/>
      <c r="H116" s="6"/>
      <c r="I116" s="41"/>
      <c r="J116" s="41" t="b">
        <f t="shared" si="1"/>
        <v>0</v>
      </c>
    </row>
    <row r="117" spans="1:10" x14ac:dyDescent="0.2">
      <c r="A117" s="4">
        <v>109</v>
      </c>
      <c r="B117" s="5"/>
      <c r="C117" s="5"/>
      <c r="D117" s="5"/>
      <c r="E117" s="6"/>
      <c r="F117" s="7"/>
      <c r="G117" s="41"/>
      <c r="H117" s="6"/>
      <c r="I117" s="41"/>
      <c r="J117" s="41" t="b">
        <f t="shared" si="1"/>
        <v>0</v>
      </c>
    </row>
    <row r="118" spans="1:10" x14ac:dyDescent="0.2">
      <c r="A118" s="4">
        <v>110</v>
      </c>
      <c r="B118" s="5"/>
      <c r="C118" s="5"/>
      <c r="D118" s="5"/>
      <c r="E118" s="6"/>
      <c r="F118" s="7"/>
      <c r="G118" s="41"/>
      <c r="H118" s="6"/>
      <c r="I118" s="41"/>
      <c r="J118" s="41" t="b">
        <f t="shared" si="1"/>
        <v>0</v>
      </c>
    </row>
    <row r="119" spans="1:10" x14ac:dyDescent="0.2">
      <c r="A119" s="4">
        <v>111</v>
      </c>
      <c r="B119" s="5"/>
      <c r="C119" s="5"/>
      <c r="D119" s="5"/>
      <c r="E119" s="6"/>
      <c r="F119" s="7"/>
      <c r="G119" s="41"/>
      <c r="H119" s="6"/>
      <c r="I119" s="41"/>
      <c r="J119" s="41" t="b">
        <f t="shared" si="1"/>
        <v>0</v>
      </c>
    </row>
    <row r="120" spans="1:10" x14ac:dyDescent="0.2">
      <c r="A120" s="4">
        <v>112</v>
      </c>
      <c r="B120" s="5"/>
      <c r="C120" s="5"/>
      <c r="D120" s="5"/>
      <c r="E120" s="6"/>
      <c r="F120" s="7"/>
      <c r="G120" s="41"/>
      <c r="H120" s="6"/>
      <c r="I120" s="41"/>
      <c r="J120" s="41" t="b">
        <f t="shared" si="1"/>
        <v>0</v>
      </c>
    </row>
    <row r="121" spans="1:10" x14ac:dyDescent="0.2">
      <c r="A121" s="4">
        <v>113</v>
      </c>
      <c r="B121" s="5"/>
      <c r="C121" s="5"/>
      <c r="D121" s="5"/>
      <c r="E121" s="6"/>
      <c r="F121" s="7"/>
      <c r="G121" s="41"/>
      <c r="H121" s="6"/>
      <c r="I121" s="41"/>
      <c r="J121" s="41" t="b">
        <f t="shared" si="1"/>
        <v>0</v>
      </c>
    </row>
    <row r="122" spans="1:10" x14ac:dyDescent="0.2">
      <c r="A122" s="4">
        <v>114</v>
      </c>
      <c r="B122" s="5"/>
      <c r="C122" s="5"/>
      <c r="D122" s="5"/>
      <c r="E122" s="6"/>
      <c r="F122" s="7"/>
      <c r="G122" s="41"/>
      <c r="H122" s="6"/>
      <c r="I122" s="41"/>
      <c r="J122" s="41" t="b">
        <f t="shared" si="1"/>
        <v>0</v>
      </c>
    </row>
    <row r="123" spans="1:10" x14ac:dyDescent="0.2">
      <c r="A123" s="4">
        <v>115</v>
      </c>
      <c r="B123" s="5"/>
      <c r="C123" s="5"/>
      <c r="D123" s="5"/>
      <c r="E123" s="6"/>
      <c r="F123" s="7"/>
      <c r="G123" s="41"/>
      <c r="H123" s="6"/>
      <c r="I123" s="41"/>
      <c r="J123" s="41" t="b">
        <f t="shared" si="1"/>
        <v>0</v>
      </c>
    </row>
    <row r="124" spans="1:10" x14ac:dyDescent="0.2">
      <c r="A124" s="4">
        <v>116</v>
      </c>
      <c r="B124" s="5"/>
      <c r="C124" s="5"/>
      <c r="D124" s="5"/>
      <c r="E124" s="6"/>
      <c r="F124" s="7"/>
      <c r="G124" s="41"/>
      <c r="H124" s="6"/>
      <c r="I124" s="41"/>
      <c r="J124" s="41" t="b">
        <f t="shared" si="1"/>
        <v>0</v>
      </c>
    </row>
    <row r="125" spans="1:10" x14ac:dyDescent="0.2">
      <c r="A125" s="4">
        <v>117</v>
      </c>
      <c r="B125" s="5"/>
      <c r="C125" s="5"/>
      <c r="D125" s="5"/>
      <c r="E125" s="6"/>
      <c r="F125" s="7"/>
      <c r="G125" s="41"/>
      <c r="H125" s="6"/>
      <c r="I125" s="41"/>
      <c r="J125" s="41" t="b">
        <f t="shared" si="1"/>
        <v>0</v>
      </c>
    </row>
    <row r="126" spans="1:10" x14ac:dyDescent="0.2">
      <c r="A126" s="4">
        <v>118</v>
      </c>
      <c r="B126" s="5"/>
      <c r="C126" s="5"/>
      <c r="D126" s="5"/>
      <c r="E126" s="6"/>
      <c r="F126" s="7"/>
      <c r="G126" s="41"/>
      <c r="H126" s="6"/>
      <c r="I126" s="41"/>
      <c r="J126" s="41" t="b">
        <f t="shared" si="1"/>
        <v>0</v>
      </c>
    </row>
    <row r="127" spans="1:10" x14ac:dyDescent="0.2">
      <c r="A127" s="4">
        <v>119</v>
      </c>
      <c r="B127" s="5"/>
      <c r="C127" s="5"/>
      <c r="D127" s="5"/>
      <c r="E127" s="6"/>
      <c r="F127" s="7"/>
      <c r="G127" s="41"/>
      <c r="H127" s="6"/>
      <c r="I127" s="41"/>
      <c r="J127" s="41" t="b">
        <f t="shared" si="1"/>
        <v>0</v>
      </c>
    </row>
    <row r="128" spans="1:10" x14ac:dyDescent="0.2">
      <c r="A128" s="4">
        <v>120</v>
      </c>
      <c r="B128" s="5"/>
      <c r="C128" s="5"/>
      <c r="D128" s="5"/>
      <c r="E128" s="6"/>
      <c r="F128" s="7"/>
      <c r="G128" s="41"/>
      <c r="H128" s="6"/>
      <c r="I128" s="41"/>
      <c r="J128" s="41" t="b">
        <f t="shared" si="1"/>
        <v>0</v>
      </c>
    </row>
    <row r="129" spans="1:10" x14ac:dyDescent="0.2">
      <c r="A129" s="4">
        <v>121</v>
      </c>
      <c r="B129" s="5"/>
      <c r="C129" s="5"/>
      <c r="D129" s="5"/>
      <c r="E129" s="6"/>
      <c r="F129" s="7"/>
      <c r="G129" s="41"/>
      <c r="H129" s="6"/>
      <c r="I129" s="41"/>
      <c r="J129" s="41" t="b">
        <f t="shared" si="1"/>
        <v>0</v>
      </c>
    </row>
    <row r="130" spans="1:10" x14ac:dyDescent="0.2">
      <c r="A130" s="4">
        <v>122</v>
      </c>
      <c r="B130" s="5"/>
      <c r="C130" s="5"/>
      <c r="D130" s="5"/>
      <c r="E130" s="6"/>
      <c r="F130" s="7"/>
      <c r="G130" s="41"/>
      <c r="H130" s="6"/>
      <c r="I130" s="41"/>
      <c r="J130" s="41" t="b">
        <f t="shared" si="1"/>
        <v>0</v>
      </c>
    </row>
    <row r="131" spans="1:10" x14ac:dyDescent="0.2">
      <c r="A131" s="4">
        <v>123</v>
      </c>
      <c r="B131" s="5"/>
      <c r="C131" s="5"/>
      <c r="D131" s="5"/>
      <c r="E131" s="6"/>
      <c r="F131" s="7"/>
      <c r="G131" s="41"/>
      <c r="H131" s="6"/>
      <c r="I131" s="41"/>
      <c r="J131" s="41" t="b">
        <f t="shared" si="1"/>
        <v>0</v>
      </c>
    </row>
    <row r="132" spans="1:10" x14ac:dyDescent="0.2">
      <c r="A132" s="4">
        <v>124</v>
      </c>
      <c r="B132" s="5"/>
      <c r="C132" s="5"/>
      <c r="D132" s="5"/>
      <c r="E132" s="6"/>
      <c r="F132" s="7"/>
      <c r="G132" s="41"/>
      <c r="H132" s="6"/>
      <c r="I132" s="41"/>
      <c r="J132" s="41" t="b">
        <f t="shared" si="1"/>
        <v>0</v>
      </c>
    </row>
    <row r="133" spans="1:10" x14ac:dyDescent="0.2">
      <c r="A133" s="4">
        <v>125</v>
      </c>
      <c r="B133" s="5"/>
      <c r="C133" s="5"/>
      <c r="D133" s="5"/>
      <c r="E133" s="6"/>
      <c r="F133" s="7"/>
      <c r="G133" s="41"/>
      <c r="H133" s="6"/>
      <c r="I133" s="41"/>
      <c r="J133" s="41" t="b">
        <f t="shared" si="1"/>
        <v>0</v>
      </c>
    </row>
    <row r="134" spans="1:10" x14ac:dyDescent="0.2">
      <c r="A134" s="4">
        <v>126</v>
      </c>
      <c r="B134" s="5"/>
      <c r="C134" s="5"/>
      <c r="D134" s="5"/>
      <c r="E134" s="6"/>
      <c r="F134" s="7"/>
      <c r="G134" s="41"/>
      <c r="H134" s="6"/>
      <c r="I134" s="41"/>
      <c r="J134" s="41" t="b">
        <f t="shared" si="1"/>
        <v>0</v>
      </c>
    </row>
    <row r="135" spans="1:10" x14ac:dyDescent="0.2">
      <c r="A135" s="4">
        <v>127</v>
      </c>
      <c r="B135" s="5"/>
      <c r="C135" s="5"/>
      <c r="D135" s="5"/>
      <c r="E135" s="6"/>
      <c r="F135" s="7"/>
      <c r="G135" s="41"/>
      <c r="H135" s="6"/>
      <c r="I135" s="41"/>
      <c r="J135" s="41" t="b">
        <f t="shared" si="1"/>
        <v>0</v>
      </c>
    </row>
    <row r="136" spans="1:10" x14ac:dyDescent="0.2">
      <c r="A136" s="4">
        <v>128</v>
      </c>
      <c r="B136" s="5"/>
      <c r="C136" s="5"/>
      <c r="D136" s="5"/>
      <c r="E136" s="6"/>
      <c r="F136" s="7"/>
      <c r="G136" s="41"/>
      <c r="H136" s="6"/>
      <c r="I136" s="41"/>
      <c r="J136" s="41" t="b">
        <f t="shared" si="1"/>
        <v>0</v>
      </c>
    </row>
    <row r="137" spans="1:10" x14ac:dyDescent="0.2">
      <c r="A137" s="4">
        <v>129</v>
      </c>
      <c r="B137" s="5"/>
      <c r="C137" s="5"/>
      <c r="D137" s="5"/>
      <c r="E137" s="6"/>
      <c r="F137" s="7"/>
      <c r="G137" s="41"/>
      <c r="H137" s="6"/>
      <c r="I137" s="41"/>
      <c r="J137" s="41" t="b">
        <f t="shared" si="1"/>
        <v>0</v>
      </c>
    </row>
    <row r="138" spans="1:10" x14ac:dyDescent="0.2">
      <c r="A138" s="4">
        <v>130</v>
      </c>
      <c r="B138" s="5"/>
      <c r="C138" s="5"/>
      <c r="D138" s="5"/>
      <c r="E138" s="6"/>
      <c r="F138" s="7"/>
      <c r="G138" s="41"/>
      <c r="H138" s="6"/>
      <c r="I138" s="41"/>
      <c r="J138" s="41" t="b">
        <f t="shared" ref="J138:J201" si="2">IF(H138=$M$3,G138,IF(H138=$M$4,-I138))</f>
        <v>0</v>
      </c>
    </row>
    <row r="139" spans="1:10" x14ac:dyDescent="0.2">
      <c r="A139" s="4">
        <v>131</v>
      </c>
      <c r="B139" s="5"/>
      <c r="C139" s="5"/>
      <c r="D139" s="5"/>
      <c r="E139" s="6"/>
      <c r="F139" s="7"/>
      <c r="G139" s="41"/>
      <c r="H139" s="6"/>
      <c r="I139" s="41"/>
      <c r="J139" s="41" t="b">
        <f t="shared" si="2"/>
        <v>0</v>
      </c>
    </row>
    <row r="140" spans="1:10" x14ac:dyDescent="0.2">
      <c r="A140" s="4">
        <v>132</v>
      </c>
      <c r="B140" s="5"/>
      <c r="C140" s="5"/>
      <c r="D140" s="5"/>
      <c r="E140" s="6"/>
      <c r="F140" s="7"/>
      <c r="G140" s="41"/>
      <c r="H140" s="6"/>
      <c r="I140" s="41"/>
      <c r="J140" s="41" t="b">
        <f t="shared" si="2"/>
        <v>0</v>
      </c>
    </row>
    <row r="141" spans="1:10" x14ac:dyDescent="0.2">
      <c r="A141" s="4">
        <v>133</v>
      </c>
      <c r="B141" s="5"/>
      <c r="C141" s="5"/>
      <c r="D141" s="5"/>
      <c r="E141" s="6"/>
      <c r="F141" s="7"/>
      <c r="G141" s="41"/>
      <c r="H141" s="6"/>
      <c r="I141" s="41"/>
      <c r="J141" s="41" t="b">
        <f t="shared" si="2"/>
        <v>0</v>
      </c>
    </row>
    <row r="142" spans="1:10" x14ac:dyDescent="0.2">
      <c r="A142" s="4">
        <v>134</v>
      </c>
      <c r="B142" s="5"/>
      <c r="C142" s="5"/>
      <c r="D142" s="5"/>
      <c r="E142" s="6"/>
      <c r="F142" s="7"/>
      <c r="G142" s="41"/>
      <c r="H142" s="6"/>
      <c r="I142" s="41"/>
      <c r="J142" s="41" t="b">
        <f t="shared" si="2"/>
        <v>0</v>
      </c>
    </row>
    <row r="143" spans="1:10" x14ac:dyDescent="0.2">
      <c r="A143" s="4">
        <v>135</v>
      </c>
      <c r="B143" s="5"/>
      <c r="C143" s="5"/>
      <c r="D143" s="5"/>
      <c r="E143" s="6"/>
      <c r="F143" s="7"/>
      <c r="G143" s="41"/>
      <c r="H143" s="6"/>
      <c r="I143" s="41"/>
      <c r="J143" s="41" t="b">
        <f t="shared" si="2"/>
        <v>0</v>
      </c>
    </row>
    <row r="144" spans="1:10" x14ac:dyDescent="0.2">
      <c r="A144" s="4">
        <v>136</v>
      </c>
      <c r="B144" s="5"/>
      <c r="C144" s="5"/>
      <c r="D144" s="5"/>
      <c r="E144" s="6"/>
      <c r="F144" s="7"/>
      <c r="G144" s="41"/>
      <c r="H144" s="6"/>
      <c r="I144" s="41"/>
      <c r="J144" s="41" t="b">
        <f t="shared" si="2"/>
        <v>0</v>
      </c>
    </row>
    <row r="145" spans="1:10" x14ac:dyDescent="0.2">
      <c r="A145" s="4">
        <v>137</v>
      </c>
      <c r="B145" s="5"/>
      <c r="C145" s="5"/>
      <c r="D145" s="5"/>
      <c r="E145" s="6"/>
      <c r="F145" s="7"/>
      <c r="G145" s="41"/>
      <c r="H145" s="6"/>
      <c r="I145" s="41"/>
      <c r="J145" s="41" t="b">
        <f t="shared" si="2"/>
        <v>0</v>
      </c>
    </row>
    <row r="146" spans="1:10" x14ac:dyDescent="0.2">
      <c r="A146" s="4">
        <v>138</v>
      </c>
      <c r="B146" s="5"/>
      <c r="C146" s="5"/>
      <c r="D146" s="5"/>
      <c r="E146" s="6"/>
      <c r="F146" s="7"/>
      <c r="G146" s="41"/>
      <c r="H146" s="6"/>
      <c r="I146" s="41"/>
      <c r="J146" s="41" t="b">
        <f t="shared" si="2"/>
        <v>0</v>
      </c>
    </row>
    <row r="147" spans="1:10" x14ac:dyDescent="0.2">
      <c r="A147" s="4">
        <v>139</v>
      </c>
      <c r="B147" s="5"/>
      <c r="C147" s="5"/>
      <c r="D147" s="5"/>
      <c r="E147" s="6"/>
      <c r="F147" s="7"/>
      <c r="G147" s="41"/>
      <c r="H147" s="6"/>
      <c r="I147" s="41"/>
      <c r="J147" s="41" t="b">
        <f t="shared" si="2"/>
        <v>0</v>
      </c>
    </row>
    <row r="148" spans="1:10" x14ac:dyDescent="0.2">
      <c r="A148" s="4">
        <v>140</v>
      </c>
      <c r="B148" s="5"/>
      <c r="C148" s="5"/>
      <c r="D148" s="5"/>
      <c r="E148" s="6"/>
      <c r="F148" s="7"/>
      <c r="G148" s="41"/>
      <c r="H148" s="6"/>
      <c r="I148" s="41"/>
      <c r="J148" s="41" t="b">
        <f t="shared" si="2"/>
        <v>0</v>
      </c>
    </row>
    <row r="149" spans="1:10" x14ac:dyDescent="0.2">
      <c r="A149" s="4">
        <v>141</v>
      </c>
      <c r="B149" s="5"/>
      <c r="C149" s="5"/>
      <c r="D149" s="5"/>
      <c r="E149" s="6"/>
      <c r="F149" s="7"/>
      <c r="G149" s="41"/>
      <c r="H149" s="6"/>
      <c r="I149" s="41"/>
      <c r="J149" s="41" t="b">
        <f t="shared" si="2"/>
        <v>0</v>
      </c>
    </row>
    <row r="150" spans="1:10" x14ac:dyDescent="0.2">
      <c r="A150" s="4">
        <v>142</v>
      </c>
      <c r="B150" s="5"/>
      <c r="C150" s="5"/>
      <c r="D150" s="5"/>
      <c r="E150" s="6"/>
      <c r="F150" s="7"/>
      <c r="G150" s="41"/>
      <c r="H150" s="6"/>
      <c r="I150" s="41"/>
      <c r="J150" s="41" t="b">
        <f t="shared" si="2"/>
        <v>0</v>
      </c>
    </row>
    <row r="151" spans="1:10" x14ac:dyDescent="0.2">
      <c r="A151" s="4">
        <v>143</v>
      </c>
      <c r="B151" s="5"/>
      <c r="C151" s="5"/>
      <c r="D151" s="5"/>
      <c r="E151" s="6"/>
      <c r="F151" s="7"/>
      <c r="G151" s="41"/>
      <c r="H151" s="6"/>
      <c r="I151" s="41"/>
      <c r="J151" s="41" t="b">
        <f t="shared" si="2"/>
        <v>0</v>
      </c>
    </row>
    <row r="152" spans="1:10" x14ac:dyDescent="0.2">
      <c r="A152" s="4">
        <v>144</v>
      </c>
      <c r="B152" s="5"/>
      <c r="C152" s="5"/>
      <c r="D152" s="5"/>
      <c r="E152" s="6"/>
      <c r="F152" s="7"/>
      <c r="G152" s="41"/>
      <c r="H152" s="6"/>
      <c r="I152" s="41"/>
      <c r="J152" s="41" t="b">
        <f t="shared" si="2"/>
        <v>0</v>
      </c>
    </row>
    <row r="153" spans="1:10" x14ac:dyDescent="0.2">
      <c r="A153" s="4">
        <v>145</v>
      </c>
      <c r="B153" s="5"/>
      <c r="C153" s="5"/>
      <c r="D153" s="5"/>
      <c r="E153" s="6"/>
      <c r="F153" s="7"/>
      <c r="G153" s="41"/>
      <c r="H153" s="6"/>
      <c r="I153" s="41"/>
      <c r="J153" s="41" t="b">
        <f t="shared" si="2"/>
        <v>0</v>
      </c>
    </row>
    <row r="154" spans="1:10" x14ac:dyDescent="0.2">
      <c r="A154" s="4">
        <v>146</v>
      </c>
      <c r="B154" s="5"/>
      <c r="C154" s="5"/>
      <c r="D154" s="5"/>
      <c r="E154" s="6"/>
      <c r="F154" s="7"/>
      <c r="G154" s="41"/>
      <c r="H154" s="6"/>
      <c r="I154" s="41"/>
      <c r="J154" s="41" t="b">
        <f t="shared" si="2"/>
        <v>0</v>
      </c>
    </row>
    <row r="155" spans="1:10" x14ac:dyDescent="0.2">
      <c r="A155" s="4">
        <v>147</v>
      </c>
      <c r="B155" s="5"/>
      <c r="C155" s="5"/>
      <c r="D155" s="5"/>
      <c r="E155" s="6"/>
      <c r="F155" s="7"/>
      <c r="G155" s="41"/>
      <c r="H155" s="6"/>
      <c r="I155" s="41"/>
      <c r="J155" s="41" t="b">
        <f t="shared" si="2"/>
        <v>0</v>
      </c>
    </row>
    <row r="156" spans="1:10" x14ac:dyDescent="0.2">
      <c r="A156" s="4">
        <v>148</v>
      </c>
      <c r="B156" s="5"/>
      <c r="C156" s="5"/>
      <c r="D156" s="5"/>
      <c r="E156" s="6"/>
      <c r="F156" s="7"/>
      <c r="G156" s="41"/>
      <c r="H156" s="6"/>
      <c r="I156" s="41"/>
      <c r="J156" s="41" t="b">
        <f t="shared" si="2"/>
        <v>0</v>
      </c>
    </row>
    <row r="157" spans="1:10" x14ac:dyDescent="0.2">
      <c r="A157" s="4">
        <v>149</v>
      </c>
      <c r="B157" s="5"/>
      <c r="C157" s="5"/>
      <c r="D157" s="5"/>
      <c r="E157" s="6"/>
      <c r="F157" s="7"/>
      <c r="G157" s="41"/>
      <c r="H157" s="6"/>
      <c r="I157" s="41"/>
      <c r="J157" s="41" t="b">
        <f t="shared" si="2"/>
        <v>0</v>
      </c>
    </row>
    <row r="158" spans="1:10" x14ac:dyDescent="0.2">
      <c r="A158" s="4">
        <v>150</v>
      </c>
      <c r="B158" s="5"/>
      <c r="C158" s="5"/>
      <c r="D158" s="5"/>
      <c r="E158" s="6"/>
      <c r="F158" s="7"/>
      <c r="G158" s="41"/>
      <c r="H158" s="6"/>
      <c r="I158" s="41"/>
      <c r="J158" s="41" t="b">
        <f t="shared" si="2"/>
        <v>0</v>
      </c>
    </row>
    <row r="159" spans="1:10" x14ac:dyDescent="0.2">
      <c r="A159" s="4">
        <v>151</v>
      </c>
      <c r="B159" s="5"/>
      <c r="C159" s="5"/>
      <c r="D159" s="5"/>
      <c r="E159" s="6"/>
      <c r="F159" s="7"/>
      <c r="G159" s="41"/>
      <c r="H159" s="6"/>
      <c r="I159" s="41"/>
      <c r="J159" s="41" t="b">
        <f t="shared" si="2"/>
        <v>0</v>
      </c>
    </row>
    <row r="160" spans="1:10" x14ac:dyDescent="0.2">
      <c r="A160" s="4">
        <v>152</v>
      </c>
      <c r="B160" s="5"/>
      <c r="C160" s="5"/>
      <c r="D160" s="5"/>
      <c r="E160" s="6"/>
      <c r="F160" s="7"/>
      <c r="G160" s="41"/>
      <c r="H160" s="6"/>
      <c r="I160" s="41"/>
      <c r="J160" s="41" t="b">
        <f t="shared" si="2"/>
        <v>0</v>
      </c>
    </row>
    <row r="161" spans="1:10" x14ac:dyDescent="0.2">
      <c r="A161" s="4">
        <v>153</v>
      </c>
      <c r="B161" s="5"/>
      <c r="C161" s="5"/>
      <c r="D161" s="5"/>
      <c r="E161" s="6"/>
      <c r="F161" s="7"/>
      <c r="G161" s="41"/>
      <c r="H161" s="6"/>
      <c r="I161" s="41"/>
      <c r="J161" s="41" t="b">
        <f t="shared" si="2"/>
        <v>0</v>
      </c>
    </row>
    <row r="162" spans="1:10" x14ac:dyDescent="0.2">
      <c r="A162" s="4">
        <v>154</v>
      </c>
      <c r="B162" s="5"/>
      <c r="C162" s="5"/>
      <c r="D162" s="5"/>
      <c r="E162" s="6"/>
      <c r="F162" s="7"/>
      <c r="G162" s="41"/>
      <c r="H162" s="6"/>
      <c r="I162" s="41"/>
      <c r="J162" s="41" t="b">
        <f t="shared" si="2"/>
        <v>0</v>
      </c>
    </row>
    <row r="163" spans="1:10" x14ac:dyDescent="0.2">
      <c r="A163" s="4">
        <v>155</v>
      </c>
      <c r="B163" s="5"/>
      <c r="C163" s="5"/>
      <c r="D163" s="5"/>
      <c r="E163" s="6"/>
      <c r="F163" s="7"/>
      <c r="G163" s="41"/>
      <c r="H163" s="6"/>
      <c r="I163" s="41"/>
      <c r="J163" s="41" t="b">
        <f t="shared" si="2"/>
        <v>0</v>
      </c>
    </row>
    <row r="164" spans="1:10" x14ac:dyDescent="0.2">
      <c r="A164" s="4">
        <v>156</v>
      </c>
      <c r="B164" s="5"/>
      <c r="C164" s="5"/>
      <c r="D164" s="5"/>
      <c r="E164" s="6"/>
      <c r="F164" s="7"/>
      <c r="G164" s="41"/>
      <c r="H164" s="6"/>
      <c r="I164" s="41"/>
      <c r="J164" s="41" t="b">
        <f t="shared" si="2"/>
        <v>0</v>
      </c>
    </row>
    <row r="165" spans="1:10" x14ac:dyDescent="0.2">
      <c r="A165" s="4">
        <v>157</v>
      </c>
      <c r="B165" s="5"/>
      <c r="C165" s="5"/>
      <c r="D165" s="5"/>
      <c r="E165" s="6"/>
      <c r="F165" s="7"/>
      <c r="G165" s="41"/>
      <c r="H165" s="6"/>
      <c r="I165" s="41"/>
      <c r="J165" s="41" t="b">
        <f t="shared" si="2"/>
        <v>0</v>
      </c>
    </row>
    <row r="166" spans="1:10" x14ac:dyDescent="0.2">
      <c r="A166" s="4">
        <v>158</v>
      </c>
      <c r="B166" s="5"/>
      <c r="C166" s="5"/>
      <c r="D166" s="5"/>
      <c r="E166" s="6"/>
      <c r="F166" s="7"/>
      <c r="G166" s="41"/>
      <c r="H166" s="6"/>
      <c r="I166" s="41"/>
      <c r="J166" s="41" t="b">
        <f t="shared" si="2"/>
        <v>0</v>
      </c>
    </row>
    <row r="167" spans="1:10" x14ac:dyDescent="0.2">
      <c r="A167" s="4">
        <v>159</v>
      </c>
      <c r="B167" s="5"/>
      <c r="C167" s="5"/>
      <c r="D167" s="5"/>
      <c r="E167" s="6"/>
      <c r="F167" s="7"/>
      <c r="G167" s="41"/>
      <c r="H167" s="6"/>
      <c r="I167" s="41"/>
      <c r="J167" s="41" t="b">
        <f t="shared" si="2"/>
        <v>0</v>
      </c>
    </row>
    <row r="168" spans="1:10" x14ac:dyDescent="0.2">
      <c r="A168" s="4">
        <v>160</v>
      </c>
      <c r="B168" s="5"/>
      <c r="C168" s="5"/>
      <c r="D168" s="5"/>
      <c r="E168" s="6"/>
      <c r="F168" s="7"/>
      <c r="G168" s="41"/>
      <c r="H168" s="6"/>
      <c r="I168" s="41"/>
      <c r="J168" s="41" t="b">
        <f t="shared" si="2"/>
        <v>0</v>
      </c>
    </row>
    <row r="169" spans="1:10" x14ac:dyDescent="0.2">
      <c r="A169" s="4">
        <v>161</v>
      </c>
      <c r="B169" s="5"/>
      <c r="C169" s="5"/>
      <c r="D169" s="5"/>
      <c r="E169" s="6"/>
      <c r="F169" s="7"/>
      <c r="G169" s="41"/>
      <c r="H169" s="6"/>
      <c r="I169" s="41"/>
      <c r="J169" s="41" t="b">
        <f t="shared" si="2"/>
        <v>0</v>
      </c>
    </row>
    <row r="170" spans="1:10" x14ac:dyDescent="0.2">
      <c r="A170" s="4">
        <v>162</v>
      </c>
      <c r="B170" s="5"/>
      <c r="C170" s="5"/>
      <c r="D170" s="5"/>
      <c r="E170" s="6"/>
      <c r="F170" s="7"/>
      <c r="G170" s="41"/>
      <c r="H170" s="6"/>
      <c r="I170" s="41"/>
      <c r="J170" s="41" t="b">
        <f t="shared" si="2"/>
        <v>0</v>
      </c>
    </row>
    <row r="171" spans="1:10" x14ac:dyDescent="0.2">
      <c r="A171" s="4">
        <v>163</v>
      </c>
      <c r="B171" s="5"/>
      <c r="C171" s="5"/>
      <c r="D171" s="5"/>
      <c r="E171" s="6"/>
      <c r="F171" s="7"/>
      <c r="G171" s="41"/>
      <c r="H171" s="6"/>
      <c r="I171" s="41"/>
      <c r="J171" s="41" t="b">
        <f t="shared" si="2"/>
        <v>0</v>
      </c>
    </row>
    <row r="172" spans="1:10" x14ac:dyDescent="0.2">
      <c r="A172" s="4">
        <v>164</v>
      </c>
      <c r="B172" s="5"/>
      <c r="C172" s="5"/>
      <c r="D172" s="5"/>
      <c r="E172" s="6"/>
      <c r="F172" s="7"/>
      <c r="G172" s="41"/>
      <c r="H172" s="6"/>
      <c r="I172" s="41"/>
      <c r="J172" s="41" t="b">
        <f t="shared" si="2"/>
        <v>0</v>
      </c>
    </row>
    <row r="173" spans="1:10" x14ac:dyDescent="0.2">
      <c r="A173" s="4">
        <v>165</v>
      </c>
      <c r="B173" s="5"/>
      <c r="C173" s="5"/>
      <c r="D173" s="5"/>
      <c r="E173" s="6"/>
      <c r="F173" s="7"/>
      <c r="G173" s="41"/>
      <c r="H173" s="6"/>
      <c r="I173" s="41"/>
      <c r="J173" s="41" t="b">
        <f t="shared" si="2"/>
        <v>0</v>
      </c>
    </row>
    <row r="174" spans="1:10" x14ac:dyDescent="0.2">
      <c r="A174" s="4">
        <v>166</v>
      </c>
      <c r="B174" s="5"/>
      <c r="C174" s="5"/>
      <c r="D174" s="5"/>
      <c r="E174" s="6"/>
      <c r="F174" s="7"/>
      <c r="G174" s="41"/>
      <c r="H174" s="6"/>
      <c r="I174" s="41"/>
      <c r="J174" s="41" t="b">
        <f t="shared" si="2"/>
        <v>0</v>
      </c>
    </row>
    <row r="175" spans="1:10" x14ac:dyDescent="0.2">
      <c r="A175" s="4">
        <v>167</v>
      </c>
      <c r="B175" s="5"/>
      <c r="C175" s="5"/>
      <c r="D175" s="5"/>
      <c r="E175" s="6"/>
      <c r="F175" s="7"/>
      <c r="G175" s="41"/>
      <c r="H175" s="6"/>
      <c r="I175" s="41"/>
      <c r="J175" s="41" t="b">
        <f t="shared" si="2"/>
        <v>0</v>
      </c>
    </row>
    <row r="176" spans="1:10" x14ac:dyDescent="0.2">
      <c r="A176" s="4">
        <v>168</v>
      </c>
      <c r="B176" s="5"/>
      <c r="C176" s="5"/>
      <c r="D176" s="5"/>
      <c r="E176" s="6"/>
      <c r="F176" s="7"/>
      <c r="G176" s="41"/>
      <c r="H176" s="6"/>
      <c r="I176" s="41"/>
      <c r="J176" s="41" t="b">
        <f t="shared" si="2"/>
        <v>0</v>
      </c>
    </row>
    <row r="177" spans="1:10" x14ac:dyDescent="0.2">
      <c r="A177" s="4">
        <v>169</v>
      </c>
      <c r="B177" s="5"/>
      <c r="C177" s="5"/>
      <c r="D177" s="5"/>
      <c r="E177" s="6"/>
      <c r="F177" s="7"/>
      <c r="G177" s="41"/>
      <c r="H177" s="6"/>
      <c r="I177" s="41"/>
      <c r="J177" s="41" t="b">
        <f t="shared" si="2"/>
        <v>0</v>
      </c>
    </row>
    <row r="178" spans="1:10" x14ac:dyDescent="0.2">
      <c r="A178" s="4">
        <v>170</v>
      </c>
      <c r="B178" s="5"/>
      <c r="C178" s="5"/>
      <c r="D178" s="5"/>
      <c r="E178" s="6"/>
      <c r="F178" s="7"/>
      <c r="G178" s="41"/>
      <c r="H178" s="6"/>
      <c r="I178" s="41"/>
      <c r="J178" s="41" t="b">
        <f t="shared" si="2"/>
        <v>0</v>
      </c>
    </row>
    <row r="179" spans="1:10" x14ac:dyDescent="0.2">
      <c r="A179" s="4">
        <v>171</v>
      </c>
      <c r="B179" s="5"/>
      <c r="C179" s="5"/>
      <c r="D179" s="5"/>
      <c r="E179" s="6"/>
      <c r="F179" s="7"/>
      <c r="G179" s="41"/>
      <c r="H179" s="6"/>
      <c r="I179" s="41"/>
      <c r="J179" s="41" t="b">
        <f t="shared" si="2"/>
        <v>0</v>
      </c>
    </row>
    <row r="180" spans="1:10" x14ac:dyDescent="0.2">
      <c r="A180" s="4">
        <v>172</v>
      </c>
      <c r="B180" s="5"/>
      <c r="C180" s="5"/>
      <c r="D180" s="5"/>
      <c r="E180" s="6"/>
      <c r="F180" s="7"/>
      <c r="G180" s="41"/>
      <c r="H180" s="6"/>
      <c r="I180" s="41"/>
      <c r="J180" s="41" t="b">
        <f t="shared" si="2"/>
        <v>0</v>
      </c>
    </row>
    <row r="181" spans="1:10" x14ac:dyDescent="0.2">
      <c r="A181" s="4">
        <v>173</v>
      </c>
      <c r="B181" s="5"/>
      <c r="C181" s="5"/>
      <c r="D181" s="5"/>
      <c r="E181" s="6"/>
      <c r="F181" s="7"/>
      <c r="G181" s="41"/>
      <c r="H181" s="6"/>
      <c r="I181" s="41"/>
      <c r="J181" s="41" t="b">
        <f t="shared" si="2"/>
        <v>0</v>
      </c>
    </row>
    <row r="182" spans="1:10" x14ac:dyDescent="0.2">
      <c r="A182" s="4">
        <v>174</v>
      </c>
      <c r="B182" s="5"/>
      <c r="C182" s="5"/>
      <c r="D182" s="5"/>
      <c r="E182" s="6"/>
      <c r="F182" s="7"/>
      <c r="G182" s="41"/>
      <c r="H182" s="6"/>
      <c r="I182" s="41"/>
      <c r="J182" s="41" t="b">
        <f t="shared" si="2"/>
        <v>0</v>
      </c>
    </row>
    <row r="183" spans="1:10" x14ac:dyDescent="0.2">
      <c r="A183" s="4">
        <v>175</v>
      </c>
      <c r="B183" s="5"/>
      <c r="C183" s="5"/>
      <c r="D183" s="5"/>
      <c r="E183" s="6"/>
      <c r="F183" s="7"/>
      <c r="G183" s="41"/>
      <c r="H183" s="6"/>
      <c r="I183" s="41"/>
      <c r="J183" s="41" t="b">
        <f t="shared" si="2"/>
        <v>0</v>
      </c>
    </row>
    <row r="184" spans="1:10" x14ac:dyDescent="0.2">
      <c r="A184" s="4">
        <v>176</v>
      </c>
      <c r="B184" s="5"/>
      <c r="C184" s="5"/>
      <c r="D184" s="5"/>
      <c r="E184" s="6"/>
      <c r="F184" s="7"/>
      <c r="G184" s="41"/>
      <c r="H184" s="6"/>
      <c r="I184" s="41"/>
      <c r="J184" s="41" t="b">
        <f t="shared" si="2"/>
        <v>0</v>
      </c>
    </row>
    <row r="185" spans="1:10" x14ac:dyDescent="0.2">
      <c r="A185" s="4">
        <v>177</v>
      </c>
      <c r="B185" s="5"/>
      <c r="C185" s="5"/>
      <c r="D185" s="5"/>
      <c r="E185" s="6"/>
      <c r="F185" s="7"/>
      <c r="G185" s="41"/>
      <c r="H185" s="6"/>
      <c r="I185" s="41"/>
      <c r="J185" s="41" t="b">
        <f t="shared" si="2"/>
        <v>0</v>
      </c>
    </row>
    <row r="186" spans="1:10" x14ac:dyDescent="0.2">
      <c r="A186" s="4">
        <v>178</v>
      </c>
      <c r="B186" s="5"/>
      <c r="C186" s="5"/>
      <c r="D186" s="5"/>
      <c r="E186" s="6"/>
      <c r="F186" s="7"/>
      <c r="G186" s="41"/>
      <c r="H186" s="6"/>
      <c r="I186" s="41"/>
      <c r="J186" s="41" t="b">
        <f t="shared" si="2"/>
        <v>0</v>
      </c>
    </row>
    <row r="187" spans="1:10" x14ac:dyDescent="0.2">
      <c r="A187" s="4">
        <v>179</v>
      </c>
      <c r="B187" s="5"/>
      <c r="C187" s="5"/>
      <c r="D187" s="5"/>
      <c r="E187" s="6"/>
      <c r="F187" s="7"/>
      <c r="G187" s="41"/>
      <c r="H187" s="6"/>
      <c r="I187" s="41"/>
      <c r="J187" s="41" t="b">
        <f t="shared" si="2"/>
        <v>0</v>
      </c>
    </row>
    <row r="188" spans="1:10" x14ac:dyDescent="0.2">
      <c r="A188" s="4">
        <v>180</v>
      </c>
      <c r="B188" s="5"/>
      <c r="C188" s="5"/>
      <c r="D188" s="5"/>
      <c r="E188" s="6"/>
      <c r="F188" s="7"/>
      <c r="G188" s="41"/>
      <c r="H188" s="6"/>
      <c r="I188" s="41"/>
      <c r="J188" s="41" t="b">
        <f t="shared" si="2"/>
        <v>0</v>
      </c>
    </row>
    <row r="189" spans="1:10" x14ac:dyDescent="0.2">
      <c r="A189" s="4">
        <v>181</v>
      </c>
      <c r="B189" s="5"/>
      <c r="C189" s="5"/>
      <c r="D189" s="5"/>
      <c r="E189" s="6"/>
      <c r="F189" s="7"/>
      <c r="G189" s="41"/>
      <c r="H189" s="6"/>
      <c r="I189" s="41"/>
      <c r="J189" s="41" t="b">
        <f t="shared" si="2"/>
        <v>0</v>
      </c>
    </row>
    <row r="190" spans="1:10" x14ac:dyDescent="0.2">
      <c r="A190" s="4">
        <v>182</v>
      </c>
      <c r="B190" s="5"/>
      <c r="C190" s="5"/>
      <c r="D190" s="5"/>
      <c r="E190" s="6"/>
      <c r="F190" s="7"/>
      <c r="G190" s="41"/>
      <c r="H190" s="6"/>
      <c r="I190" s="41"/>
      <c r="J190" s="41" t="b">
        <f t="shared" si="2"/>
        <v>0</v>
      </c>
    </row>
    <row r="191" spans="1:10" x14ac:dyDescent="0.2">
      <c r="A191" s="4">
        <v>183</v>
      </c>
      <c r="B191" s="5"/>
      <c r="C191" s="5"/>
      <c r="D191" s="5"/>
      <c r="E191" s="6"/>
      <c r="F191" s="7"/>
      <c r="G191" s="41"/>
      <c r="H191" s="6"/>
      <c r="I191" s="41"/>
      <c r="J191" s="41" t="b">
        <f t="shared" si="2"/>
        <v>0</v>
      </c>
    </row>
    <row r="192" spans="1:10" x14ac:dyDescent="0.2">
      <c r="A192" s="4">
        <v>184</v>
      </c>
      <c r="B192" s="5"/>
      <c r="C192" s="5"/>
      <c r="D192" s="5"/>
      <c r="E192" s="6"/>
      <c r="F192" s="7"/>
      <c r="G192" s="41"/>
      <c r="H192" s="6"/>
      <c r="I192" s="41"/>
      <c r="J192" s="41" t="b">
        <f t="shared" si="2"/>
        <v>0</v>
      </c>
    </row>
    <row r="193" spans="1:10" x14ac:dyDescent="0.2">
      <c r="A193" s="4">
        <v>185</v>
      </c>
      <c r="B193" s="5"/>
      <c r="C193" s="5"/>
      <c r="D193" s="5"/>
      <c r="E193" s="6"/>
      <c r="F193" s="7"/>
      <c r="G193" s="41"/>
      <c r="H193" s="6"/>
      <c r="I193" s="41"/>
      <c r="J193" s="41" t="b">
        <f t="shared" si="2"/>
        <v>0</v>
      </c>
    </row>
    <row r="194" spans="1:10" x14ac:dyDescent="0.2">
      <c r="A194" s="4">
        <v>186</v>
      </c>
      <c r="B194" s="5"/>
      <c r="C194" s="5"/>
      <c r="D194" s="5"/>
      <c r="E194" s="6"/>
      <c r="F194" s="7"/>
      <c r="G194" s="41"/>
      <c r="H194" s="6"/>
      <c r="I194" s="41"/>
      <c r="J194" s="41" t="b">
        <f t="shared" si="2"/>
        <v>0</v>
      </c>
    </row>
    <row r="195" spans="1:10" x14ac:dyDescent="0.2">
      <c r="A195" s="4">
        <v>187</v>
      </c>
      <c r="B195" s="5"/>
      <c r="C195" s="5"/>
      <c r="D195" s="5"/>
      <c r="E195" s="6"/>
      <c r="F195" s="7"/>
      <c r="G195" s="41"/>
      <c r="H195" s="6"/>
      <c r="I195" s="41"/>
      <c r="J195" s="41" t="b">
        <f t="shared" si="2"/>
        <v>0</v>
      </c>
    </row>
    <row r="196" spans="1:10" x14ac:dyDescent="0.2">
      <c r="A196" s="4">
        <v>188</v>
      </c>
      <c r="B196" s="5"/>
      <c r="C196" s="5"/>
      <c r="D196" s="5"/>
      <c r="E196" s="6"/>
      <c r="F196" s="7"/>
      <c r="G196" s="41"/>
      <c r="H196" s="6"/>
      <c r="I196" s="41"/>
      <c r="J196" s="41" t="b">
        <f t="shared" si="2"/>
        <v>0</v>
      </c>
    </row>
    <row r="197" spans="1:10" x14ac:dyDescent="0.2">
      <c r="A197" s="4">
        <v>189</v>
      </c>
      <c r="B197" s="5"/>
      <c r="C197" s="5"/>
      <c r="D197" s="5"/>
      <c r="E197" s="6"/>
      <c r="F197" s="7"/>
      <c r="G197" s="41"/>
      <c r="H197" s="6"/>
      <c r="I197" s="41"/>
      <c r="J197" s="41" t="b">
        <f t="shared" si="2"/>
        <v>0</v>
      </c>
    </row>
    <row r="198" spans="1:10" x14ac:dyDescent="0.2">
      <c r="A198" s="4">
        <v>190</v>
      </c>
      <c r="B198" s="5"/>
      <c r="C198" s="5"/>
      <c r="D198" s="5"/>
      <c r="E198" s="6"/>
      <c r="F198" s="7"/>
      <c r="G198" s="41"/>
      <c r="H198" s="6"/>
      <c r="I198" s="41"/>
      <c r="J198" s="41" t="b">
        <f t="shared" si="2"/>
        <v>0</v>
      </c>
    </row>
    <row r="199" spans="1:10" x14ac:dyDescent="0.2">
      <c r="A199" s="4">
        <v>191</v>
      </c>
      <c r="B199" s="5"/>
      <c r="C199" s="5"/>
      <c r="D199" s="5"/>
      <c r="E199" s="6"/>
      <c r="F199" s="7"/>
      <c r="G199" s="41"/>
      <c r="H199" s="6"/>
      <c r="I199" s="41"/>
      <c r="J199" s="41" t="b">
        <f t="shared" si="2"/>
        <v>0</v>
      </c>
    </row>
    <row r="200" spans="1:10" x14ac:dyDescent="0.2">
      <c r="A200" s="4">
        <v>192</v>
      </c>
      <c r="B200" s="5"/>
      <c r="C200" s="5"/>
      <c r="D200" s="5"/>
      <c r="E200" s="6"/>
      <c r="F200" s="7"/>
      <c r="G200" s="41"/>
      <c r="H200" s="6"/>
      <c r="I200" s="41"/>
      <c r="J200" s="41" t="b">
        <f t="shared" si="2"/>
        <v>0</v>
      </c>
    </row>
    <row r="201" spans="1:10" x14ac:dyDescent="0.2">
      <c r="A201" s="4">
        <v>193</v>
      </c>
      <c r="B201" s="5"/>
      <c r="C201" s="5"/>
      <c r="D201" s="5"/>
      <c r="E201" s="6"/>
      <c r="F201" s="7"/>
      <c r="G201" s="41"/>
      <c r="H201" s="6"/>
      <c r="I201" s="41"/>
      <c r="J201" s="41" t="b">
        <f t="shared" si="2"/>
        <v>0</v>
      </c>
    </row>
    <row r="202" spans="1:10" x14ac:dyDescent="0.2">
      <c r="A202" s="4">
        <v>194</v>
      </c>
      <c r="B202" s="5"/>
      <c r="C202" s="5"/>
      <c r="D202" s="5"/>
      <c r="E202" s="6"/>
      <c r="F202" s="7"/>
      <c r="G202" s="41"/>
      <c r="H202" s="6"/>
      <c r="I202" s="41"/>
      <c r="J202" s="41" t="b">
        <f t="shared" ref="J202:J208" si="3">IF(H202=$M$3,G202,IF(H202=$M$4,-I202))</f>
        <v>0</v>
      </c>
    </row>
    <row r="203" spans="1:10" x14ac:dyDescent="0.2">
      <c r="A203" s="4">
        <v>195</v>
      </c>
      <c r="B203" s="5"/>
      <c r="C203" s="5"/>
      <c r="D203" s="5"/>
      <c r="E203" s="6"/>
      <c r="F203" s="7"/>
      <c r="G203" s="41"/>
      <c r="H203" s="6"/>
      <c r="I203" s="41"/>
      <c r="J203" s="41" t="b">
        <f t="shared" si="3"/>
        <v>0</v>
      </c>
    </row>
    <row r="204" spans="1:10" x14ac:dyDescent="0.2">
      <c r="A204" s="4">
        <v>196</v>
      </c>
      <c r="B204" s="5"/>
      <c r="C204" s="5"/>
      <c r="D204" s="5"/>
      <c r="E204" s="6"/>
      <c r="F204" s="7"/>
      <c r="G204" s="41"/>
      <c r="H204" s="6"/>
      <c r="I204" s="41"/>
      <c r="J204" s="41" t="b">
        <f t="shared" si="3"/>
        <v>0</v>
      </c>
    </row>
    <row r="205" spans="1:10" x14ac:dyDescent="0.2">
      <c r="A205" s="4">
        <v>197</v>
      </c>
      <c r="B205" s="5"/>
      <c r="C205" s="5"/>
      <c r="D205" s="5"/>
      <c r="E205" s="6"/>
      <c r="F205" s="7"/>
      <c r="G205" s="41"/>
      <c r="H205" s="6"/>
      <c r="I205" s="41"/>
      <c r="J205" s="41" t="b">
        <f t="shared" si="3"/>
        <v>0</v>
      </c>
    </row>
    <row r="206" spans="1:10" x14ac:dyDescent="0.2">
      <c r="A206" s="4">
        <v>198</v>
      </c>
      <c r="B206" s="5"/>
      <c r="C206" s="5"/>
      <c r="D206" s="5"/>
      <c r="E206" s="6"/>
      <c r="F206" s="7"/>
      <c r="G206" s="41"/>
      <c r="H206" s="6"/>
      <c r="I206" s="41"/>
      <c r="J206" s="41" t="b">
        <f t="shared" si="3"/>
        <v>0</v>
      </c>
    </row>
    <row r="207" spans="1:10" x14ac:dyDescent="0.2">
      <c r="A207" s="4">
        <v>199</v>
      </c>
      <c r="B207" s="5"/>
      <c r="C207" s="5"/>
      <c r="D207" s="5"/>
      <c r="E207" s="6"/>
      <c r="F207" s="7"/>
      <c r="G207" s="41"/>
      <c r="H207" s="6"/>
      <c r="I207" s="41"/>
      <c r="J207" s="41" t="b">
        <f t="shared" si="3"/>
        <v>0</v>
      </c>
    </row>
    <row r="208" spans="1:10" x14ac:dyDescent="0.2">
      <c r="A208" s="4">
        <v>200</v>
      </c>
      <c r="B208" s="5"/>
      <c r="C208" s="5"/>
      <c r="D208" s="5"/>
      <c r="E208" s="6"/>
      <c r="F208" s="7"/>
      <c r="G208" s="41"/>
      <c r="H208" s="6"/>
      <c r="I208" s="41"/>
      <c r="J208" s="41" t="b">
        <f t="shared" si="3"/>
        <v>0</v>
      </c>
    </row>
  </sheetData>
  <autoFilter ref="A8:J208" xr:uid="{00000000-0009-0000-0000-000009000000}"/>
  <mergeCells count="2">
    <mergeCell ref="A1:E1"/>
    <mergeCell ref="I1:J1"/>
  </mergeCells>
  <conditionalFormatting sqref="J8:J1048576">
    <cfRule type="cellIs" dxfId="161" priority="3" operator="equal">
      <formula>"ERROR"</formula>
    </cfRule>
  </conditionalFormatting>
  <conditionalFormatting sqref="D4">
    <cfRule type="cellIs" dxfId="160" priority="1" operator="lessThanOrEqual">
      <formula>0</formula>
    </cfRule>
    <cfRule type="cellIs" dxfId="159" priority="2" operator="greaterThan">
      <formula>0</formula>
    </cfRule>
  </conditionalFormatting>
  <dataValidations count="2">
    <dataValidation type="list" allowBlank="1" showInputMessage="1" showErrorMessage="1" sqref="H9:H1048576" xr:uid="{4AB40505-6169-594F-94F0-A4F88F774469}">
      <formula1>$M$3:$M$4</formula1>
    </dataValidation>
    <dataValidation type="list" allowBlank="1" showInputMessage="1" showErrorMessage="1" sqref="C10:C1048576" xr:uid="{5FF76C6E-B6DE-FA45-939E-93140922A069}">
      <formula1>$P$3:$P$5</formula1>
    </dataValidation>
  </dataValidations>
  <hyperlinks>
    <hyperlink ref="I1:J1" location="'Master Sheet'!A1" display="GO BACK TO MASTER SHEET" xr:uid="{19C23C49-F21D-4C4A-8FA4-60006752C54C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errorTitle="Invalid selection" error="Select a value from the list." promptTitle="Selection" prompt="Pick from the dropdown list." xr:uid="{D46FE9A7-AA6C-BB45-80F1-BABFC724B0A0}">
          <x14:formula1>
            <xm:f>'Master Sheet'!$AJ$5:$AJ$6</xm:f>
          </x14:formula1>
          <xm:sqref>E10:E1048576</xm:sqref>
        </x14:dataValidation>
        <x14:dataValidation type="list" allowBlank="1" errorTitle="Invalid selection" error="Select a value from the list." promptTitle="Selection" prompt="Pick from the dropdown list." xr:uid="{B685E905-40DC-A549-83E4-291B6FC8A4C0}">
          <x14:formula1>
            <xm:f>'Master Sheet'!$AE$5:$AE$28</xm:f>
          </x14:formula1>
          <xm:sqref>E9</xm:sqref>
        </x14:dataValidation>
        <x14:dataValidation type="list" allowBlank="1" showInputMessage="1" showErrorMessage="1" xr:uid="{30ABB738-0D88-C44D-85A7-B49F1FE3F4CD}">
          <x14:formula1>
            <xm:f>'Master Sheet'!$AT$5:$AT$59</xm:f>
          </x14:formula1>
          <xm:sqref>C9:D9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7D26E-7879-624C-A696-B1F920A306E5}">
  <sheetPr codeName="Sheet60"/>
  <dimension ref="A1:P208"/>
  <sheetViews>
    <sheetView showGridLines="0" workbookViewId="0">
      <pane ySplit="8" topLeftCell="A11" activePane="bottomLeft" state="frozen"/>
      <selection pane="bottomLeft" activeCell="I1" sqref="I1:J1"/>
    </sheetView>
  </sheetViews>
  <sheetFormatPr baseColWidth="10" defaultColWidth="8.83203125" defaultRowHeight="15" x14ac:dyDescent="0.2"/>
  <cols>
    <col min="1" max="1" width="10" customWidth="1"/>
    <col min="2" max="2" width="12" style="79" customWidth="1"/>
    <col min="3" max="3" width="20" bestFit="1" customWidth="1"/>
    <col min="4" max="4" width="13.5" bestFit="1" customWidth="1"/>
    <col min="5" max="6" width="13" customWidth="1"/>
    <col min="7" max="7" width="15.5" style="42" bestFit="1" customWidth="1"/>
    <col min="8" max="8" width="23.83203125" bestFit="1" customWidth="1"/>
    <col min="9" max="9" width="14.6640625" style="42" bestFit="1" customWidth="1"/>
    <col min="10" max="10" width="16" style="42" customWidth="1"/>
  </cols>
  <sheetData>
    <row r="1" spans="1:16" ht="24" customHeight="1" x14ac:dyDescent="0.2">
      <c r="A1" s="86" t="str">
        <f ca="1">VLOOKUP(A2,'Master Sheet'!T5:U8,2)</f>
        <v>Saqib Clearing Agent</v>
      </c>
      <c r="B1" s="86"/>
      <c r="C1" s="86"/>
      <c r="D1" s="86"/>
      <c r="E1" s="86"/>
      <c r="F1" s="49"/>
      <c r="G1" s="49"/>
      <c r="I1" s="87" t="s">
        <v>202</v>
      </c>
      <c r="J1" s="87"/>
    </row>
    <row r="2" spans="1:16" ht="20" thickBot="1" x14ac:dyDescent="0.3">
      <c r="A2" s="48" t="str" cm="1">
        <f t="array" aca="1" ref="A2" ca="1">MID(CELL("filename",A1),FIND("]",CELL("filename",A1))+1,99)</f>
        <v>L003</v>
      </c>
      <c r="G2"/>
      <c r="I2"/>
      <c r="J2"/>
    </row>
    <row r="3" spans="1:16" ht="16" thickBot="1" x14ac:dyDescent="0.25">
      <c r="A3" s="3"/>
      <c r="G3"/>
      <c r="I3"/>
      <c r="J3"/>
      <c r="M3" s="43" t="s">
        <v>197</v>
      </c>
      <c r="N3" s="44"/>
      <c r="P3" s="19" t="s">
        <v>208</v>
      </c>
    </row>
    <row r="4" spans="1:16" ht="16" thickBot="1" x14ac:dyDescent="0.25">
      <c r="A4" s="3"/>
      <c r="C4" s="20" t="s">
        <v>201</v>
      </c>
      <c r="D4" s="51">
        <f>SUM(J9:J1048576)</f>
        <v>417320</v>
      </c>
      <c r="G4"/>
      <c r="I4"/>
      <c r="J4"/>
      <c r="M4" s="30" t="s">
        <v>198</v>
      </c>
      <c r="N4" s="45"/>
      <c r="P4" s="18" t="s">
        <v>209</v>
      </c>
    </row>
    <row r="5" spans="1:16" ht="16" thickBot="1" x14ac:dyDescent="0.25">
      <c r="A5" s="3"/>
      <c r="G5"/>
      <c r="I5"/>
      <c r="J5"/>
      <c r="P5" s="9" t="s">
        <v>210</v>
      </c>
    </row>
    <row r="6" spans="1:16" x14ac:dyDescent="0.2">
      <c r="A6" s="3"/>
      <c r="G6"/>
      <c r="I6"/>
      <c r="J6"/>
    </row>
    <row r="7" spans="1:16" x14ac:dyDescent="0.2">
      <c r="A7" s="3"/>
      <c r="G7"/>
      <c r="I7"/>
      <c r="J7"/>
    </row>
    <row r="8" spans="1:16" ht="36" customHeight="1" x14ac:dyDescent="0.2">
      <c r="A8" s="1" t="s">
        <v>70</v>
      </c>
      <c r="B8" s="80" t="s">
        <v>71</v>
      </c>
      <c r="C8" s="1" t="s">
        <v>205</v>
      </c>
      <c r="D8" s="1" t="s">
        <v>206</v>
      </c>
      <c r="E8" s="1" t="s">
        <v>78</v>
      </c>
      <c r="F8" s="1" t="s">
        <v>74</v>
      </c>
      <c r="G8" s="1" t="s">
        <v>233</v>
      </c>
      <c r="H8" s="1" t="s">
        <v>81</v>
      </c>
      <c r="I8" s="1" t="s">
        <v>211</v>
      </c>
      <c r="J8" s="1" t="s">
        <v>196</v>
      </c>
    </row>
    <row r="9" spans="1:16" x14ac:dyDescent="0.2">
      <c r="A9" s="4">
        <v>1</v>
      </c>
      <c r="B9" s="81">
        <v>46096</v>
      </c>
      <c r="C9" s="5" t="s">
        <v>165</v>
      </c>
      <c r="D9" s="5"/>
      <c r="E9" s="6"/>
      <c r="F9" s="7">
        <v>450</v>
      </c>
      <c r="G9" s="41">
        <v>53960</v>
      </c>
      <c r="H9" s="6" t="s">
        <v>197</v>
      </c>
      <c r="I9" s="41"/>
      <c r="J9" s="41">
        <f>IF(H9=$M$3,G9,IF(H9=$M$4,-I9))</f>
        <v>53960</v>
      </c>
    </row>
    <row r="10" spans="1:16" x14ac:dyDescent="0.2">
      <c r="A10" s="4">
        <v>2</v>
      </c>
      <c r="B10" s="81">
        <v>46097</v>
      </c>
      <c r="C10" s="5" t="s">
        <v>164</v>
      </c>
      <c r="D10" s="5"/>
      <c r="E10" s="6"/>
      <c r="F10" s="7">
        <v>600</v>
      </c>
      <c r="G10" s="41">
        <v>53960</v>
      </c>
      <c r="H10" s="6" t="s">
        <v>197</v>
      </c>
      <c r="I10" s="41"/>
      <c r="J10" s="41">
        <f t="shared" ref="J10:J73" si="0">IF(H10=$M$3,G10,IF(H10=$M$4,-I10))</f>
        <v>53960</v>
      </c>
    </row>
    <row r="11" spans="1:16" x14ac:dyDescent="0.2">
      <c r="A11" s="4">
        <v>3</v>
      </c>
      <c r="B11" s="81">
        <v>46101</v>
      </c>
      <c r="C11" s="5" t="s">
        <v>164</v>
      </c>
      <c r="D11" s="5"/>
      <c r="E11" s="6"/>
      <c r="F11" s="7">
        <v>750</v>
      </c>
      <c r="G11" s="41">
        <v>53960</v>
      </c>
      <c r="H11" s="6" t="s">
        <v>197</v>
      </c>
      <c r="I11" s="41"/>
      <c r="J11" s="41">
        <f t="shared" si="0"/>
        <v>53960</v>
      </c>
    </row>
    <row r="12" spans="1:16" x14ac:dyDescent="0.2">
      <c r="A12" s="4">
        <v>4</v>
      </c>
      <c r="B12" s="81">
        <v>46103</v>
      </c>
      <c r="C12" s="5" t="s">
        <v>164</v>
      </c>
      <c r="D12" s="5"/>
      <c r="E12" s="6"/>
      <c r="F12" s="7">
        <v>600</v>
      </c>
      <c r="G12" s="41">
        <v>53960</v>
      </c>
      <c r="H12" s="6" t="s">
        <v>197</v>
      </c>
      <c r="I12" s="41"/>
      <c r="J12" s="41">
        <f t="shared" si="0"/>
        <v>53960</v>
      </c>
    </row>
    <row r="13" spans="1:16" x14ac:dyDescent="0.2">
      <c r="A13" s="4">
        <v>5</v>
      </c>
      <c r="B13" s="81">
        <v>46098</v>
      </c>
      <c r="C13" s="5" t="s">
        <v>164</v>
      </c>
      <c r="D13" s="5"/>
      <c r="E13" s="6"/>
      <c r="F13" s="7">
        <v>600</v>
      </c>
      <c r="G13" s="41">
        <v>53960</v>
      </c>
      <c r="H13" s="6" t="s">
        <v>197</v>
      </c>
      <c r="I13" s="41"/>
      <c r="J13" s="41">
        <f t="shared" si="0"/>
        <v>53960</v>
      </c>
    </row>
    <row r="14" spans="1:16" x14ac:dyDescent="0.2">
      <c r="A14" s="4">
        <v>6</v>
      </c>
      <c r="B14" s="81">
        <v>46108</v>
      </c>
      <c r="C14" s="5" t="s">
        <v>164</v>
      </c>
      <c r="D14" s="5"/>
      <c r="E14" s="6"/>
      <c r="F14" s="7">
        <v>600</v>
      </c>
      <c r="G14" s="41">
        <v>53960</v>
      </c>
      <c r="H14" s="6" t="s">
        <v>197</v>
      </c>
      <c r="I14" s="41"/>
      <c r="J14" s="41">
        <f t="shared" si="0"/>
        <v>53960</v>
      </c>
    </row>
    <row r="15" spans="1:16" x14ac:dyDescent="0.2">
      <c r="A15" s="4">
        <v>7</v>
      </c>
      <c r="B15" s="81">
        <v>46106</v>
      </c>
      <c r="C15" s="5" t="s">
        <v>164</v>
      </c>
      <c r="D15" s="5"/>
      <c r="E15" s="6"/>
      <c r="F15" s="7">
        <v>600</v>
      </c>
      <c r="G15" s="41">
        <v>53960</v>
      </c>
      <c r="H15" s="6" t="s">
        <v>197</v>
      </c>
      <c r="I15" s="41"/>
      <c r="J15" s="41">
        <f t="shared" si="0"/>
        <v>53960</v>
      </c>
    </row>
    <row r="16" spans="1:16" x14ac:dyDescent="0.2">
      <c r="A16" s="4">
        <v>8</v>
      </c>
      <c r="B16" s="81">
        <v>46090</v>
      </c>
      <c r="C16" s="5" t="s">
        <v>164</v>
      </c>
      <c r="D16" s="5"/>
      <c r="E16" s="6"/>
      <c r="F16" s="82">
        <v>600</v>
      </c>
      <c r="G16" s="41">
        <v>53960</v>
      </c>
      <c r="H16" s="6" t="s">
        <v>197</v>
      </c>
      <c r="I16" s="41"/>
      <c r="J16" s="41">
        <f t="shared" si="0"/>
        <v>53960</v>
      </c>
    </row>
    <row r="17" spans="1:10" x14ac:dyDescent="0.2">
      <c r="A17" s="4">
        <v>9</v>
      </c>
      <c r="B17" s="81">
        <v>46091</v>
      </c>
      <c r="C17" s="5" t="s">
        <v>164</v>
      </c>
      <c r="D17" s="5"/>
      <c r="E17" s="6"/>
      <c r="F17" s="7">
        <v>450</v>
      </c>
      <c r="G17" s="41">
        <v>53960</v>
      </c>
      <c r="H17" s="6" t="s">
        <v>197</v>
      </c>
      <c r="I17" s="41"/>
      <c r="J17" s="41">
        <f t="shared" si="0"/>
        <v>53960</v>
      </c>
    </row>
    <row r="18" spans="1:10" x14ac:dyDescent="0.2">
      <c r="A18" s="4">
        <v>10</v>
      </c>
      <c r="B18" s="81">
        <v>46097</v>
      </c>
      <c r="C18" s="5" t="s">
        <v>165</v>
      </c>
      <c r="D18" s="5"/>
      <c r="E18" s="6"/>
      <c r="F18" s="7">
        <v>450</v>
      </c>
      <c r="G18" s="41">
        <v>53960</v>
      </c>
      <c r="H18" s="6" t="s">
        <v>197</v>
      </c>
      <c r="I18" s="41"/>
      <c r="J18" s="41">
        <f t="shared" si="0"/>
        <v>53960</v>
      </c>
    </row>
    <row r="19" spans="1:10" x14ac:dyDescent="0.2">
      <c r="A19" s="4">
        <v>11</v>
      </c>
      <c r="B19" s="81">
        <v>46100</v>
      </c>
      <c r="C19" s="5" t="s">
        <v>164</v>
      </c>
      <c r="D19" s="5"/>
      <c r="E19" s="6"/>
      <c r="F19" s="7">
        <v>600</v>
      </c>
      <c r="G19" s="41">
        <v>53960</v>
      </c>
      <c r="H19" s="6" t="s">
        <v>197</v>
      </c>
      <c r="I19" s="41"/>
      <c r="J19" s="41">
        <f t="shared" si="0"/>
        <v>53960</v>
      </c>
    </row>
    <row r="20" spans="1:10" x14ac:dyDescent="0.2">
      <c r="A20" s="4">
        <v>12</v>
      </c>
      <c r="B20" s="81">
        <v>46101</v>
      </c>
      <c r="C20" s="5" t="s">
        <v>164</v>
      </c>
      <c r="D20" s="5"/>
      <c r="E20" s="6"/>
      <c r="F20" s="7">
        <v>600</v>
      </c>
      <c r="G20" s="41">
        <v>53960</v>
      </c>
      <c r="H20" s="6" t="s">
        <v>197</v>
      </c>
      <c r="I20" s="41"/>
      <c r="J20" s="41">
        <f t="shared" si="0"/>
        <v>53960</v>
      </c>
    </row>
    <row r="21" spans="1:10" x14ac:dyDescent="0.2">
      <c r="A21" s="4">
        <v>13</v>
      </c>
      <c r="B21" s="81">
        <v>46102</v>
      </c>
      <c r="C21" s="5" t="s">
        <v>164</v>
      </c>
      <c r="D21" s="5"/>
      <c r="E21" s="6"/>
      <c r="F21" s="7">
        <v>600</v>
      </c>
      <c r="G21" s="41">
        <v>53960</v>
      </c>
      <c r="H21" s="6" t="s">
        <v>197</v>
      </c>
      <c r="I21" s="41"/>
      <c r="J21" s="41">
        <f t="shared" si="0"/>
        <v>53960</v>
      </c>
    </row>
    <row r="22" spans="1:10" x14ac:dyDescent="0.2">
      <c r="A22" s="4">
        <v>14</v>
      </c>
      <c r="B22" s="81">
        <v>46104</v>
      </c>
      <c r="C22" s="5" t="s">
        <v>164</v>
      </c>
      <c r="D22" s="5"/>
      <c r="E22" s="6"/>
      <c r="F22" s="7">
        <v>270</v>
      </c>
      <c r="G22" s="41">
        <v>53960</v>
      </c>
      <c r="H22" s="6" t="s">
        <v>197</v>
      </c>
      <c r="I22" s="41"/>
      <c r="J22" s="41">
        <f t="shared" si="0"/>
        <v>53960</v>
      </c>
    </row>
    <row r="23" spans="1:10" x14ac:dyDescent="0.2">
      <c r="A23" s="4">
        <v>15</v>
      </c>
      <c r="B23" s="81">
        <v>46091</v>
      </c>
      <c r="C23" s="5" t="s">
        <v>164</v>
      </c>
      <c r="D23" s="5"/>
      <c r="E23" s="6"/>
      <c r="F23" s="7">
        <v>600</v>
      </c>
      <c r="G23" s="41">
        <v>53960</v>
      </c>
      <c r="H23" s="6" t="s">
        <v>197</v>
      </c>
      <c r="I23" s="41"/>
      <c r="J23" s="41">
        <f t="shared" si="0"/>
        <v>53960</v>
      </c>
    </row>
    <row r="24" spans="1:10" x14ac:dyDescent="0.2">
      <c r="A24" s="4">
        <v>16</v>
      </c>
      <c r="B24" s="81">
        <v>46101</v>
      </c>
      <c r="C24" s="5" t="s">
        <v>164</v>
      </c>
      <c r="D24" s="5"/>
      <c r="E24" s="6"/>
      <c r="F24" s="7">
        <v>600</v>
      </c>
      <c r="G24" s="41">
        <v>53960</v>
      </c>
      <c r="H24" s="6" t="s">
        <v>197</v>
      </c>
      <c r="I24" s="41"/>
      <c r="J24" s="41">
        <f t="shared" si="0"/>
        <v>53960</v>
      </c>
    </row>
    <row r="25" spans="1:10" x14ac:dyDescent="0.2">
      <c r="A25" s="4">
        <v>17</v>
      </c>
      <c r="B25" s="81">
        <v>46091</v>
      </c>
      <c r="C25" s="5" t="s">
        <v>164</v>
      </c>
      <c r="D25" s="5"/>
      <c r="E25" s="6"/>
      <c r="F25" s="7">
        <v>372</v>
      </c>
      <c r="G25" s="41">
        <v>53960</v>
      </c>
      <c r="H25" s="6" t="s">
        <v>197</v>
      </c>
      <c r="I25" s="41"/>
      <c r="J25" s="41">
        <f t="shared" si="0"/>
        <v>53960</v>
      </c>
    </row>
    <row r="26" spans="1:10" x14ac:dyDescent="0.2">
      <c r="A26" s="4">
        <v>18</v>
      </c>
      <c r="B26" s="81">
        <v>46100</v>
      </c>
      <c r="C26" s="5"/>
      <c r="D26" s="5"/>
      <c r="E26" s="6"/>
      <c r="F26" s="7"/>
      <c r="G26" s="41"/>
      <c r="H26" s="6" t="s">
        <v>198</v>
      </c>
      <c r="I26" s="41">
        <v>500000</v>
      </c>
      <c r="J26" s="41">
        <f t="shared" si="0"/>
        <v>-500000</v>
      </c>
    </row>
    <row r="27" spans="1:10" x14ac:dyDescent="0.2">
      <c r="A27" s="4">
        <v>19</v>
      </c>
      <c r="B27" s="81"/>
      <c r="C27" s="5"/>
      <c r="D27" s="5"/>
      <c r="E27" s="6"/>
      <c r="F27" s="7"/>
      <c r="G27" s="41"/>
      <c r="H27" s="6"/>
      <c r="I27" s="41"/>
      <c r="J27" s="41" t="b">
        <f t="shared" si="0"/>
        <v>0</v>
      </c>
    </row>
    <row r="28" spans="1:10" x14ac:dyDescent="0.2">
      <c r="A28" s="4">
        <v>20</v>
      </c>
      <c r="B28" s="81"/>
      <c r="C28" s="5"/>
      <c r="D28" s="5"/>
      <c r="E28" s="6"/>
      <c r="F28" s="7"/>
      <c r="G28" s="41"/>
      <c r="H28" s="6"/>
      <c r="I28" s="41"/>
      <c r="J28" s="41" t="b">
        <f t="shared" si="0"/>
        <v>0</v>
      </c>
    </row>
    <row r="29" spans="1:10" x14ac:dyDescent="0.2">
      <c r="A29" s="4">
        <v>21</v>
      </c>
      <c r="B29" s="81"/>
      <c r="C29" s="5"/>
      <c r="D29" s="5"/>
      <c r="E29" s="6"/>
      <c r="F29" s="7"/>
      <c r="G29" s="41"/>
      <c r="H29" s="6"/>
      <c r="I29" s="41"/>
      <c r="J29" s="41" t="b">
        <f t="shared" si="0"/>
        <v>0</v>
      </c>
    </row>
    <row r="30" spans="1:10" x14ac:dyDescent="0.2">
      <c r="A30" s="4">
        <v>22</v>
      </c>
      <c r="B30" s="81"/>
      <c r="C30" s="5"/>
      <c r="D30" s="5"/>
      <c r="E30" s="6"/>
      <c r="F30" s="7"/>
      <c r="G30" s="41"/>
      <c r="H30" s="6"/>
      <c r="I30" s="41"/>
      <c r="J30" s="41" t="b">
        <f t="shared" si="0"/>
        <v>0</v>
      </c>
    </row>
    <row r="31" spans="1:10" x14ac:dyDescent="0.2">
      <c r="A31" s="4">
        <v>23</v>
      </c>
      <c r="B31" s="81"/>
      <c r="C31" s="5"/>
      <c r="D31" s="5"/>
      <c r="E31" s="6"/>
      <c r="F31" s="7"/>
      <c r="G31" s="41"/>
      <c r="H31" s="6"/>
      <c r="I31" s="41"/>
      <c r="J31" s="41" t="b">
        <f t="shared" si="0"/>
        <v>0</v>
      </c>
    </row>
    <row r="32" spans="1:10" x14ac:dyDescent="0.2">
      <c r="A32" s="4">
        <v>24</v>
      </c>
      <c r="B32" s="81"/>
      <c r="C32" s="5"/>
      <c r="D32" s="5"/>
      <c r="E32" s="6"/>
      <c r="F32" s="7"/>
      <c r="G32" s="41"/>
      <c r="H32" s="6"/>
      <c r="I32" s="41"/>
      <c r="J32" s="41" t="b">
        <f t="shared" si="0"/>
        <v>0</v>
      </c>
    </row>
    <row r="33" spans="1:10" x14ac:dyDescent="0.2">
      <c r="A33" s="4">
        <v>25</v>
      </c>
      <c r="B33" s="81"/>
      <c r="C33" s="5"/>
      <c r="D33" s="5"/>
      <c r="E33" s="6"/>
      <c r="F33" s="7"/>
      <c r="G33" s="41"/>
      <c r="H33" s="6"/>
      <c r="I33" s="41"/>
      <c r="J33" s="41" t="b">
        <f t="shared" si="0"/>
        <v>0</v>
      </c>
    </row>
    <row r="34" spans="1:10" x14ac:dyDescent="0.2">
      <c r="A34" s="4">
        <v>26</v>
      </c>
      <c r="B34" s="81"/>
      <c r="C34" s="5"/>
      <c r="D34" s="5"/>
      <c r="E34" s="6"/>
      <c r="F34" s="7"/>
      <c r="G34" s="41"/>
      <c r="H34" s="6"/>
      <c r="I34" s="41"/>
      <c r="J34" s="41" t="b">
        <f t="shared" si="0"/>
        <v>0</v>
      </c>
    </row>
    <row r="35" spans="1:10" x14ac:dyDescent="0.2">
      <c r="A35" s="4">
        <v>27</v>
      </c>
      <c r="B35" s="81"/>
      <c r="C35" s="5"/>
      <c r="D35" s="5"/>
      <c r="E35" s="6"/>
      <c r="F35" s="7"/>
      <c r="G35" s="41"/>
      <c r="H35" s="6"/>
      <c r="I35" s="41"/>
      <c r="J35" s="41" t="b">
        <f t="shared" si="0"/>
        <v>0</v>
      </c>
    </row>
    <row r="36" spans="1:10" x14ac:dyDescent="0.2">
      <c r="A36" s="4">
        <v>28</v>
      </c>
      <c r="B36" s="81"/>
      <c r="C36" s="5"/>
      <c r="D36" s="5"/>
      <c r="E36" s="6"/>
      <c r="F36" s="7"/>
      <c r="G36" s="41"/>
      <c r="H36" s="6"/>
      <c r="I36" s="41"/>
      <c r="J36" s="41" t="b">
        <f t="shared" si="0"/>
        <v>0</v>
      </c>
    </row>
    <row r="37" spans="1:10" x14ac:dyDescent="0.2">
      <c r="A37" s="4">
        <v>29</v>
      </c>
      <c r="B37" s="81"/>
      <c r="C37" s="5"/>
      <c r="D37" s="5"/>
      <c r="E37" s="6"/>
      <c r="F37" s="7"/>
      <c r="G37" s="41"/>
      <c r="H37" s="6"/>
      <c r="I37" s="41"/>
      <c r="J37" s="41" t="b">
        <f t="shared" si="0"/>
        <v>0</v>
      </c>
    </row>
    <row r="38" spans="1:10" x14ac:dyDescent="0.2">
      <c r="A38" s="4">
        <v>30</v>
      </c>
      <c r="B38" s="81"/>
      <c r="C38" s="5"/>
      <c r="D38" s="5"/>
      <c r="E38" s="6"/>
      <c r="F38" s="7"/>
      <c r="G38" s="41"/>
      <c r="H38" s="6"/>
      <c r="I38" s="41"/>
      <c r="J38" s="41" t="b">
        <f t="shared" si="0"/>
        <v>0</v>
      </c>
    </row>
    <row r="39" spans="1:10" x14ac:dyDescent="0.2">
      <c r="A39" s="4">
        <v>31</v>
      </c>
      <c r="B39" s="81"/>
      <c r="C39" s="5"/>
      <c r="D39" s="5"/>
      <c r="E39" s="6"/>
      <c r="F39" s="7"/>
      <c r="G39" s="41"/>
      <c r="H39" s="6"/>
      <c r="I39" s="41"/>
      <c r="J39" s="41" t="b">
        <f t="shared" si="0"/>
        <v>0</v>
      </c>
    </row>
    <row r="40" spans="1:10" x14ac:dyDescent="0.2">
      <c r="A40" s="4">
        <v>32</v>
      </c>
      <c r="B40" s="81"/>
      <c r="C40" s="5"/>
      <c r="D40" s="5"/>
      <c r="E40" s="6"/>
      <c r="F40" s="7"/>
      <c r="G40" s="41"/>
      <c r="H40" s="6"/>
      <c r="I40" s="41"/>
      <c r="J40" s="41" t="b">
        <f t="shared" si="0"/>
        <v>0</v>
      </c>
    </row>
    <row r="41" spans="1:10" x14ac:dyDescent="0.2">
      <c r="A41" s="4">
        <v>33</v>
      </c>
      <c r="B41" s="81"/>
      <c r="C41" s="5"/>
      <c r="D41" s="5"/>
      <c r="E41" s="6"/>
      <c r="F41" s="7"/>
      <c r="G41" s="41"/>
      <c r="H41" s="6"/>
      <c r="I41" s="41"/>
      <c r="J41" s="41" t="b">
        <f t="shared" si="0"/>
        <v>0</v>
      </c>
    </row>
    <row r="42" spans="1:10" x14ac:dyDescent="0.2">
      <c r="A42" s="4">
        <v>34</v>
      </c>
      <c r="B42" s="81"/>
      <c r="C42" s="5"/>
      <c r="D42" s="5"/>
      <c r="E42" s="6"/>
      <c r="F42" s="7"/>
      <c r="G42" s="41"/>
      <c r="H42" s="6"/>
      <c r="I42" s="41"/>
      <c r="J42" s="41" t="b">
        <f t="shared" si="0"/>
        <v>0</v>
      </c>
    </row>
    <row r="43" spans="1:10" x14ac:dyDescent="0.2">
      <c r="A43" s="4">
        <v>35</v>
      </c>
      <c r="B43" s="81"/>
      <c r="C43" s="5"/>
      <c r="D43" s="5"/>
      <c r="E43" s="6"/>
      <c r="F43" s="7"/>
      <c r="G43" s="41"/>
      <c r="H43" s="6"/>
      <c r="I43" s="41"/>
      <c r="J43" s="41" t="b">
        <f t="shared" si="0"/>
        <v>0</v>
      </c>
    </row>
    <row r="44" spans="1:10" x14ac:dyDescent="0.2">
      <c r="A44" s="4">
        <v>36</v>
      </c>
      <c r="B44" s="81"/>
      <c r="C44" s="5"/>
      <c r="D44" s="5"/>
      <c r="E44" s="6"/>
      <c r="F44" s="7"/>
      <c r="G44" s="41"/>
      <c r="H44" s="6"/>
      <c r="I44" s="41"/>
      <c r="J44" s="41" t="b">
        <f t="shared" si="0"/>
        <v>0</v>
      </c>
    </row>
    <row r="45" spans="1:10" x14ac:dyDescent="0.2">
      <c r="A45" s="4">
        <v>37</v>
      </c>
      <c r="B45" s="81"/>
      <c r="C45" s="5"/>
      <c r="D45" s="5"/>
      <c r="E45" s="6"/>
      <c r="F45" s="7"/>
      <c r="G45" s="41"/>
      <c r="H45" s="6"/>
      <c r="I45" s="41"/>
      <c r="J45" s="41" t="b">
        <f t="shared" si="0"/>
        <v>0</v>
      </c>
    </row>
    <row r="46" spans="1:10" x14ac:dyDescent="0.2">
      <c r="A46" s="4">
        <v>38</v>
      </c>
      <c r="B46" s="81"/>
      <c r="C46" s="5"/>
      <c r="D46" s="5"/>
      <c r="E46" s="6"/>
      <c r="F46" s="7"/>
      <c r="G46" s="41"/>
      <c r="H46" s="6"/>
      <c r="I46" s="41"/>
      <c r="J46" s="41" t="b">
        <f t="shared" si="0"/>
        <v>0</v>
      </c>
    </row>
    <row r="47" spans="1:10" x14ac:dyDescent="0.2">
      <c r="A47" s="4">
        <v>39</v>
      </c>
      <c r="B47" s="81"/>
      <c r="C47" s="5"/>
      <c r="D47" s="5"/>
      <c r="E47" s="6"/>
      <c r="F47" s="7"/>
      <c r="G47" s="41"/>
      <c r="H47" s="6"/>
      <c r="I47" s="41"/>
      <c r="J47" s="41" t="b">
        <f t="shared" si="0"/>
        <v>0</v>
      </c>
    </row>
    <row r="48" spans="1:10" x14ac:dyDescent="0.2">
      <c r="A48" s="4">
        <v>40</v>
      </c>
      <c r="B48" s="81"/>
      <c r="C48" s="5"/>
      <c r="D48" s="5"/>
      <c r="E48" s="6"/>
      <c r="F48" s="7"/>
      <c r="G48" s="41"/>
      <c r="H48" s="6"/>
      <c r="I48" s="41"/>
      <c r="J48" s="41" t="b">
        <f t="shared" si="0"/>
        <v>0</v>
      </c>
    </row>
    <row r="49" spans="1:10" x14ac:dyDescent="0.2">
      <c r="A49" s="4">
        <v>41</v>
      </c>
      <c r="B49" s="81"/>
      <c r="C49" s="5"/>
      <c r="D49" s="5"/>
      <c r="E49" s="6"/>
      <c r="F49" s="7"/>
      <c r="G49" s="41"/>
      <c r="H49" s="6"/>
      <c r="I49" s="41"/>
      <c r="J49" s="41" t="b">
        <f t="shared" si="0"/>
        <v>0</v>
      </c>
    </row>
    <row r="50" spans="1:10" x14ac:dyDescent="0.2">
      <c r="A50" s="4">
        <v>42</v>
      </c>
      <c r="B50" s="81"/>
      <c r="C50" s="5"/>
      <c r="D50" s="5"/>
      <c r="E50" s="6"/>
      <c r="F50" s="7"/>
      <c r="G50" s="41"/>
      <c r="H50" s="6"/>
      <c r="I50" s="41"/>
      <c r="J50" s="41" t="b">
        <f t="shared" si="0"/>
        <v>0</v>
      </c>
    </row>
    <row r="51" spans="1:10" x14ac:dyDescent="0.2">
      <c r="A51" s="4">
        <v>43</v>
      </c>
      <c r="B51" s="81"/>
      <c r="C51" s="5"/>
      <c r="D51" s="5"/>
      <c r="E51" s="6"/>
      <c r="F51" s="7"/>
      <c r="G51" s="41"/>
      <c r="H51" s="6"/>
      <c r="I51" s="41"/>
      <c r="J51" s="41" t="b">
        <f t="shared" si="0"/>
        <v>0</v>
      </c>
    </row>
    <row r="52" spans="1:10" x14ac:dyDescent="0.2">
      <c r="A52" s="4">
        <v>44</v>
      </c>
      <c r="B52" s="81"/>
      <c r="C52" s="5"/>
      <c r="D52" s="5"/>
      <c r="E52" s="6"/>
      <c r="F52" s="7"/>
      <c r="G52" s="41"/>
      <c r="H52" s="6"/>
      <c r="I52" s="41"/>
      <c r="J52" s="41" t="b">
        <f t="shared" si="0"/>
        <v>0</v>
      </c>
    </row>
    <row r="53" spans="1:10" x14ac:dyDescent="0.2">
      <c r="A53" s="4">
        <v>45</v>
      </c>
      <c r="B53" s="81"/>
      <c r="C53" s="5"/>
      <c r="D53" s="5"/>
      <c r="E53" s="6"/>
      <c r="F53" s="7"/>
      <c r="G53" s="41"/>
      <c r="H53" s="6"/>
      <c r="I53" s="41"/>
      <c r="J53" s="41" t="b">
        <f t="shared" si="0"/>
        <v>0</v>
      </c>
    </row>
    <row r="54" spans="1:10" x14ac:dyDescent="0.2">
      <c r="A54" s="4">
        <v>46</v>
      </c>
      <c r="B54" s="81"/>
      <c r="C54" s="5"/>
      <c r="D54" s="5"/>
      <c r="E54" s="6"/>
      <c r="F54" s="7"/>
      <c r="G54" s="41"/>
      <c r="H54" s="6"/>
      <c r="I54" s="41"/>
      <c r="J54" s="41" t="b">
        <f t="shared" si="0"/>
        <v>0</v>
      </c>
    </row>
    <row r="55" spans="1:10" x14ac:dyDescent="0.2">
      <c r="A55" s="4">
        <v>47</v>
      </c>
      <c r="B55" s="81"/>
      <c r="C55" s="5"/>
      <c r="D55" s="5"/>
      <c r="E55" s="6"/>
      <c r="F55" s="7"/>
      <c r="G55" s="41"/>
      <c r="H55" s="6"/>
      <c r="I55" s="41"/>
      <c r="J55" s="41" t="b">
        <f t="shared" si="0"/>
        <v>0</v>
      </c>
    </row>
    <row r="56" spans="1:10" x14ac:dyDescent="0.2">
      <c r="A56" s="4">
        <v>48</v>
      </c>
      <c r="B56" s="81"/>
      <c r="C56" s="5"/>
      <c r="D56" s="5"/>
      <c r="E56" s="6"/>
      <c r="F56" s="7"/>
      <c r="G56" s="41"/>
      <c r="H56" s="6"/>
      <c r="I56" s="41"/>
      <c r="J56" s="41" t="b">
        <f t="shared" si="0"/>
        <v>0</v>
      </c>
    </row>
    <row r="57" spans="1:10" x14ac:dyDescent="0.2">
      <c r="A57" s="4">
        <v>49</v>
      </c>
      <c r="B57" s="81"/>
      <c r="C57" s="5"/>
      <c r="D57" s="5"/>
      <c r="E57" s="6"/>
      <c r="F57" s="7"/>
      <c r="G57" s="41"/>
      <c r="H57" s="6"/>
      <c r="I57" s="41"/>
      <c r="J57" s="41" t="b">
        <f t="shared" si="0"/>
        <v>0</v>
      </c>
    </row>
    <row r="58" spans="1:10" x14ac:dyDescent="0.2">
      <c r="A58" s="4">
        <v>50</v>
      </c>
      <c r="B58" s="81"/>
      <c r="C58" s="5"/>
      <c r="D58" s="5"/>
      <c r="E58" s="6"/>
      <c r="F58" s="7"/>
      <c r="G58" s="41"/>
      <c r="H58" s="6"/>
      <c r="I58" s="41"/>
      <c r="J58" s="41" t="b">
        <f t="shared" si="0"/>
        <v>0</v>
      </c>
    </row>
    <row r="59" spans="1:10" x14ac:dyDescent="0.2">
      <c r="A59" s="4">
        <v>51</v>
      </c>
      <c r="B59" s="81"/>
      <c r="C59" s="5"/>
      <c r="D59" s="5"/>
      <c r="E59" s="6"/>
      <c r="F59" s="7"/>
      <c r="G59" s="41"/>
      <c r="H59" s="6"/>
      <c r="I59" s="41"/>
      <c r="J59" s="41" t="b">
        <f t="shared" si="0"/>
        <v>0</v>
      </c>
    </row>
    <row r="60" spans="1:10" x14ac:dyDescent="0.2">
      <c r="A60" s="4">
        <v>52</v>
      </c>
      <c r="B60" s="81"/>
      <c r="C60" s="5"/>
      <c r="D60" s="5"/>
      <c r="E60" s="6"/>
      <c r="F60" s="7"/>
      <c r="G60" s="41"/>
      <c r="H60" s="6"/>
      <c r="I60" s="41"/>
      <c r="J60" s="41" t="b">
        <f t="shared" si="0"/>
        <v>0</v>
      </c>
    </row>
    <row r="61" spans="1:10" x14ac:dyDescent="0.2">
      <c r="A61" s="4">
        <v>53</v>
      </c>
      <c r="B61" s="81"/>
      <c r="C61" s="5"/>
      <c r="D61" s="5"/>
      <c r="E61" s="6"/>
      <c r="F61" s="7"/>
      <c r="G61" s="41"/>
      <c r="H61" s="6"/>
      <c r="I61" s="41"/>
      <c r="J61" s="41" t="b">
        <f t="shared" si="0"/>
        <v>0</v>
      </c>
    </row>
    <row r="62" spans="1:10" x14ac:dyDescent="0.2">
      <c r="A62" s="4">
        <v>54</v>
      </c>
      <c r="B62" s="81"/>
      <c r="C62" s="5"/>
      <c r="D62" s="5"/>
      <c r="E62" s="6"/>
      <c r="F62" s="7"/>
      <c r="G62" s="41"/>
      <c r="H62" s="6"/>
      <c r="I62" s="41"/>
      <c r="J62" s="41" t="b">
        <f t="shared" si="0"/>
        <v>0</v>
      </c>
    </row>
    <row r="63" spans="1:10" x14ac:dyDescent="0.2">
      <c r="A63" s="4">
        <v>55</v>
      </c>
      <c r="B63" s="81"/>
      <c r="C63" s="5"/>
      <c r="D63" s="5"/>
      <c r="E63" s="6"/>
      <c r="F63" s="7"/>
      <c r="G63" s="41"/>
      <c r="H63" s="6"/>
      <c r="I63" s="41"/>
      <c r="J63" s="41" t="b">
        <f t="shared" si="0"/>
        <v>0</v>
      </c>
    </row>
    <row r="64" spans="1:10" x14ac:dyDescent="0.2">
      <c r="A64" s="4">
        <v>56</v>
      </c>
      <c r="B64" s="81"/>
      <c r="C64" s="5"/>
      <c r="D64" s="5"/>
      <c r="E64" s="6"/>
      <c r="F64" s="7"/>
      <c r="G64" s="41"/>
      <c r="H64" s="6"/>
      <c r="I64" s="41"/>
      <c r="J64" s="41" t="b">
        <f t="shared" si="0"/>
        <v>0</v>
      </c>
    </row>
    <row r="65" spans="1:10" x14ac:dyDescent="0.2">
      <c r="A65" s="4">
        <v>57</v>
      </c>
      <c r="B65" s="81"/>
      <c r="C65" s="5"/>
      <c r="D65" s="5"/>
      <c r="E65" s="6"/>
      <c r="F65" s="7"/>
      <c r="G65" s="41"/>
      <c r="H65" s="6"/>
      <c r="I65" s="41"/>
      <c r="J65" s="41" t="b">
        <f t="shared" si="0"/>
        <v>0</v>
      </c>
    </row>
    <row r="66" spans="1:10" x14ac:dyDescent="0.2">
      <c r="A66" s="4">
        <v>58</v>
      </c>
      <c r="B66" s="81"/>
      <c r="C66" s="5"/>
      <c r="D66" s="5"/>
      <c r="E66" s="6"/>
      <c r="F66" s="7"/>
      <c r="G66" s="41"/>
      <c r="H66" s="6"/>
      <c r="I66" s="41"/>
      <c r="J66" s="41" t="b">
        <f t="shared" si="0"/>
        <v>0</v>
      </c>
    </row>
    <row r="67" spans="1:10" x14ac:dyDescent="0.2">
      <c r="A67" s="4">
        <v>59</v>
      </c>
      <c r="B67" s="81"/>
      <c r="C67" s="5"/>
      <c r="D67" s="5"/>
      <c r="E67" s="6"/>
      <c r="F67" s="7"/>
      <c r="G67" s="41"/>
      <c r="H67" s="6"/>
      <c r="I67" s="41"/>
      <c r="J67" s="41" t="b">
        <f t="shared" si="0"/>
        <v>0</v>
      </c>
    </row>
    <row r="68" spans="1:10" x14ac:dyDescent="0.2">
      <c r="A68" s="4">
        <v>60</v>
      </c>
      <c r="B68" s="81"/>
      <c r="C68" s="5"/>
      <c r="D68" s="5"/>
      <c r="E68" s="6"/>
      <c r="F68" s="7"/>
      <c r="G68" s="41"/>
      <c r="H68" s="6"/>
      <c r="I68" s="41"/>
      <c r="J68" s="41" t="b">
        <f t="shared" si="0"/>
        <v>0</v>
      </c>
    </row>
    <row r="69" spans="1:10" x14ac:dyDescent="0.2">
      <c r="A69" s="4">
        <v>61</v>
      </c>
      <c r="B69" s="81"/>
      <c r="C69" s="5"/>
      <c r="D69" s="5"/>
      <c r="E69" s="6"/>
      <c r="F69" s="7"/>
      <c r="G69" s="41"/>
      <c r="H69" s="6"/>
      <c r="I69" s="41"/>
      <c r="J69" s="41" t="b">
        <f t="shared" si="0"/>
        <v>0</v>
      </c>
    </row>
    <row r="70" spans="1:10" x14ac:dyDescent="0.2">
      <c r="A70" s="4">
        <v>62</v>
      </c>
      <c r="B70" s="81"/>
      <c r="C70" s="5"/>
      <c r="D70" s="5"/>
      <c r="E70" s="6"/>
      <c r="F70" s="7"/>
      <c r="G70" s="41"/>
      <c r="H70" s="6"/>
      <c r="I70" s="41"/>
      <c r="J70" s="41" t="b">
        <f t="shared" si="0"/>
        <v>0</v>
      </c>
    </row>
    <row r="71" spans="1:10" x14ac:dyDescent="0.2">
      <c r="A71" s="4">
        <v>63</v>
      </c>
      <c r="B71" s="81"/>
      <c r="C71" s="5"/>
      <c r="D71" s="5"/>
      <c r="E71" s="6"/>
      <c r="F71" s="7"/>
      <c r="G71" s="41"/>
      <c r="H71" s="6"/>
      <c r="I71" s="41"/>
      <c r="J71" s="41" t="b">
        <f t="shared" si="0"/>
        <v>0</v>
      </c>
    </row>
    <row r="72" spans="1:10" x14ac:dyDescent="0.2">
      <c r="A72" s="4">
        <v>64</v>
      </c>
      <c r="B72" s="81"/>
      <c r="C72" s="5"/>
      <c r="D72" s="5"/>
      <c r="E72" s="6"/>
      <c r="F72" s="7"/>
      <c r="G72" s="41"/>
      <c r="H72" s="6"/>
      <c r="I72" s="41"/>
      <c r="J72" s="41" t="b">
        <f t="shared" si="0"/>
        <v>0</v>
      </c>
    </row>
    <row r="73" spans="1:10" x14ac:dyDescent="0.2">
      <c r="A73" s="4">
        <v>65</v>
      </c>
      <c r="B73" s="81"/>
      <c r="C73" s="5"/>
      <c r="D73" s="5"/>
      <c r="E73" s="6"/>
      <c r="F73" s="7"/>
      <c r="G73" s="41"/>
      <c r="H73" s="6"/>
      <c r="I73" s="41"/>
      <c r="J73" s="41" t="b">
        <f t="shared" si="0"/>
        <v>0</v>
      </c>
    </row>
    <row r="74" spans="1:10" x14ac:dyDescent="0.2">
      <c r="A74" s="4">
        <v>66</v>
      </c>
      <c r="B74" s="81"/>
      <c r="C74" s="5"/>
      <c r="D74" s="5"/>
      <c r="E74" s="6"/>
      <c r="F74" s="7"/>
      <c r="G74" s="41"/>
      <c r="H74" s="6"/>
      <c r="I74" s="41"/>
      <c r="J74" s="41" t="b">
        <f t="shared" ref="J74:J137" si="1">IF(H74=$M$3,G74,IF(H74=$M$4,-I74))</f>
        <v>0</v>
      </c>
    </row>
    <row r="75" spans="1:10" x14ac:dyDescent="0.2">
      <c r="A75" s="4">
        <v>67</v>
      </c>
      <c r="B75" s="81"/>
      <c r="C75" s="5"/>
      <c r="D75" s="5"/>
      <c r="E75" s="6"/>
      <c r="F75" s="7"/>
      <c r="G75" s="41"/>
      <c r="H75" s="6"/>
      <c r="I75" s="41"/>
      <c r="J75" s="41" t="b">
        <f t="shared" si="1"/>
        <v>0</v>
      </c>
    </row>
    <row r="76" spans="1:10" x14ac:dyDescent="0.2">
      <c r="A76" s="4">
        <v>68</v>
      </c>
      <c r="B76" s="81"/>
      <c r="C76" s="5"/>
      <c r="D76" s="5"/>
      <c r="E76" s="6"/>
      <c r="F76" s="7"/>
      <c r="G76" s="41"/>
      <c r="H76" s="6"/>
      <c r="I76" s="41"/>
      <c r="J76" s="41" t="b">
        <f t="shared" si="1"/>
        <v>0</v>
      </c>
    </row>
    <row r="77" spans="1:10" x14ac:dyDescent="0.2">
      <c r="A77" s="4">
        <v>69</v>
      </c>
      <c r="B77" s="81"/>
      <c r="C77" s="5"/>
      <c r="D77" s="5"/>
      <c r="E77" s="6"/>
      <c r="F77" s="7"/>
      <c r="G77" s="41"/>
      <c r="H77" s="6"/>
      <c r="I77" s="41"/>
      <c r="J77" s="41" t="b">
        <f t="shared" si="1"/>
        <v>0</v>
      </c>
    </row>
    <row r="78" spans="1:10" x14ac:dyDescent="0.2">
      <c r="A78" s="4">
        <v>70</v>
      </c>
      <c r="B78" s="81"/>
      <c r="C78" s="5"/>
      <c r="D78" s="5"/>
      <c r="E78" s="6"/>
      <c r="F78" s="7"/>
      <c r="G78" s="41"/>
      <c r="H78" s="6"/>
      <c r="I78" s="41"/>
      <c r="J78" s="41" t="b">
        <f t="shared" si="1"/>
        <v>0</v>
      </c>
    </row>
    <row r="79" spans="1:10" x14ac:dyDescent="0.2">
      <c r="A79" s="4">
        <v>71</v>
      </c>
      <c r="B79" s="81"/>
      <c r="C79" s="5"/>
      <c r="D79" s="5"/>
      <c r="E79" s="6"/>
      <c r="F79" s="7"/>
      <c r="G79" s="41"/>
      <c r="H79" s="6"/>
      <c r="I79" s="41"/>
      <c r="J79" s="41" t="b">
        <f t="shared" si="1"/>
        <v>0</v>
      </c>
    </row>
    <row r="80" spans="1:10" x14ac:dyDescent="0.2">
      <c r="A80" s="4">
        <v>72</v>
      </c>
      <c r="B80" s="81"/>
      <c r="C80" s="5"/>
      <c r="D80" s="5"/>
      <c r="E80" s="6"/>
      <c r="F80" s="7"/>
      <c r="G80" s="41"/>
      <c r="H80" s="6"/>
      <c r="I80" s="41"/>
      <c r="J80" s="41" t="b">
        <f t="shared" si="1"/>
        <v>0</v>
      </c>
    </row>
    <row r="81" spans="1:10" x14ac:dyDescent="0.2">
      <c r="A81" s="4">
        <v>73</v>
      </c>
      <c r="B81" s="81"/>
      <c r="C81" s="5"/>
      <c r="D81" s="5"/>
      <c r="E81" s="6"/>
      <c r="F81" s="7"/>
      <c r="G81" s="41"/>
      <c r="H81" s="6"/>
      <c r="I81" s="41"/>
      <c r="J81" s="41" t="b">
        <f t="shared" si="1"/>
        <v>0</v>
      </c>
    </row>
    <row r="82" spans="1:10" x14ac:dyDescent="0.2">
      <c r="A82" s="4">
        <v>74</v>
      </c>
      <c r="B82" s="81"/>
      <c r="C82" s="5"/>
      <c r="D82" s="5"/>
      <c r="E82" s="6"/>
      <c r="F82" s="7"/>
      <c r="G82" s="41"/>
      <c r="H82" s="6"/>
      <c r="I82" s="41"/>
      <c r="J82" s="41" t="b">
        <f t="shared" si="1"/>
        <v>0</v>
      </c>
    </row>
    <row r="83" spans="1:10" x14ac:dyDescent="0.2">
      <c r="A83" s="4">
        <v>75</v>
      </c>
      <c r="B83" s="81"/>
      <c r="C83" s="5"/>
      <c r="D83" s="5"/>
      <c r="E83" s="6"/>
      <c r="F83" s="7"/>
      <c r="G83" s="41"/>
      <c r="H83" s="6"/>
      <c r="I83" s="41"/>
      <c r="J83" s="41" t="b">
        <f t="shared" si="1"/>
        <v>0</v>
      </c>
    </row>
    <row r="84" spans="1:10" x14ac:dyDescent="0.2">
      <c r="A84" s="4">
        <v>76</v>
      </c>
      <c r="B84" s="81"/>
      <c r="C84" s="5"/>
      <c r="D84" s="5"/>
      <c r="E84" s="6"/>
      <c r="F84" s="7"/>
      <c r="G84" s="41"/>
      <c r="H84" s="6"/>
      <c r="I84" s="41"/>
      <c r="J84" s="41" t="b">
        <f t="shared" si="1"/>
        <v>0</v>
      </c>
    </row>
    <row r="85" spans="1:10" x14ac:dyDescent="0.2">
      <c r="A85" s="4">
        <v>77</v>
      </c>
      <c r="B85" s="81"/>
      <c r="C85" s="5"/>
      <c r="D85" s="5"/>
      <c r="E85" s="6"/>
      <c r="F85" s="7"/>
      <c r="G85" s="41"/>
      <c r="H85" s="6"/>
      <c r="I85" s="41"/>
      <c r="J85" s="41" t="b">
        <f t="shared" si="1"/>
        <v>0</v>
      </c>
    </row>
    <row r="86" spans="1:10" x14ac:dyDescent="0.2">
      <c r="A86" s="4">
        <v>78</v>
      </c>
      <c r="B86" s="81"/>
      <c r="C86" s="5"/>
      <c r="D86" s="5"/>
      <c r="E86" s="6"/>
      <c r="F86" s="7"/>
      <c r="G86" s="41"/>
      <c r="H86" s="6"/>
      <c r="I86" s="41"/>
      <c r="J86" s="41" t="b">
        <f t="shared" si="1"/>
        <v>0</v>
      </c>
    </row>
    <row r="87" spans="1:10" x14ac:dyDescent="0.2">
      <c r="A87" s="4">
        <v>79</v>
      </c>
      <c r="B87" s="81"/>
      <c r="C87" s="5"/>
      <c r="D87" s="5"/>
      <c r="E87" s="6"/>
      <c r="F87" s="7"/>
      <c r="G87" s="41"/>
      <c r="H87" s="6"/>
      <c r="I87" s="41"/>
      <c r="J87" s="41" t="b">
        <f t="shared" si="1"/>
        <v>0</v>
      </c>
    </row>
    <row r="88" spans="1:10" x14ac:dyDescent="0.2">
      <c r="A88" s="4">
        <v>80</v>
      </c>
      <c r="B88" s="81"/>
      <c r="C88" s="5"/>
      <c r="D88" s="5"/>
      <c r="E88" s="6"/>
      <c r="F88" s="7"/>
      <c r="G88" s="41"/>
      <c r="H88" s="6"/>
      <c r="I88" s="41"/>
      <c r="J88" s="41" t="b">
        <f t="shared" si="1"/>
        <v>0</v>
      </c>
    </row>
    <row r="89" spans="1:10" x14ac:dyDescent="0.2">
      <c r="A89" s="4">
        <v>81</v>
      </c>
      <c r="B89" s="81"/>
      <c r="C89" s="5"/>
      <c r="D89" s="5"/>
      <c r="E89" s="6"/>
      <c r="F89" s="7"/>
      <c r="G89" s="41"/>
      <c r="H89" s="6"/>
      <c r="I89" s="41"/>
      <c r="J89" s="41" t="b">
        <f t="shared" si="1"/>
        <v>0</v>
      </c>
    </row>
    <row r="90" spans="1:10" x14ac:dyDescent="0.2">
      <c r="A90" s="4">
        <v>82</v>
      </c>
      <c r="B90" s="81"/>
      <c r="C90" s="5"/>
      <c r="D90" s="5"/>
      <c r="E90" s="6"/>
      <c r="F90" s="7"/>
      <c r="G90" s="41"/>
      <c r="H90" s="6"/>
      <c r="I90" s="41"/>
      <c r="J90" s="41" t="b">
        <f t="shared" si="1"/>
        <v>0</v>
      </c>
    </row>
    <row r="91" spans="1:10" x14ac:dyDescent="0.2">
      <c r="A91" s="4">
        <v>83</v>
      </c>
      <c r="B91" s="81"/>
      <c r="C91" s="5"/>
      <c r="D91" s="5"/>
      <c r="E91" s="6"/>
      <c r="F91" s="7"/>
      <c r="G91" s="41"/>
      <c r="H91" s="6"/>
      <c r="I91" s="41"/>
      <c r="J91" s="41" t="b">
        <f t="shared" si="1"/>
        <v>0</v>
      </c>
    </row>
    <row r="92" spans="1:10" x14ac:dyDescent="0.2">
      <c r="A92" s="4">
        <v>84</v>
      </c>
      <c r="B92" s="81"/>
      <c r="C92" s="5"/>
      <c r="D92" s="5"/>
      <c r="E92" s="6"/>
      <c r="F92" s="7"/>
      <c r="G92" s="41"/>
      <c r="H92" s="6"/>
      <c r="I92" s="41"/>
      <c r="J92" s="41" t="b">
        <f t="shared" si="1"/>
        <v>0</v>
      </c>
    </row>
    <row r="93" spans="1:10" x14ac:dyDescent="0.2">
      <c r="A93" s="4">
        <v>85</v>
      </c>
      <c r="B93" s="81"/>
      <c r="C93" s="5"/>
      <c r="D93" s="5"/>
      <c r="E93" s="6"/>
      <c r="F93" s="7"/>
      <c r="G93" s="41"/>
      <c r="H93" s="6"/>
      <c r="I93" s="41"/>
      <c r="J93" s="41" t="b">
        <f t="shared" si="1"/>
        <v>0</v>
      </c>
    </row>
    <row r="94" spans="1:10" x14ac:dyDescent="0.2">
      <c r="A94" s="4">
        <v>86</v>
      </c>
      <c r="B94" s="81"/>
      <c r="C94" s="5"/>
      <c r="D94" s="5"/>
      <c r="E94" s="6"/>
      <c r="F94" s="7"/>
      <c r="G94" s="41"/>
      <c r="H94" s="6"/>
      <c r="I94" s="41"/>
      <c r="J94" s="41" t="b">
        <f t="shared" si="1"/>
        <v>0</v>
      </c>
    </row>
    <row r="95" spans="1:10" x14ac:dyDescent="0.2">
      <c r="A95" s="4">
        <v>87</v>
      </c>
      <c r="B95" s="81"/>
      <c r="C95" s="5"/>
      <c r="D95" s="5"/>
      <c r="E95" s="6"/>
      <c r="F95" s="7"/>
      <c r="G95" s="41"/>
      <c r="H95" s="6"/>
      <c r="I95" s="41"/>
      <c r="J95" s="41" t="b">
        <f t="shared" si="1"/>
        <v>0</v>
      </c>
    </row>
    <row r="96" spans="1:10" x14ac:dyDescent="0.2">
      <c r="A96" s="4">
        <v>88</v>
      </c>
      <c r="B96" s="81"/>
      <c r="C96" s="5"/>
      <c r="D96" s="5"/>
      <c r="E96" s="6"/>
      <c r="F96" s="7"/>
      <c r="G96" s="41"/>
      <c r="H96" s="6"/>
      <c r="I96" s="41"/>
      <c r="J96" s="41" t="b">
        <f t="shared" si="1"/>
        <v>0</v>
      </c>
    </row>
    <row r="97" spans="1:10" x14ac:dyDescent="0.2">
      <c r="A97" s="4">
        <v>89</v>
      </c>
      <c r="B97" s="81"/>
      <c r="C97" s="5"/>
      <c r="D97" s="5"/>
      <c r="E97" s="6"/>
      <c r="F97" s="7"/>
      <c r="G97" s="41"/>
      <c r="H97" s="6"/>
      <c r="I97" s="41"/>
      <c r="J97" s="41" t="b">
        <f t="shared" si="1"/>
        <v>0</v>
      </c>
    </row>
    <row r="98" spans="1:10" x14ac:dyDescent="0.2">
      <c r="A98" s="4">
        <v>90</v>
      </c>
      <c r="B98" s="81"/>
      <c r="C98" s="5"/>
      <c r="D98" s="5"/>
      <c r="E98" s="6"/>
      <c r="F98" s="7"/>
      <c r="G98" s="41"/>
      <c r="H98" s="6"/>
      <c r="I98" s="41"/>
      <c r="J98" s="41" t="b">
        <f t="shared" si="1"/>
        <v>0</v>
      </c>
    </row>
    <row r="99" spans="1:10" x14ac:dyDescent="0.2">
      <c r="A99" s="4">
        <v>91</v>
      </c>
      <c r="B99" s="81"/>
      <c r="C99" s="5"/>
      <c r="D99" s="5"/>
      <c r="E99" s="6"/>
      <c r="F99" s="7"/>
      <c r="G99" s="41"/>
      <c r="H99" s="6"/>
      <c r="I99" s="41"/>
      <c r="J99" s="41" t="b">
        <f t="shared" si="1"/>
        <v>0</v>
      </c>
    </row>
    <row r="100" spans="1:10" x14ac:dyDescent="0.2">
      <c r="A100" s="4">
        <v>92</v>
      </c>
      <c r="B100" s="81"/>
      <c r="C100" s="5"/>
      <c r="D100" s="5"/>
      <c r="E100" s="6"/>
      <c r="F100" s="7"/>
      <c r="G100" s="41"/>
      <c r="H100" s="6"/>
      <c r="I100" s="41"/>
      <c r="J100" s="41" t="b">
        <f t="shared" si="1"/>
        <v>0</v>
      </c>
    </row>
    <row r="101" spans="1:10" x14ac:dyDescent="0.2">
      <c r="A101" s="4">
        <v>93</v>
      </c>
      <c r="B101" s="81"/>
      <c r="C101" s="5"/>
      <c r="D101" s="5"/>
      <c r="E101" s="6"/>
      <c r="F101" s="7"/>
      <c r="G101" s="41"/>
      <c r="H101" s="6"/>
      <c r="I101" s="41"/>
      <c r="J101" s="41" t="b">
        <f t="shared" si="1"/>
        <v>0</v>
      </c>
    </row>
    <row r="102" spans="1:10" x14ac:dyDescent="0.2">
      <c r="A102" s="4">
        <v>94</v>
      </c>
      <c r="B102" s="81"/>
      <c r="C102" s="5"/>
      <c r="D102" s="5"/>
      <c r="E102" s="6"/>
      <c r="F102" s="7"/>
      <c r="G102" s="41"/>
      <c r="H102" s="6"/>
      <c r="I102" s="41"/>
      <c r="J102" s="41" t="b">
        <f t="shared" si="1"/>
        <v>0</v>
      </c>
    </row>
    <row r="103" spans="1:10" x14ac:dyDescent="0.2">
      <c r="A103" s="4">
        <v>95</v>
      </c>
      <c r="B103" s="81"/>
      <c r="C103" s="5"/>
      <c r="D103" s="5"/>
      <c r="E103" s="6"/>
      <c r="F103" s="7"/>
      <c r="G103" s="41"/>
      <c r="H103" s="6"/>
      <c r="I103" s="41"/>
      <c r="J103" s="41" t="b">
        <f t="shared" si="1"/>
        <v>0</v>
      </c>
    </row>
    <row r="104" spans="1:10" x14ac:dyDescent="0.2">
      <c r="A104" s="4">
        <v>96</v>
      </c>
      <c r="B104" s="81"/>
      <c r="C104" s="5"/>
      <c r="D104" s="5"/>
      <c r="E104" s="6"/>
      <c r="F104" s="7"/>
      <c r="G104" s="41"/>
      <c r="H104" s="6"/>
      <c r="I104" s="41"/>
      <c r="J104" s="41" t="b">
        <f t="shared" si="1"/>
        <v>0</v>
      </c>
    </row>
    <row r="105" spans="1:10" x14ac:dyDescent="0.2">
      <c r="A105" s="4">
        <v>97</v>
      </c>
      <c r="B105" s="81"/>
      <c r="C105" s="5"/>
      <c r="D105" s="5"/>
      <c r="E105" s="6"/>
      <c r="F105" s="7"/>
      <c r="G105" s="41"/>
      <c r="H105" s="6"/>
      <c r="I105" s="41"/>
      <c r="J105" s="41" t="b">
        <f t="shared" si="1"/>
        <v>0</v>
      </c>
    </row>
    <row r="106" spans="1:10" x14ac:dyDescent="0.2">
      <c r="A106" s="4">
        <v>98</v>
      </c>
      <c r="B106" s="81"/>
      <c r="C106" s="5"/>
      <c r="D106" s="5"/>
      <c r="E106" s="6"/>
      <c r="F106" s="7"/>
      <c r="G106" s="41"/>
      <c r="H106" s="6"/>
      <c r="I106" s="41"/>
      <c r="J106" s="41" t="b">
        <f t="shared" si="1"/>
        <v>0</v>
      </c>
    </row>
    <row r="107" spans="1:10" x14ac:dyDescent="0.2">
      <c r="A107" s="4">
        <v>99</v>
      </c>
      <c r="B107" s="81"/>
      <c r="C107" s="5"/>
      <c r="D107" s="5"/>
      <c r="E107" s="6"/>
      <c r="F107" s="7"/>
      <c r="G107" s="41"/>
      <c r="H107" s="6"/>
      <c r="I107" s="41"/>
      <c r="J107" s="41" t="b">
        <f t="shared" si="1"/>
        <v>0</v>
      </c>
    </row>
    <row r="108" spans="1:10" x14ac:dyDescent="0.2">
      <c r="A108" s="4">
        <v>100</v>
      </c>
      <c r="B108" s="81"/>
      <c r="C108" s="5"/>
      <c r="D108" s="5"/>
      <c r="E108" s="6"/>
      <c r="F108" s="7"/>
      <c r="G108" s="41"/>
      <c r="H108" s="6"/>
      <c r="I108" s="41"/>
      <c r="J108" s="41" t="b">
        <f t="shared" si="1"/>
        <v>0</v>
      </c>
    </row>
    <row r="109" spans="1:10" x14ac:dyDescent="0.2">
      <c r="A109" s="4">
        <v>101</v>
      </c>
      <c r="B109" s="81"/>
      <c r="C109" s="5"/>
      <c r="D109" s="5"/>
      <c r="E109" s="6"/>
      <c r="F109" s="7"/>
      <c r="G109" s="41"/>
      <c r="H109" s="6"/>
      <c r="I109" s="41"/>
      <c r="J109" s="41" t="b">
        <f t="shared" si="1"/>
        <v>0</v>
      </c>
    </row>
    <row r="110" spans="1:10" x14ac:dyDescent="0.2">
      <c r="A110" s="4">
        <v>102</v>
      </c>
      <c r="B110" s="81"/>
      <c r="C110" s="5"/>
      <c r="D110" s="5"/>
      <c r="E110" s="6"/>
      <c r="F110" s="7"/>
      <c r="G110" s="41"/>
      <c r="H110" s="6"/>
      <c r="I110" s="41"/>
      <c r="J110" s="41" t="b">
        <f t="shared" si="1"/>
        <v>0</v>
      </c>
    </row>
    <row r="111" spans="1:10" x14ac:dyDescent="0.2">
      <c r="A111" s="4">
        <v>103</v>
      </c>
      <c r="B111" s="81"/>
      <c r="C111" s="5"/>
      <c r="D111" s="5"/>
      <c r="E111" s="6"/>
      <c r="F111" s="7"/>
      <c r="G111" s="41"/>
      <c r="H111" s="6"/>
      <c r="I111" s="41"/>
      <c r="J111" s="41" t="b">
        <f t="shared" si="1"/>
        <v>0</v>
      </c>
    </row>
    <row r="112" spans="1:10" x14ac:dyDescent="0.2">
      <c r="A112" s="4">
        <v>104</v>
      </c>
      <c r="B112" s="81"/>
      <c r="C112" s="5"/>
      <c r="D112" s="5"/>
      <c r="E112" s="6"/>
      <c r="F112" s="7"/>
      <c r="G112" s="41"/>
      <c r="H112" s="6"/>
      <c r="I112" s="41"/>
      <c r="J112" s="41" t="b">
        <f t="shared" si="1"/>
        <v>0</v>
      </c>
    </row>
    <row r="113" spans="1:10" x14ac:dyDescent="0.2">
      <c r="A113" s="4">
        <v>105</v>
      </c>
      <c r="B113" s="81"/>
      <c r="C113" s="5"/>
      <c r="D113" s="5"/>
      <c r="E113" s="6"/>
      <c r="F113" s="7"/>
      <c r="G113" s="41"/>
      <c r="H113" s="6"/>
      <c r="I113" s="41"/>
      <c r="J113" s="41" t="b">
        <f t="shared" si="1"/>
        <v>0</v>
      </c>
    </row>
    <row r="114" spans="1:10" x14ac:dyDescent="0.2">
      <c r="A114" s="4">
        <v>106</v>
      </c>
      <c r="B114" s="81"/>
      <c r="C114" s="5"/>
      <c r="D114" s="5"/>
      <c r="E114" s="6"/>
      <c r="F114" s="7"/>
      <c r="G114" s="41"/>
      <c r="H114" s="6"/>
      <c r="I114" s="41"/>
      <c r="J114" s="41" t="b">
        <f t="shared" si="1"/>
        <v>0</v>
      </c>
    </row>
    <row r="115" spans="1:10" x14ac:dyDescent="0.2">
      <c r="A115" s="4">
        <v>107</v>
      </c>
      <c r="B115" s="81"/>
      <c r="C115" s="5"/>
      <c r="D115" s="5"/>
      <c r="E115" s="6"/>
      <c r="F115" s="7"/>
      <c r="G115" s="41"/>
      <c r="H115" s="6"/>
      <c r="I115" s="41"/>
      <c r="J115" s="41" t="b">
        <f t="shared" si="1"/>
        <v>0</v>
      </c>
    </row>
    <row r="116" spans="1:10" x14ac:dyDescent="0.2">
      <c r="A116" s="4">
        <v>108</v>
      </c>
      <c r="B116" s="81"/>
      <c r="C116" s="5"/>
      <c r="D116" s="5"/>
      <c r="E116" s="6"/>
      <c r="F116" s="7"/>
      <c r="G116" s="41"/>
      <c r="H116" s="6"/>
      <c r="I116" s="41"/>
      <c r="J116" s="41" t="b">
        <f t="shared" si="1"/>
        <v>0</v>
      </c>
    </row>
    <row r="117" spans="1:10" x14ac:dyDescent="0.2">
      <c r="A117" s="4">
        <v>109</v>
      </c>
      <c r="B117" s="81"/>
      <c r="C117" s="5"/>
      <c r="D117" s="5"/>
      <c r="E117" s="6"/>
      <c r="F117" s="7"/>
      <c r="G117" s="41"/>
      <c r="H117" s="6"/>
      <c r="I117" s="41"/>
      <c r="J117" s="41" t="b">
        <f t="shared" si="1"/>
        <v>0</v>
      </c>
    </row>
    <row r="118" spans="1:10" x14ac:dyDescent="0.2">
      <c r="A118" s="4">
        <v>110</v>
      </c>
      <c r="B118" s="81"/>
      <c r="C118" s="5"/>
      <c r="D118" s="5"/>
      <c r="E118" s="6"/>
      <c r="F118" s="7"/>
      <c r="G118" s="41"/>
      <c r="H118" s="6"/>
      <c r="I118" s="41"/>
      <c r="J118" s="41" t="b">
        <f t="shared" si="1"/>
        <v>0</v>
      </c>
    </row>
    <row r="119" spans="1:10" x14ac:dyDescent="0.2">
      <c r="A119" s="4">
        <v>111</v>
      </c>
      <c r="B119" s="81"/>
      <c r="C119" s="5"/>
      <c r="D119" s="5"/>
      <c r="E119" s="6"/>
      <c r="F119" s="7"/>
      <c r="G119" s="41"/>
      <c r="H119" s="6"/>
      <c r="I119" s="41"/>
      <c r="J119" s="41" t="b">
        <f t="shared" si="1"/>
        <v>0</v>
      </c>
    </row>
    <row r="120" spans="1:10" x14ac:dyDescent="0.2">
      <c r="A120" s="4">
        <v>112</v>
      </c>
      <c r="B120" s="81"/>
      <c r="C120" s="5"/>
      <c r="D120" s="5"/>
      <c r="E120" s="6"/>
      <c r="F120" s="7"/>
      <c r="G120" s="41"/>
      <c r="H120" s="6"/>
      <c r="I120" s="41"/>
      <c r="J120" s="41" t="b">
        <f t="shared" si="1"/>
        <v>0</v>
      </c>
    </row>
    <row r="121" spans="1:10" x14ac:dyDescent="0.2">
      <c r="A121" s="4">
        <v>113</v>
      </c>
      <c r="B121" s="81"/>
      <c r="C121" s="5"/>
      <c r="D121" s="5"/>
      <c r="E121" s="6"/>
      <c r="F121" s="7"/>
      <c r="G121" s="41"/>
      <c r="H121" s="6"/>
      <c r="I121" s="41"/>
      <c r="J121" s="41" t="b">
        <f t="shared" si="1"/>
        <v>0</v>
      </c>
    </row>
    <row r="122" spans="1:10" x14ac:dyDescent="0.2">
      <c r="A122" s="4">
        <v>114</v>
      </c>
      <c r="B122" s="81"/>
      <c r="C122" s="5"/>
      <c r="D122" s="5"/>
      <c r="E122" s="6"/>
      <c r="F122" s="7"/>
      <c r="G122" s="41"/>
      <c r="H122" s="6"/>
      <c r="I122" s="41"/>
      <c r="J122" s="41" t="b">
        <f t="shared" si="1"/>
        <v>0</v>
      </c>
    </row>
    <row r="123" spans="1:10" x14ac:dyDescent="0.2">
      <c r="A123" s="4">
        <v>115</v>
      </c>
      <c r="B123" s="81"/>
      <c r="C123" s="5"/>
      <c r="D123" s="5"/>
      <c r="E123" s="6"/>
      <c r="F123" s="7"/>
      <c r="G123" s="41"/>
      <c r="H123" s="6"/>
      <c r="I123" s="41"/>
      <c r="J123" s="41" t="b">
        <f t="shared" si="1"/>
        <v>0</v>
      </c>
    </row>
    <row r="124" spans="1:10" x14ac:dyDescent="0.2">
      <c r="A124" s="4">
        <v>116</v>
      </c>
      <c r="B124" s="81"/>
      <c r="C124" s="5"/>
      <c r="D124" s="5"/>
      <c r="E124" s="6"/>
      <c r="F124" s="7"/>
      <c r="G124" s="41"/>
      <c r="H124" s="6"/>
      <c r="I124" s="41"/>
      <c r="J124" s="41" t="b">
        <f t="shared" si="1"/>
        <v>0</v>
      </c>
    </row>
    <row r="125" spans="1:10" x14ac:dyDescent="0.2">
      <c r="A125" s="4">
        <v>117</v>
      </c>
      <c r="B125" s="81"/>
      <c r="C125" s="5"/>
      <c r="D125" s="5"/>
      <c r="E125" s="6"/>
      <c r="F125" s="7"/>
      <c r="G125" s="41"/>
      <c r="H125" s="6"/>
      <c r="I125" s="41"/>
      <c r="J125" s="41" t="b">
        <f t="shared" si="1"/>
        <v>0</v>
      </c>
    </row>
    <row r="126" spans="1:10" x14ac:dyDescent="0.2">
      <c r="A126" s="4">
        <v>118</v>
      </c>
      <c r="B126" s="81"/>
      <c r="C126" s="5"/>
      <c r="D126" s="5"/>
      <c r="E126" s="6"/>
      <c r="F126" s="7"/>
      <c r="G126" s="41"/>
      <c r="H126" s="6"/>
      <c r="I126" s="41"/>
      <c r="J126" s="41" t="b">
        <f t="shared" si="1"/>
        <v>0</v>
      </c>
    </row>
    <row r="127" spans="1:10" x14ac:dyDescent="0.2">
      <c r="A127" s="4">
        <v>119</v>
      </c>
      <c r="B127" s="81"/>
      <c r="C127" s="5"/>
      <c r="D127" s="5"/>
      <c r="E127" s="6"/>
      <c r="F127" s="7"/>
      <c r="G127" s="41"/>
      <c r="H127" s="6"/>
      <c r="I127" s="41"/>
      <c r="J127" s="41" t="b">
        <f t="shared" si="1"/>
        <v>0</v>
      </c>
    </row>
    <row r="128" spans="1:10" x14ac:dyDescent="0.2">
      <c r="A128" s="4">
        <v>120</v>
      </c>
      <c r="B128" s="81"/>
      <c r="C128" s="5"/>
      <c r="D128" s="5"/>
      <c r="E128" s="6"/>
      <c r="F128" s="7"/>
      <c r="G128" s="41"/>
      <c r="H128" s="6"/>
      <c r="I128" s="41"/>
      <c r="J128" s="41" t="b">
        <f t="shared" si="1"/>
        <v>0</v>
      </c>
    </row>
    <row r="129" spans="1:10" x14ac:dyDescent="0.2">
      <c r="A129" s="4">
        <v>121</v>
      </c>
      <c r="B129" s="81"/>
      <c r="C129" s="5"/>
      <c r="D129" s="5"/>
      <c r="E129" s="6"/>
      <c r="F129" s="7"/>
      <c r="G129" s="41"/>
      <c r="H129" s="6"/>
      <c r="I129" s="41"/>
      <c r="J129" s="41" t="b">
        <f t="shared" si="1"/>
        <v>0</v>
      </c>
    </row>
    <row r="130" spans="1:10" x14ac:dyDescent="0.2">
      <c r="A130" s="4">
        <v>122</v>
      </c>
      <c r="B130" s="81"/>
      <c r="C130" s="5"/>
      <c r="D130" s="5"/>
      <c r="E130" s="6"/>
      <c r="F130" s="7"/>
      <c r="G130" s="41"/>
      <c r="H130" s="6"/>
      <c r="I130" s="41"/>
      <c r="J130" s="41" t="b">
        <f t="shared" si="1"/>
        <v>0</v>
      </c>
    </row>
    <row r="131" spans="1:10" x14ac:dyDescent="0.2">
      <c r="A131" s="4">
        <v>123</v>
      </c>
      <c r="B131" s="81"/>
      <c r="C131" s="5"/>
      <c r="D131" s="5"/>
      <c r="E131" s="6"/>
      <c r="F131" s="7"/>
      <c r="G131" s="41"/>
      <c r="H131" s="6"/>
      <c r="I131" s="41"/>
      <c r="J131" s="41" t="b">
        <f t="shared" si="1"/>
        <v>0</v>
      </c>
    </row>
    <row r="132" spans="1:10" x14ac:dyDescent="0.2">
      <c r="A132" s="4">
        <v>124</v>
      </c>
      <c r="B132" s="81"/>
      <c r="C132" s="5"/>
      <c r="D132" s="5"/>
      <c r="E132" s="6"/>
      <c r="F132" s="7"/>
      <c r="G132" s="41"/>
      <c r="H132" s="6"/>
      <c r="I132" s="41"/>
      <c r="J132" s="41" t="b">
        <f t="shared" si="1"/>
        <v>0</v>
      </c>
    </row>
    <row r="133" spans="1:10" x14ac:dyDescent="0.2">
      <c r="A133" s="4">
        <v>125</v>
      </c>
      <c r="B133" s="81"/>
      <c r="C133" s="5"/>
      <c r="D133" s="5"/>
      <c r="E133" s="6"/>
      <c r="F133" s="7"/>
      <c r="G133" s="41"/>
      <c r="H133" s="6"/>
      <c r="I133" s="41"/>
      <c r="J133" s="41" t="b">
        <f t="shared" si="1"/>
        <v>0</v>
      </c>
    </row>
    <row r="134" spans="1:10" x14ac:dyDescent="0.2">
      <c r="A134" s="4">
        <v>126</v>
      </c>
      <c r="B134" s="81"/>
      <c r="C134" s="5"/>
      <c r="D134" s="5"/>
      <c r="E134" s="6"/>
      <c r="F134" s="7"/>
      <c r="G134" s="41"/>
      <c r="H134" s="6"/>
      <c r="I134" s="41"/>
      <c r="J134" s="41" t="b">
        <f t="shared" si="1"/>
        <v>0</v>
      </c>
    </row>
    <row r="135" spans="1:10" x14ac:dyDescent="0.2">
      <c r="A135" s="4">
        <v>127</v>
      </c>
      <c r="B135" s="81"/>
      <c r="C135" s="5"/>
      <c r="D135" s="5"/>
      <c r="E135" s="6"/>
      <c r="F135" s="7"/>
      <c r="G135" s="41"/>
      <c r="H135" s="6"/>
      <c r="I135" s="41"/>
      <c r="J135" s="41" t="b">
        <f t="shared" si="1"/>
        <v>0</v>
      </c>
    </row>
    <row r="136" spans="1:10" x14ac:dyDescent="0.2">
      <c r="A136" s="4">
        <v>128</v>
      </c>
      <c r="B136" s="81"/>
      <c r="C136" s="5"/>
      <c r="D136" s="5"/>
      <c r="E136" s="6"/>
      <c r="F136" s="7"/>
      <c r="G136" s="41"/>
      <c r="H136" s="6"/>
      <c r="I136" s="41"/>
      <c r="J136" s="41" t="b">
        <f t="shared" si="1"/>
        <v>0</v>
      </c>
    </row>
    <row r="137" spans="1:10" x14ac:dyDescent="0.2">
      <c r="A137" s="4">
        <v>129</v>
      </c>
      <c r="B137" s="81"/>
      <c r="C137" s="5"/>
      <c r="D137" s="5"/>
      <c r="E137" s="6"/>
      <c r="F137" s="7"/>
      <c r="G137" s="41"/>
      <c r="H137" s="6"/>
      <c r="I137" s="41"/>
      <c r="J137" s="41" t="b">
        <f t="shared" si="1"/>
        <v>0</v>
      </c>
    </row>
    <row r="138" spans="1:10" x14ac:dyDescent="0.2">
      <c r="A138" s="4">
        <v>130</v>
      </c>
      <c r="B138" s="81"/>
      <c r="C138" s="5"/>
      <c r="D138" s="5"/>
      <c r="E138" s="6"/>
      <c r="F138" s="7"/>
      <c r="G138" s="41"/>
      <c r="H138" s="6"/>
      <c r="I138" s="41"/>
      <c r="J138" s="41" t="b">
        <f t="shared" ref="J138:J201" si="2">IF(H138=$M$3,G138,IF(H138=$M$4,-I138))</f>
        <v>0</v>
      </c>
    </row>
    <row r="139" spans="1:10" x14ac:dyDescent="0.2">
      <c r="A139" s="4">
        <v>131</v>
      </c>
      <c r="B139" s="81"/>
      <c r="C139" s="5"/>
      <c r="D139" s="5"/>
      <c r="E139" s="6"/>
      <c r="F139" s="7"/>
      <c r="G139" s="41"/>
      <c r="H139" s="6"/>
      <c r="I139" s="41"/>
      <c r="J139" s="41" t="b">
        <f t="shared" si="2"/>
        <v>0</v>
      </c>
    </row>
    <row r="140" spans="1:10" x14ac:dyDescent="0.2">
      <c r="A140" s="4">
        <v>132</v>
      </c>
      <c r="B140" s="81"/>
      <c r="C140" s="5"/>
      <c r="D140" s="5"/>
      <c r="E140" s="6"/>
      <c r="F140" s="7"/>
      <c r="G140" s="41"/>
      <c r="H140" s="6"/>
      <c r="I140" s="41"/>
      <c r="J140" s="41" t="b">
        <f t="shared" si="2"/>
        <v>0</v>
      </c>
    </row>
    <row r="141" spans="1:10" x14ac:dyDescent="0.2">
      <c r="A141" s="4">
        <v>133</v>
      </c>
      <c r="B141" s="81"/>
      <c r="C141" s="5"/>
      <c r="D141" s="5"/>
      <c r="E141" s="6"/>
      <c r="F141" s="7"/>
      <c r="G141" s="41"/>
      <c r="H141" s="6"/>
      <c r="I141" s="41"/>
      <c r="J141" s="41" t="b">
        <f t="shared" si="2"/>
        <v>0</v>
      </c>
    </row>
    <row r="142" spans="1:10" x14ac:dyDescent="0.2">
      <c r="A142" s="4">
        <v>134</v>
      </c>
      <c r="B142" s="81"/>
      <c r="C142" s="5"/>
      <c r="D142" s="5"/>
      <c r="E142" s="6"/>
      <c r="F142" s="7"/>
      <c r="G142" s="41"/>
      <c r="H142" s="6"/>
      <c r="I142" s="41"/>
      <c r="J142" s="41" t="b">
        <f t="shared" si="2"/>
        <v>0</v>
      </c>
    </row>
    <row r="143" spans="1:10" x14ac:dyDescent="0.2">
      <c r="A143" s="4">
        <v>135</v>
      </c>
      <c r="B143" s="81"/>
      <c r="C143" s="5"/>
      <c r="D143" s="5"/>
      <c r="E143" s="6"/>
      <c r="F143" s="7"/>
      <c r="G143" s="41"/>
      <c r="H143" s="6"/>
      <c r="I143" s="41"/>
      <c r="J143" s="41" t="b">
        <f t="shared" si="2"/>
        <v>0</v>
      </c>
    </row>
    <row r="144" spans="1:10" x14ac:dyDescent="0.2">
      <c r="A144" s="4">
        <v>136</v>
      </c>
      <c r="B144" s="81"/>
      <c r="C144" s="5"/>
      <c r="D144" s="5"/>
      <c r="E144" s="6"/>
      <c r="F144" s="7"/>
      <c r="G144" s="41"/>
      <c r="H144" s="6"/>
      <c r="I144" s="41"/>
      <c r="J144" s="41" t="b">
        <f t="shared" si="2"/>
        <v>0</v>
      </c>
    </row>
    <row r="145" spans="1:10" x14ac:dyDescent="0.2">
      <c r="A145" s="4">
        <v>137</v>
      </c>
      <c r="B145" s="81"/>
      <c r="C145" s="5"/>
      <c r="D145" s="5"/>
      <c r="E145" s="6"/>
      <c r="F145" s="7"/>
      <c r="G145" s="41"/>
      <c r="H145" s="6"/>
      <c r="I145" s="41"/>
      <c r="J145" s="41" t="b">
        <f t="shared" si="2"/>
        <v>0</v>
      </c>
    </row>
    <row r="146" spans="1:10" x14ac:dyDescent="0.2">
      <c r="A146" s="4">
        <v>138</v>
      </c>
      <c r="B146" s="81"/>
      <c r="C146" s="5"/>
      <c r="D146" s="5"/>
      <c r="E146" s="6"/>
      <c r="F146" s="7"/>
      <c r="G146" s="41"/>
      <c r="H146" s="6"/>
      <c r="I146" s="41"/>
      <c r="J146" s="41" t="b">
        <f t="shared" si="2"/>
        <v>0</v>
      </c>
    </row>
    <row r="147" spans="1:10" x14ac:dyDescent="0.2">
      <c r="A147" s="4">
        <v>139</v>
      </c>
      <c r="B147" s="81"/>
      <c r="C147" s="5"/>
      <c r="D147" s="5"/>
      <c r="E147" s="6"/>
      <c r="F147" s="7"/>
      <c r="G147" s="41"/>
      <c r="H147" s="6"/>
      <c r="I147" s="41"/>
      <c r="J147" s="41" t="b">
        <f t="shared" si="2"/>
        <v>0</v>
      </c>
    </row>
    <row r="148" spans="1:10" x14ac:dyDescent="0.2">
      <c r="A148" s="4">
        <v>140</v>
      </c>
      <c r="B148" s="81"/>
      <c r="C148" s="5"/>
      <c r="D148" s="5"/>
      <c r="E148" s="6"/>
      <c r="F148" s="7"/>
      <c r="G148" s="41"/>
      <c r="H148" s="6"/>
      <c r="I148" s="41"/>
      <c r="J148" s="41" t="b">
        <f t="shared" si="2"/>
        <v>0</v>
      </c>
    </row>
    <row r="149" spans="1:10" x14ac:dyDescent="0.2">
      <c r="A149" s="4">
        <v>141</v>
      </c>
      <c r="B149" s="81"/>
      <c r="C149" s="5"/>
      <c r="D149" s="5"/>
      <c r="E149" s="6"/>
      <c r="F149" s="7"/>
      <c r="G149" s="41"/>
      <c r="H149" s="6"/>
      <c r="I149" s="41"/>
      <c r="J149" s="41" t="b">
        <f t="shared" si="2"/>
        <v>0</v>
      </c>
    </row>
    <row r="150" spans="1:10" x14ac:dyDescent="0.2">
      <c r="A150" s="4">
        <v>142</v>
      </c>
      <c r="B150" s="81"/>
      <c r="C150" s="5"/>
      <c r="D150" s="5"/>
      <c r="E150" s="6"/>
      <c r="F150" s="7"/>
      <c r="G150" s="41"/>
      <c r="H150" s="6"/>
      <c r="I150" s="41"/>
      <c r="J150" s="41" t="b">
        <f t="shared" si="2"/>
        <v>0</v>
      </c>
    </row>
    <row r="151" spans="1:10" x14ac:dyDescent="0.2">
      <c r="A151" s="4">
        <v>143</v>
      </c>
      <c r="B151" s="81"/>
      <c r="C151" s="5"/>
      <c r="D151" s="5"/>
      <c r="E151" s="6"/>
      <c r="F151" s="7"/>
      <c r="G151" s="41"/>
      <c r="H151" s="6"/>
      <c r="I151" s="41"/>
      <c r="J151" s="41" t="b">
        <f t="shared" si="2"/>
        <v>0</v>
      </c>
    </row>
    <row r="152" spans="1:10" x14ac:dyDescent="0.2">
      <c r="A152" s="4">
        <v>144</v>
      </c>
      <c r="B152" s="81"/>
      <c r="C152" s="5"/>
      <c r="D152" s="5"/>
      <c r="E152" s="6"/>
      <c r="F152" s="7"/>
      <c r="G152" s="41"/>
      <c r="H152" s="6"/>
      <c r="I152" s="41"/>
      <c r="J152" s="41" t="b">
        <f t="shared" si="2"/>
        <v>0</v>
      </c>
    </row>
    <row r="153" spans="1:10" x14ac:dyDescent="0.2">
      <c r="A153" s="4">
        <v>145</v>
      </c>
      <c r="B153" s="81"/>
      <c r="C153" s="5"/>
      <c r="D153" s="5"/>
      <c r="E153" s="6"/>
      <c r="F153" s="7"/>
      <c r="G153" s="41"/>
      <c r="H153" s="6"/>
      <c r="I153" s="41"/>
      <c r="J153" s="41" t="b">
        <f t="shared" si="2"/>
        <v>0</v>
      </c>
    </row>
    <row r="154" spans="1:10" x14ac:dyDescent="0.2">
      <c r="A154" s="4">
        <v>146</v>
      </c>
      <c r="B154" s="81"/>
      <c r="C154" s="5"/>
      <c r="D154" s="5"/>
      <c r="E154" s="6"/>
      <c r="F154" s="7"/>
      <c r="G154" s="41"/>
      <c r="H154" s="6"/>
      <c r="I154" s="41"/>
      <c r="J154" s="41" t="b">
        <f t="shared" si="2"/>
        <v>0</v>
      </c>
    </row>
    <row r="155" spans="1:10" x14ac:dyDescent="0.2">
      <c r="A155" s="4">
        <v>147</v>
      </c>
      <c r="B155" s="81"/>
      <c r="C155" s="5"/>
      <c r="D155" s="5"/>
      <c r="E155" s="6"/>
      <c r="F155" s="7"/>
      <c r="G155" s="41"/>
      <c r="H155" s="6"/>
      <c r="I155" s="41"/>
      <c r="J155" s="41" t="b">
        <f t="shared" si="2"/>
        <v>0</v>
      </c>
    </row>
    <row r="156" spans="1:10" x14ac:dyDescent="0.2">
      <c r="A156" s="4">
        <v>148</v>
      </c>
      <c r="B156" s="81"/>
      <c r="C156" s="5"/>
      <c r="D156" s="5"/>
      <c r="E156" s="6"/>
      <c r="F156" s="7"/>
      <c r="G156" s="41"/>
      <c r="H156" s="6"/>
      <c r="I156" s="41"/>
      <c r="J156" s="41" t="b">
        <f t="shared" si="2"/>
        <v>0</v>
      </c>
    </row>
    <row r="157" spans="1:10" x14ac:dyDescent="0.2">
      <c r="A157" s="4">
        <v>149</v>
      </c>
      <c r="B157" s="81"/>
      <c r="C157" s="5"/>
      <c r="D157" s="5"/>
      <c r="E157" s="6"/>
      <c r="F157" s="7"/>
      <c r="G157" s="41"/>
      <c r="H157" s="6"/>
      <c r="I157" s="41"/>
      <c r="J157" s="41" t="b">
        <f t="shared" si="2"/>
        <v>0</v>
      </c>
    </row>
    <row r="158" spans="1:10" x14ac:dyDescent="0.2">
      <c r="A158" s="4">
        <v>150</v>
      </c>
      <c r="B158" s="81"/>
      <c r="C158" s="5"/>
      <c r="D158" s="5"/>
      <c r="E158" s="6"/>
      <c r="F158" s="7"/>
      <c r="G158" s="41"/>
      <c r="H158" s="6"/>
      <c r="I158" s="41"/>
      <c r="J158" s="41" t="b">
        <f t="shared" si="2"/>
        <v>0</v>
      </c>
    </row>
    <row r="159" spans="1:10" x14ac:dyDescent="0.2">
      <c r="A159" s="4">
        <v>151</v>
      </c>
      <c r="B159" s="81"/>
      <c r="C159" s="5"/>
      <c r="D159" s="5"/>
      <c r="E159" s="6"/>
      <c r="F159" s="7"/>
      <c r="G159" s="41"/>
      <c r="H159" s="6"/>
      <c r="I159" s="41"/>
      <c r="J159" s="41" t="b">
        <f t="shared" si="2"/>
        <v>0</v>
      </c>
    </row>
    <row r="160" spans="1:10" x14ac:dyDescent="0.2">
      <c r="A160" s="4">
        <v>152</v>
      </c>
      <c r="B160" s="81"/>
      <c r="C160" s="5"/>
      <c r="D160" s="5"/>
      <c r="E160" s="6"/>
      <c r="F160" s="7"/>
      <c r="G160" s="41"/>
      <c r="H160" s="6"/>
      <c r="I160" s="41"/>
      <c r="J160" s="41" t="b">
        <f t="shared" si="2"/>
        <v>0</v>
      </c>
    </row>
    <row r="161" spans="1:10" x14ac:dyDescent="0.2">
      <c r="A161" s="4">
        <v>153</v>
      </c>
      <c r="B161" s="81"/>
      <c r="C161" s="5"/>
      <c r="D161" s="5"/>
      <c r="E161" s="6"/>
      <c r="F161" s="7"/>
      <c r="G161" s="41"/>
      <c r="H161" s="6"/>
      <c r="I161" s="41"/>
      <c r="J161" s="41" t="b">
        <f t="shared" si="2"/>
        <v>0</v>
      </c>
    </row>
    <row r="162" spans="1:10" x14ac:dyDescent="0.2">
      <c r="A162" s="4">
        <v>154</v>
      </c>
      <c r="B162" s="81"/>
      <c r="C162" s="5"/>
      <c r="D162" s="5"/>
      <c r="E162" s="6"/>
      <c r="F162" s="7"/>
      <c r="G162" s="41"/>
      <c r="H162" s="6"/>
      <c r="I162" s="41"/>
      <c r="J162" s="41" t="b">
        <f t="shared" si="2"/>
        <v>0</v>
      </c>
    </row>
    <row r="163" spans="1:10" x14ac:dyDescent="0.2">
      <c r="A163" s="4">
        <v>155</v>
      </c>
      <c r="B163" s="81"/>
      <c r="C163" s="5"/>
      <c r="D163" s="5"/>
      <c r="E163" s="6"/>
      <c r="F163" s="7"/>
      <c r="G163" s="41"/>
      <c r="H163" s="6"/>
      <c r="I163" s="41"/>
      <c r="J163" s="41" t="b">
        <f t="shared" si="2"/>
        <v>0</v>
      </c>
    </row>
    <row r="164" spans="1:10" x14ac:dyDescent="0.2">
      <c r="A164" s="4">
        <v>156</v>
      </c>
      <c r="B164" s="81"/>
      <c r="C164" s="5"/>
      <c r="D164" s="5"/>
      <c r="E164" s="6"/>
      <c r="F164" s="7"/>
      <c r="G164" s="41"/>
      <c r="H164" s="6"/>
      <c r="I164" s="41"/>
      <c r="J164" s="41" t="b">
        <f t="shared" si="2"/>
        <v>0</v>
      </c>
    </row>
    <row r="165" spans="1:10" x14ac:dyDescent="0.2">
      <c r="A165" s="4">
        <v>157</v>
      </c>
      <c r="B165" s="81"/>
      <c r="C165" s="5"/>
      <c r="D165" s="5"/>
      <c r="E165" s="6"/>
      <c r="F165" s="7"/>
      <c r="G165" s="41"/>
      <c r="H165" s="6"/>
      <c r="I165" s="41"/>
      <c r="J165" s="41" t="b">
        <f t="shared" si="2"/>
        <v>0</v>
      </c>
    </row>
    <row r="166" spans="1:10" x14ac:dyDescent="0.2">
      <c r="A166" s="4">
        <v>158</v>
      </c>
      <c r="B166" s="81"/>
      <c r="C166" s="5"/>
      <c r="D166" s="5"/>
      <c r="E166" s="6"/>
      <c r="F166" s="7"/>
      <c r="G166" s="41"/>
      <c r="H166" s="6"/>
      <c r="I166" s="41"/>
      <c r="J166" s="41" t="b">
        <f t="shared" si="2"/>
        <v>0</v>
      </c>
    </row>
    <row r="167" spans="1:10" x14ac:dyDescent="0.2">
      <c r="A167" s="4">
        <v>159</v>
      </c>
      <c r="B167" s="81"/>
      <c r="C167" s="5"/>
      <c r="D167" s="5"/>
      <c r="E167" s="6"/>
      <c r="F167" s="7"/>
      <c r="G167" s="41"/>
      <c r="H167" s="6"/>
      <c r="I167" s="41"/>
      <c r="J167" s="41" t="b">
        <f t="shared" si="2"/>
        <v>0</v>
      </c>
    </row>
    <row r="168" spans="1:10" x14ac:dyDescent="0.2">
      <c r="A168" s="4">
        <v>160</v>
      </c>
      <c r="B168" s="81"/>
      <c r="C168" s="5"/>
      <c r="D168" s="5"/>
      <c r="E168" s="6"/>
      <c r="F168" s="7"/>
      <c r="G168" s="41"/>
      <c r="H168" s="6"/>
      <c r="I168" s="41"/>
      <c r="J168" s="41" t="b">
        <f t="shared" si="2"/>
        <v>0</v>
      </c>
    </row>
    <row r="169" spans="1:10" x14ac:dyDescent="0.2">
      <c r="A169" s="4">
        <v>161</v>
      </c>
      <c r="B169" s="81"/>
      <c r="C169" s="5"/>
      <c r="D169" s="5"/>
      <c r="E169" s="6"/>
      <c r="F169" s="7"/>
      <c r="G169" s="41"/>
      <c r="H169" s="6"/>
      <c r="I169" s="41"/>
      <c r="J169" s="41" t="b">
        <f t="shared" si="2"/>
        <v>0</v>
      </c>
    </row>
    <row r="170" spans="1:10" x14ac:dyDescent="0.2">
      <c r="A170" s="4">
        <v>162</v>
      </c>
      <c r="B170" s="81"/>
      <c r="C170" s="5"/>
      <c r="D170" s="5"/>
      <c r="E170" s="6"/>
      <c r="F170" s="7"/>
      <c r="G170" s="41"/>
      <c r="H170" s="6"/>
      <c r="I170" s="41"/>
      <c r="J170" s="41" t="b">
        <f t="shared" si="2"/>
        <v>0</v>
      </c>
    </row>
    <row r="171" spans="1:10" x14ac:dyDescent="0.2">
      <c r="A171" s="4">
        <v>163</v>
      </c>
      <c r="B171" s="81"/>
      <c r="C171" s="5"/>
      <c r="D171" s="5"/>
      <c r="E171" s="6"/>
      <c r="F171" s="7"/>
      <c r="G171" s="41"/>
      <c r="H171" s="6"/>
      <c r="I171" s="41"/>
      <c r="J171" s="41" t="b">
        <f t="shared" si="2"/>
        <v>0</v>
      </c>
    </row>
    <row r="172" spans="1:10" x14ac:dyDescent="0.2">
      <c r="A172" s="4">
        <v>164</v>
      </c>
      <c r="B172" s="81"/>
      <c r="C172" s="5"/>
      <c r="D172" s="5"/>
      <c r="E172" s="6"/>
      <c r="F172" s="7"/>
      <c r="G172" s="41"/>
      <c r="H172" s="6"/>
      <c r="I172" s="41"/>
      <c r="J172" s="41" t="b">
        <f t="shared" si="2"/>
        <v>0</v>
      </c>
    </row>
    <row r="173" spans="1:10" x14ac:dyDescent="0.2">
      <c r="A173" s="4">
        <v>165</v>
      </c>
      <c r="B173" s="81"/>
      <c r="C173" s="5"/>
      <c r="D173" s="5"/>
      <c r="E173" s="6"/>
      <c r="F173" s="7"/>
      <c r="G173" s="41"/>
      <c r="H173" s="6"/>
      <c r="I173" s="41"/>
      <c r="J173" s="41" t="b">
        <f t="shared" si="2"/>
        <v>0</v>
      </c>
    </row>
    <row r="174" spans="1:10" x14ac:dyDescent="0.2">
      <c r="A174" s="4">
        <v>166</v>
      </c>
      <c r="B174" s="81"/>
      <c r="C174" s="5"/>
      <c r="D174" s="5"/>
      <c r="E174" s="6"/>
      <c r="F174" s="7"/>
      <c r="G174" s="41"/>
      <c r="H174" s="6"/>
      <c r="I174" s="41"/>
      <c r="J174" s="41" t="b">
        <f t="shared" si="2"/>
        <v>0</v>
      </c>
    </row>
    <row r="175" spans="1:10" x14ac:dyDescent="0.2">
      <c r="A175" s="4">
        <v>167</v>
      </c>
      <c r="B175" s="81"/>
      <c r="C175" s="5"/>
      <c r="D175" s="5"/>
      <c r="E175" s="6"/>
      <c r="F175" s="7"/>
      <c r="G175" s="41"/>
      <c r="H175" s="6"/>
      <c r="I175" s="41"/>
      <c r="J175" s="41" t="b">
        <f t="shared" si="2"/>
        <v>0</v>
      </c>
    </row>
    <row r="176" spans="1:10" x14ac:dyDescent="0.2">
      <c r="A176" s="4">
        <v>168</v>
      </c>
      <c r="B176" s="81"/>
      <c r="C176" s="5"/>
      <c r="D176" s="5"/>
      <c r="E176" s="6"/>
      <c r="F176" s="7"/>
      <c r="G176" s="41"/>
      <c r="H176" s="6"/>
      <c r="I176" s="41"/>
      <c r="J176" s="41" t="b">
        <f t="shared" si="2"/>
        <v>0</v>
      </c>
    </row>
    <row r="177" spans="1:10" x14ac:dyDescent="0.2">
      <c r="A177" s="4">
        <v>169</v>
      </c>
      <c r="B177" s="81"/>
      <c r="C177" s="5"/>
      <c r="D177" s="5"/>
      <c r="E177" s="6"/>
      <c r="F177" s="7"/>
      <c r="G177" s="41"/>
      <c r="H177" s="6"/>
      <c r="I177" s="41"/>
      <c r="J177" s="41" t="b">
        <f t="shared" si="2"/>
        <v>0</v>
      </c>
    </row>
    <row r="178" spans="1:10" x14ac:dyDescent="0.2">
      <c r="A178" s="4">
        <v>170</v>
      </c>
      <c r="B178" s="81"/>
      <c r="C178" s="5"/>
      <c r="D178" s="5"/>
      <c r="E178" s="6"/>
      <c r="F178" s="7"/>
      <c r="G178" s="41"/>
      <c r="H178" s="6"/>
      <c r="I178" s="41"/>
      <c r="J178" s="41" t="b">
        <f t="shared" si="2"/>
        <v>0</v>
      </c>
    </row>
    <row r="179" spans="1:10" x14ac:dyDescent="0.2">
      <c r="A179" s="4">
        <v>171</v>
      </c>
      <c r="B179" s="81"/>
      <c r="C179" s="5"/>
      <c r="D179" s="5"/>
      <c r="E179" s="6"/>
      <c r="F179" s="7"/>
      <c r="G179" s="41"/>
      <c r="H179" s="6"/>
      <c r="I179" s="41"/>
      <c r="J179" s="41" t="b">
        <f t="shared" si="2"/>
        <v>0</v>
      </c>
    </row>
    <row r="180" spans="1:10" x14ac:dyDescent="0.2">
      <c r="A180" s="4">
        <v>172</v>
      </c>
      <c r="B180" s="81"/>
      <c r="C180" s="5"/>
      <c r="D180" s="5"/>
      <c r="E180" s="6"/>
      <c r="F180" s="7"/>
      <c r="G180" s="41"/>
      <c r="H180" s="6"/>
      <c r="I180" s="41"/>
      <c r="J180" s="41" t="b">
        <f t="shared" si="2"/>
        <v>0</v>
      </c>
    </row>
    <row r="181" spans="1:10" x14ac:dyDescent="0.2">
      <c r="A181" s="4">
        <v>173</v>
      </c>
      <c r="B181" s="81"/>
      <c r="C181" s="5"/>
      <c r="D181" s="5"/>
      <c r="E181" s="6"/>
      <c r="F181" s="7"/>
      <c r="G181" s="41"/>
      <c r="H181" s="6"/>
      <c r="I181" s="41"/>
      <c r="J181" s="41" t="b">
        <f t="shared" si="2"/>
        <v>0</v>
      </c>
    </row>
    <row r="182" spans="1:10" x14ac:dyDescent="0.2">
      <c r="A182" s="4">
        <v>174</v>
      </c>
      <c r="B182" s="81"/>
      <c r="C182" s="5"/>
      <c r="D182" s="5"/>
      <c r="E182" s="6"/>
      <c r="F182" s="7"/>
      <c r="G182" s="41"/>
      <c r="H182" s="6"/>
      <c r="I182" s="41"/>
      <c r="J182" s="41" t="b">
        <f t="shared" si="2"/>
        <v>0</v>
      </c>
    </row>
    <row r="183" spans="1:10" x14ac:dyDescent="0.2">
      <c r="A183" s="4">
        <v>175</v>
      </c>
      <c r="B183" s="81"/>
      <c r="C183" s="5"/>
      <c r="D183" s="5"/>
      <c r="E183" s="6"/>
      <c r="F183" s="7"/>
      <c r="G183" s="41"/>
      <c r="H183" s="6"/>
      <c r="I183" s="41"/>
      <c r="J183" s="41" t="b">
        <f t="shared" si="2"/>
        <v>0</v>
      </c>
    </row>
    <row r="184" spans="1:10" x14ac:dyDescent="0.2">
      <c r="A184" s="4">
        <v>176</v>
      </c>
      <c r="B184" s="81"/>
      <c r="C184" s="5"/>
      <c r="D184" s="5"/>
      <c r="E184" s="6"/>
      <c r="F184" s="7"/>
      <c r="G184" s="41"/>
      <c r="H184" s="6"/>
      <c r="I184" s="41"/>
      <c r="J184" s="41" t="b">
        <f t="shared" si="2"/>
        <v>0</v>
      </c>
    </row>
    <row r="185" spans="1:10" x14ac:dyDescent="0.2">
      <c r="A185" s="4">
        <v>177</v>
      </c>
      <c r="B185" s="81"/>
      <c r="C185" s="5"/>
      <c r="D185" s="5"/>
      <c r="E185" s="6"/>
      <c r="F185" s="7"/>
      <c r="G185" s="41"/>
      <c r="H185" s="6"/>
      <c r="I185" s="41"/>
      <c r="J185" s="41" t="b">
        <f t="shared" si="2"/>
        <v>0</v>
      </c>
    </row>
    <row r="186" spans="1:10" x14ac:dyDescent="0.2">
      <c r="A186" s="4">
        <v>178</v>
      </c>
      <c r="B186" s="81"/>
      <c r="C186" s="5"/>
      <c r="D186" s="5"/>
      <c r="E186" s="6"/>
      <c r="F186" s="7"/>
      <c r="G186" s="41"/>
      <c r="H186" s="6"/>
      <c r="I186" s="41"/>
      <c r="J186" s="41" t="b">
        <f t="shared" si="2"/>
        <v>0</v>
      </c>
    </row>
    <row r="187" spans="1:10" x14ac:dyDescent="0.2">
      <c r="A187" s="4">
        <v>179</v>
      </c>
      <c r="B187" s="81"/>
      <c r="C187" s="5"/>
      <c r="D187" s="5"/>
      <c r="E187" s="6"/>
      <c r="F187" s="7"/>
      <c r="G187" s="41"/>
      <c r="H187" s="6"/>
      <c r="I187" s="41"/>
      <c r="J187" s="41" t="b">
        <f t="shared" si="2"/>
        <v>0</v>
      </c>
    </row>
    <row r="188" spans="1:10" x14ac:dyDescent="0.2">
      <c r="A188" s="4">
        <v>180</v>
      </c>
      <c r="B188" s="81"/>
      <c r="C188" s="5"/>
      <c r="D188" s="5"/>
      <c r="E188" s="6"/>
      <c r="F188" s="7"/>
      <c r="G188" s="41"/>
      <c r="H188" s="6"/>
      <c r="I188" s="41"/>
      <c r="J188" s="41" t="b">
        <f t="shared" si="2"/>
        <v>0</v>
      </c>
    </row>
    <row r="189" spans="1:10" x14ac:dyDescent="0.2">
      <c r="A189" s="4">
        <v>181</v>
      </c>
      <c r="B189" s="81"/>
      <c r="C189" s="5"/>
      <c r="D189" s="5"/>
      <c r="E189" s="6"/>
      <c r="F189" s="7"/>
      <c r="G189" s="41"/>
      <c r="H189" s="6"/>
      <c r="I189" s="41"/>
      <c r="J189" s="41" t="b">
        <f t="shared" si="2"/>
        <v>0</v>
      </c>
    </row>
    <row r="190" spans="1:10" x14ac:dyDescent="0.2">
      <c r="A190" s="4">
        <v>182</v>
      </c>
      <c r="B190" s="81"/>
      <c r="C190" s="5"/>
      <c r="D190" s="5"/>
      <c r="E190" s="6"/>
      <c r="F190" s="7"/>
      <c r="G190" s="41"/>
      <c r="H190" s="6"/>
      <c r="I190" s="41"/>
      <c r="J190" s="41" t="b">
        <f t="shared" si="2"/>
        <v>0</v>
      </c>
    </row>
    <row r="191" spans="1:10" x14ac:dyDescent="0.2">
      <c r="A191" s="4">
        <v>183</v>
      </c>
      <c r="B191" s="81"/>
      <c r="C191" s="5"/>
      <c r="D191" s="5"/>
      <c r="E191" s="6"/>
      <c r="F191" s="7"/>
      <c r="G191" s="41"/>
      <c r="H191" s="6"/>
      <c r="I191" s="41"/>
      <c r="J191" s="41" t="b">
        <f t="shared" si="2"/>
        <v>0</v>
      </c>
    </row>
    <row r="192" spans="1:10" x14ac:dyDescent="0.2">
      <c r="A192" s="4">
        <v>184</v>
      </c>
      <c r="B192" s="81"/>
      <c r="C192" s="5"/>
      <c r="D192" s="5"/>
      <c r="E192" s="6"/>
      <c r="F192" s="7"/>
      <c r="G192" s="41"/>
      <c r="H192" s="6"/>
      <c r="I192" s="41"/>
      <c r="J192" s="41" t="b">
        <f t="shared" si="2"/>
        <v>0</v>
      </c>
    </row>
    <row r="193" spans="1:10" x14ac:dyDescent="0.2">
      <c r="A193" s="4">
        <v>185</v>
      </c>
      <c r="B193" s="81"/>
      <c r="C193" s="5"/>
      <c r="D193" s="5"/>
      <c r="E193" s="6"/>
      <c r="F193" s="7"/>
      <c r="G193" s="41"/>
      <c r="H193" s="6"/>
      <c r="I193" s="41"/>
      <c r="J193" s="41" t="b">
        <f t="shared" si="2"/>
        <v>0</v>
      </c>
    </row>
    <row r="194" spans="1:10" x14ac:dyDescent="0.2">
      <c r="A194" s="4">
        <v>186</v>
      </c>
      <c r="B194" s="81"/>
      <c r="C194" s="5"/>
      <c r="D194" s="5"/>
      <c r="E194" s="6"/>
      <c r="F194" s="7"/>
      <c r="G194" s="41"/>
      <c r="H194" s="6"/>
      <c r="I194" s="41"/>
      <c r="J194" s="41" t="b">
        <f t="shared" si="2"/>
        <v>0</v>
      </c>
    </row>
    <row r="195" spans="1:10" x14ac:dyDescent="0.2">
      <c r="A195" s="4">
        <v>187</v>
      </c>
      <c r="B195" s="81"/>
      <c r="C195" s="5"/>
      <c r="D195" s="5"/>
      <c r="E195" s="6"/>
      <c r="F195" s="7"/>
      <c r="G195" s="41"/>
      <c r="H195" s="6"/>
      <c r="I195" s="41"/>
      <c r="J195" s="41" t="b">
        <f t="shared" si="2"/>
        <v>0</v>
      </c>
    </row>
    <row r="196" spans="1:10" x14ac:dyDescent="0.2">
      <c r="A196" s="4">
        <v>188</v>
      </c>
      <c r="B196" s="81"/>
      <c r="C196" s="5"/>
      <c r="D196" s="5"/>
      <c r="E196" s="6"/>
      <c r="F196" s="7"/>
      <c r="G196" s="41"/>
      <c r="H196" s="6"/>
      <c r="I196" s="41"/>
      <c r="J196" s="41" t="b">
        <f t="shared" si="2"/>
        <v>0</v>
      </c>
    </row>
    <row r="197" spans="1:10" x14ac:dyDescent="0.2">
      <c r="A197" s="4">
        <v>189</v>
      </c>
      <c r="B197" s="81"/>
      <c r="C197" s="5"/>
      <c r="D197" s="5"/>
      <c r="E197" s="6"/>
      <c r="F197" s="7"/>
      <c r="G197" s="41"/>
      <c r="H197" s="6"/>
      <c r="I197" s="41"/>
      <c r="J197" s="41" t="b">
        <f t="shared" si="2"/>
        <v>0</v>
      </c>
    </row>
    <row r="198" spans="1:10" x14ac:dyDescent="0.2">
      <c r="A198" s="4">
        <v>190</v>
      </c>
      <c r="B198" s="81"/>
      <c r="C198" s="5"/>
      <c r="D198" s="5"/>
      <c r="E198" s="6"/>
      <c r="F198" s="7"/>
      <c r="G198" s="41"/>
      <c r="H198" s="6"/>
      <c r="I198" s="41"/>
      <c r="J198" s="41" t="b">
        <f t="shared" si="2"/>
        <v>0</v>
      </c>
    </row>
    <row r="199" spans="1:10" x14ac:dyDescent="0.2">
      <c r="A199" s="4">
        <v>191</v>
      </c>
      <c r="B199" s="81"/>
      <c r="C199" s="5"/>
      <c r="D199" s="5"/>
      <c r="E199" s="6"/>
      <c r="F199" s="7"/>
      <c r="G199" s="41"/>
      <c r="H199" s="6"/>
      <c r="I199" s="41"/>
      <c r="J199" s="41" t="b">
        <f t="shared" si="2"/>
        <v>0</v>
      </c>
    </row>
    <row r="200" spans="1:10" x14ac:dyDescent="0.2">
      <c r="A200" s="4">
        <v>192</v>
      </c>
      <c r="B200" s="81"/>
      <c r="C200" s="5"/>
      <c r="D200" s="5"/>
      <c r="E200" s="6"/>
      <c r="F200" s="7"/>
      <c r="G200" s="41"/>
      <c r="H200" s="6"/>
      <c r="I200" s="41"/>
      <c r="J200" s="41" t="b">
        <f t="shared" si="2"/>
        <v>0</v>
      </c>
    </row>
    <row r="201" spans="1:10" x14ac:dyDescent="0.2">
      <c r="A201" s="4">
        <v>193</v>
      </c>
      <c r="B201" s="81"/>
      <c r="C201" s="5"/>
      <c r="D201" s="5"/>
      <c r="E201" s="6"/>
      <c r="F201" s="7"/>
      <c r="G201" s="41"/>
      <c r="H201" s="6"/>
      <c r="I201" s="41"/>
      <c r="J201" s="41" t="b">
        <f t="shared" si="2"/>
        <v>0</v>
      </c>
    </row>
    <row r="202" spans="1:10" x14ac:dyDescent="0.2">
      <c r="A202" s="4">
        <v>194</v>
      </c>
      <c r="B202" s="81"/>
      <c r="C202" s="5"/>
      <c r="D202" s="5"/>
      <c r="E202" s="6"/>
      <c r="F202" s="7"/>
      <c r="G202" s="41"/>
      <c r="H202" s="6"/>
      <c r="I202" s="41"/>
      <c r="J202" s="41" t="b">
        <f t="shared" ref="J202:J208" si="3">IF(H202=$M$3,G202,IF(H202=$M$4,-I202))</f>
        <v>0</v>
      </c>
    </row>
    <row r="203" spans="1:10" x14ac:dyDescent="0.2">
      <c r="A203" s="4">
        <v>195</v>
      </c>
      <c r="B203" s="81"/>
      <c r="C203" s="5"/>
      <c r="D203" s="5"/>
      <c r="E203" s="6"/>
      <c r="F203" s="7"/>
      <c r="G203" s="41"/>
      <c r="H203" s="6"/>
      <c r="I203" s="41"/>
      <c r="J203" s="41" t="b">
        <f t="shared" si="3"/>
        <v>0</v>
      </c>
    </row>
    <row r="204" spans="1:10" x14ac:dyDescent="0.2">
      <c r="A204" s="4">
        <v>196</v>
      </c>
      <c r="B204" s="81"/>
      <c r="C204" s="5"/>
      <c r="D204" s="5"/>
      <c r="E204" s="6"/>
      <c r="F204" s="7"/>
      <c r="G204" s="41"/>
      <c r="H204" s="6"/>
      <c r="I204" s="41"/>
      <c r="J204" s="41" t="b">
        <f t="shared" si="3"/>
        <v>0</v>
      </c>
    </row>
    <row r="205" spans="1:10" x14ac:dyDescent="0.2">
      <c r="A205" s="4">
        <v>197</v>
      </c>
      <c r="B205" s="81"/>
      <c r="C205" s="5"/>
      <c r="D205" s="5"/>
      <c r="E205" s="6"/>
      <c r="F205" s="7"/>
      <c r="G205" s="41"/>
      <c r="H205" s="6"/>
      <c r="I205" s="41"/>
      <c r="J205" s="41" t="b">
        <f t="shared" si="3"/>
        <v>0</v>
      </c>
    </row>
    <row r="206" spans="1:10" x14ac:dyDescent="0.2">
      <c r="A206" s="4">
        <v>198</v>
      </c>
      <c r="B206" s="81"/>
      <c r="C206" s="5"/>
      <c r="D206" s="5"/>
      <c r="E206" s="6"/>
      <c r="F206" s="7"/>
      <c r="G206" s="41"/>
      <c r="H206" s="6"/>
      <c r="I206" s="41"/>
      <c r="J206" s="41" t="b">
        <f t="shared" si="3"/>
        <v>0</v>
      </c>
    </row>
    <row r="207" spans="1:10" x14ac:dyDescent="0.2">
      <c r="A207" s="4">
        <v>199</v>
      </c>
      <c r="B207" s="81"/>
      <c r="C207" s="5"/>
      <c r="D207" s="5"/>
      <c r="E207" s="6"/>
      <c r="F207" s="7"/>
      <c r="G207" s="41"/>
      <c r="H207" s="6"/>
      <c r="I207" s="41"/>
      <c r="J207" s="41" t="b">
        <f t="shared" si="3"/>
        <v>0</v>
      </c>
    </row>
    <row r="208" spans="1:10" x14ac:dyDescent="0.2">
      <c r="A208" s="4">
        <v>200</v>
      </c>
      <c r="B208" s="81"/>
      <c r="C208" s="5"/>
      <c r="D208" s="5"/>
      <c r="E208" s="6"/>
      <c r="F208" s="7"/>
      <c r="G208" s="41"/>
      <c r="H208" s="6"/>
      <c r="I208" s="41"/>
      <c r="J208" s="41" t="b">
        <f t="shared" si="3"/>
        <v>0</v>
      </c>
    </row>
  </sheetData>
  <autoFilter ref="A8:J208" xr:uid="{00000000-0009-0000-0000-000009000000}"/>
  <mergeCells count="2">
    <mergeCell ref="A1:E1"/>
    <mergeCell ref="I1:J1"/>
  </mergeCells>
  <conditionalFormatting sqref="J8:J1048576">
    <cfRule type="cellIs" dxfId="158" priority="3" operator="equal">
      <formula>"ERROR"</formula>
    </cfRule>
  </conditionalFormatting>
  <conditionalFormatting sqref="D4">
    <cfRule type="cellIs" dxfId="157" priority="1" operator="lessThanOrEqual">
      <formula>0</formula>
    </cfRule>
    <cfRule type="cellIs" dxfId="156" priority="2" operator="greaterThan">
      <formula>0</formula>
    </cfRule>
  </conditionalFormatting>
  <dataValidations count="2">
    <dataValidation type="list" allowBlank="1" showInputMessage="1" showErrorMessage="1" sqref="C26:C1048576" xr:uid="{C67DF810-0419-C042-AED5-2CBE8F90DB73}">
      <formula1>$P$3:$P$5</formula1>
    </dataValidation>
    <dataValidation type="list" allowBlank="1" showInputMessage="1" showErrorMessage="1" sqref="H9:H1048576" xr:uid="{C5DD73D8-6548-F54D-A70C-8D6ED07BB083}">
      <formula1>$M$3:$M$4</formula1>
    </dataValidation>
  </dataValidations>
  <hyperlinks>
    <hyperlink ref="I1:J1" location="'Master Sheet'!A1" display="GO BACK TO MASTER SHEET" xr:uid="{2A1D9FEB-00AF-8C4F-8E20-931F9D5872E2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A43F55D-65B8-7B4D-83DF-A84F94870408}">
          <x14:formula1>
            <xm:f>'Master Sheet'!$AT$5:$AT$59</xm:f>
          </x14:formula1>
          <xm:sqref>C9:D9 C10:C25</xm:sqref>
        </x14:dataValidation>
        <x14:dataValidation type="list" allowBlank="1" errorTitle="Invalid selection" error="Select a value from the list." promptTitle="Selection" prompt="Pick from the dropdown list." xr:uid="{9F3DE11E-83C0-FD41-B46F-8A4F6A867C1B}">
          <x14:formula1>
            <xm:f>'Master Sheet'!$AE$5:$AE$28</xm:f>
          </x14:formula1>
          <xm:sqref>E9</xm:sqref>
        </x14:dataValidation>
        <x14:dataValidation type="list" allowBlank="1" errorTitle="Invalid selection" error="Select a value from the list." promptTitle="Selection" prompt="Pick from the dropdown list." xr:uid="{397CBB4C-17CF-B741-A23F-A48A7728876F}">
          <x14:formula1>
            <xm:f>'Master Sheet'!$AJ$5:$AJ$6</xm:f>
          </x14:formula1>
          <xm:sqref>E10:E1048576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C28C7-8D06-BF4B-B30D-6CDCE1D5D0B8}">
  <sheetPr codeName="Sheet9"/>
  <dimension ref="A1:V208"/>
  <sheetViews>
    <sheetView showGridLines="0" zoomScale="90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Prime safety - zone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V002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55" priority="3" operator="equal">
      <formula>"ERROR"</formula>
    </cfRule>
  </conditionalFormatting>
  <conditionalFormatting sqref="D4">
    <cfRule type="cellIs" dxfId="154" priority="1" operator="lessThanOrEqual">
      <formula>0</formula>
    </cfRule>
    <cfRule type="cellIs" dxfId="153" priority="2" operator="greaterThan">
      <formula>0</formula>
    </cfRule>
  </conditionalFormatting>
  <dataValidations count="1">
    <dataValidation type="list" allowBlank="1" showInputMessage="1" showErrorMessage="1" sqref="O9:O1048576" xr:uid="{47700324-D886-5A4A-8030-57A73710F38A}">
      <formula1>$U$3:$U$4</formula1>
    </dataValidation>
  </dataValidations>
  <hyperlinks>
    <hyperlink ref="E1:G1" location="'Master Sheet'!A1" display="GO BACK TO MASTER SHEET" xr:uid="{2E20B715-EFFB-FF4F-838D-6353DEFC292D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F61B6FFA-2D5F-6940-8292-8B336704ADBB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3FE87706-831C-2B4B-A148-D65737FD761E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191A-D157-9C43-8E6F-EE7A0F0D6C87}">
  <sheetPr codeName="Sheet10"/>
  <dimension ref="A1:V208"/>
  <sheetViews>
    <sheetView showGridLines="0" zoomScale="90" workbookViewId="0">
      <pane ySplit="8" topLeftCell="A9" activePane="bottomLeft" state="frozen"/>
      <selection pane="bottomLeft" activeCell="R10" sqref="R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Al Nazeer - zone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V003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52" priority="3" operator="equal">
      <formula>"ERROR"</formula>
    </cfRule>
  </conditionalFormatting>
  <conditionalFormatting sqref="D4">
    <cfRule type="cellIs" dxfId="151" priority="1" operator="lessThanOrEqual">
      <formula>0</formula>
    </cfRule>
    <cfRule type="cellIs" dxfId="150" priority="2" operator="greaterThan">
      <formula>0</formula>
    </cfRule>
  </conditionalFormatting>
  <dataValidations count="1">
    <dataValidation type="list" allowBlank="1" showInputMessage="1" showErrorMessage="1" sqref="O9:O1048576" xr:uid="{316F7426-01A6-DB4C-A7FC-DC2118180281}">
      <formula1>$U$3:$U$4</formula1>
    </dataValidation>
  </dataValidations>
  <hyperlinks>
    <hyperlink ref="E1:G1" location="'Master Sheet'!A1" display="GO BACK TO MASTER SHEET" xr:uid="{99457A54-8706-904F-B367-C59E2E61E57E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F54FC689-C377-844F-AFF0-D65B1269B1D7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E20574FC-1C5B-134B-BB0E-B4767C49FA16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8ECF6-1D7A-1842-80A4-4BDA76075856}">
  <sheetPr codeName="Sheet11"/>
  <dimension ref="A1:V208"/>
  <sheetViews>
    <sheetView showGridLines="0" zoomScale="90" workbookViewId="0">
      <pane ySplit="8" topLeftCell="A9" activePane="bottomLeft" state="frozen"/>
      <selection pane="bottomLeft" activeCell="R10" sqref="R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Zahabia chemical - zone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V004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49" priority="3" operator="equal">
      <formula>"ERROR"</formula>
    </cfRule>
  </conditionalFormatting>
  <conditionalFormatting sqref="D4">
    <cfRule type="cellIs" dxfId="148" priority="1" operator="lessThanOrEqual">
      <formula>0</formula>
    </cfRule>
    <cfRule type="cellIs" dxfId="147" priority="2" operator="greaterThan">
      <formula>0</formula>
    </cfRule>
  </conditionalFormatting>
  <dataValidations count="1">
    <dataValidation type="list" allowBlank="1" showInputMessage="1" showErrorMessage="1" sqref="O9:O1048576" xr:uid="{6CFCC2D8-BB9C-F84B-965C-41648235B760}">
      <formula1>$U$3:$U$4</formula1>
    </dataValidation>
  </dataValidations>
  <hyperlinks>
    <hyperlink ref="E1:G1" location="'Master Sheet'!A1" display="GO BACK TO MASTER SHEET" xr:uid="{2A3067E4-8361-7542-B506-E50EDD58499A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B5121AA8-8892-A247-A60E-D54F8389D3EB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0F230991-E0DD-B541-A3C1-57AD61BADFF7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D19DD-68B5-B944-92D0-71FEA422097C}">
  <sheetPr codeName="Sheet12"/>
  <dimension ref="A1:V208"/>
  <sheetViews>
    <sheetView showGridLines="0" zoomScale="90" workbookViewId="0">
      <pane ySplit="8" topLeftCell="A9" activePane="bottomLeft" state="frozen"/>
      <selection pane="bottomLeft" activeCell="R10" sqref="R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Midas safety - zone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V005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46" priority="3" operator="equal">
      <formula>"ERROR"</formula>
    </cfRule>
  </conditionalFormatting>
  <conditionalFormatting sqref="D4">
    <cfRule type="cellIs" dxfId="145" priority="1" operator="lessThanOrEqual">
      <formula>0</formula>
    </cfRule>
    <cfRule type="cellIs" dxfId="144" priority="2" operator="greaterThan">
      <formula>0</formula>
    </cfRule>
  </conditionalFormatting>
  <dataValidations count="1">
    <dataValidation type="list" allowBlank="1" showInputMessage="1" showErrorMessage="1" sqref="O9:O1048576" xr:uid="{FC52CF85-40A5-5742-A025-F78C98D9F3C2}">
      <formula1>$U$3:$U$4</formula1>
    </dataValidation>
  </dataValidations>
  <hyperlinks>
    <hyperlink ref="E1:G1" location="'Master Sheet'!A1" display="GO BACK TO MASTER SHEET" xr:uid="{B8D511A9-BD3D-9F48-BD64-D1BF7158E384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EBCB5D76-F066-7E43-B09D-F76B0F0E5A8A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E28A0B02-33C0-094D-BD2D-F43E9BB7A570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7872-8ECC-9C4D-9341-DF0D907EB522}">
  <sheetPr codeName="Sheet13"/>
  <dimension ref="A1:V208"/>
  <sheetViews>
    <sheetView showGridLines="0" zoomScale="90" workbookViewId="0">
      <pane ySplit="8" topLeftCell="A9" activePane="bottomLeft" state="frozen"/>
      <selection pane="bottomLeft" activeCell="R10" sqref="R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Zahabia Chemical Karachi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V006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43" priority="3" operator="equal">
      <formula>"ERROR"</formula>
    </cfRule>
  </conditionalFormatting>
  <conditionalFormatting sqref="D4">
    <cfRule type="cellIs" dxfId="142" priority="1" operator="lessThanOrEqual">
      <formula>0</formula>
    </cfRule>
    <cfRule type="cellIs" dxfId="141" priority="2" operator="greaterThan">
      <formula>0</formula>
    </cfRule>
  </conditionalFormatting>
  <dataValidations count="1">
    <dataValidation type="list" allowBlank="1" showInputMessage="1" showErrorMessage="1" sqref="O9:O1048576" xr:uid="{5EA7192F-14C3-7843-97BB-EDB00F47148E}">
      <formula1>$U$3:$U$4</formula1>
    </dataValidation>
  </dataValidations>
  <hyperlinks>
    <hyperlink ref="E1:G1" location="'Master Sheet'!A1" display="GO BACK TO MASTER SHEET" xr:uid="{9A3494AB-A7FB-884E-8E25-4CDD44B35F7F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1CB624B3-C8F8-CB4D-9AA5-4212D61824A1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0E554549-60AD-A74E-BCA5-D0C3FB227FAE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33DEA-0DD0-2C44-9540-E5550AC3D6D5}">
  <sheetPr codeName="Sheet14"/>
  <dimension ref="A1:W208"/>
  <sheetViews>
    <sheetView showGridLines="0" zoomScale="90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8" width="16" customWidth="1"/>
    <col min="19" max="19" width="26" style="42" customWidth="1"/>
  </cols>
  <sheetData>
    <row r="1" spans="1:23" ht="24" customHeight="1" x14ac:dyDescent="0.2">
      <c r="A1" s="86" t="str">
        <f ca="1">VLOOKUP(A2,'Master Sheet'!E5:F27,2)</f>
        <v>Razi and sons - seats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S1"/>
    </row>
    <row r="2" spans="1:23" ht="20" thickBot="1" x14ac:dyDescent="0.3">
      <c r="A2" s="48" t="str" cm="1">
        <f t="array" aca="1" ref="A2" ca="1">MID(CELL("filename",A1),FIND("]",CELL("filename",A1))+1,99)</f>
        <v>V007</v>
      </c>
      <c r="F2"/>
      <c r="G2"/>
      <c r="H2"/>
      <c r="I2"/>
      <c r="J2"/>
      <c r="K2"/>
      <c r="L2"/>
      <c r="M2"/>
      <c r="N2"/>
      <c r="P2"/>
      <c r="S2"/>
    </row>
    <row r="3" spans="1:23" ht="16" thickBot="1" x14ac:dyDescent="0.25">
      <c r="A3" s="3"/>
      <c r="F3"/>
      <c r="G3"/>
      <c r="H3"/>
      <c r="I3"/>
      <c r="J3"/>
      <c r="K3"/>
      <c r="L3"/>
      <c r="M3"/>
      <c r="N3"/>
      <c r="P3"/>
      <c r="S3"/>
      <c r="V3" s="43" t="s">
        <v>197</v>
      </c>
      <c r="W3" s="44"/>
    </row>
    <row r="4" spans="1:23" ht="16" thickBot="1" x14ac:dyDescent="0.25">
      <c r="A4" s="3"/>
      <c r="C4" s="20" t="s">
        <v>201</v>
      </c>
      <c r="D4" s="51">
        <f>SUM(S9:S1048576)</f>
        <v>630000</v>
      </c>
      <c r="F4"/>
      <c r="G4"/>
      <c r="H4"/>
      <c r="I4"/>
      <c r="J4"/>
      <c r="K4"/>
      <c r="L4"/>
      <c r="M4"/>
      <c r="N4"/>
      <c r="P4"/>
      <c r="S4"/>
      <c r="V4" s="30" t="s">
        <v>198</v>
      </c>
      <c r="W4" s="45"/>
    </row>
    <row r="5" spans="1:23" x14ac:dyDescent="0.2">
      <c r="A5" s="3"/>
      <c r="F5"/>
      <c r="G5"/>
      <c r="H5"/>
      <c r="I5"/>
      <c r="J5"/>
      <c r="K5"/>
      <c r="L5"/>
      <c r="M5"/>
      <c r="N5"/>
      <c r="P5"/>
      <c r="S5"/>
    </row>
    <row r="6" spans="1:23" x14ac:dyDescent="0.2">
      <c r="A6" s="3"/>
      <c r="F6"/>
      <c r="G6"/>
      <c r="H6"/>
      <c r="I6"/>
      <c r="J6"/>
      <c r="K6"/>
      <c r="L6"/>
      <c r="M6"/>
      <c r="N6"/>
      <c r="P6"/>
      <c r="S6"/>
    </row>
    <row r="7" spans="1:23" x14ac:dyDescent="0.2">
      <c r="A7" s="3"/>
      <c r="F7"/>
      <c r="G7"/>
      <c r="H7"/>
      <c r="I7"/>
      <c r="J7"/>
      <c r="K7"/>
      <c r="L7"/>
      <c r="M7"/>
      <c r="N7"/>
      <c r="P7"/>
      <c r="S7"/>
    </row>
    <row r="8" spans="1:23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226</v>
      </c>
      <c r="S8" s="1" t="s">
        <v>196</v>
      </c>
    </row>
    <row r="9" spans="1:23" x14ac:dyDescent="0.2">
      <c r="A9" s="4">
        <v>1</v>
      </c>
      <c r="B9" s="5">
        <v>46084</v>
      </c>
      <c r="C9" s="6" t="s">
        <v>1</v>
      </c>
      <c r="D9" s="6" t="s">
        <v>105</v>
      </c>
      <c r="E9" s="7">
        <v>39</v>
      </c>
      <c r="F9" s="41">
        <v>10500</v>
      </c>
      <c r="G9" s="46"/>
      <c r="H9" s="39"/>
      <c r="I9" s="41"/>
      <c r="J9" s="41"/>
      <c r="K9" s="41"/>
      <c r="L9" s="41"/>
      <c r="M9" s="41"/>
      <c r="N9" s="41"/>
      <c r="O9" s="6" t="s">
        <v>197</v>
      </c>
      <c r="P9" s="41"/>
      <c r="Q9" s="41">
        <f>E9*F9</f>
        <v>409500</v>
      </c>
      <c r="R9" s="41">
        <f>Q9+(Q9*H9)</f>
        <v>409500</v>
      </c>
      <c r="S9" s="41">
        <f>IF(O9=$V$3,R9-(R9*G9),IF(O9=$V$4,-P9,""))</f>
        <v>409500</v>
      </c>
    </row>
    <row r="10" spans="1:23" x14ac:dyDescent="0.2">
      <c r="A10" s="4">
        <v>2</v>
      </c>
      <c r="B10" s="5">
        <v>46084</v>
      </c>
      <c r="C10" s="6" t="s">
        <v>1</v>
      </c>
      <c r="D10" s="6" t="s">
        <v>107</v>
      </c>
      <c r="E10" s="7">
        <v>21</v>
      </c>
      <c r="F10" s="41">
        <v>10500</v>
      </c>
      <c r="G10" s="46"/>
      <c r="H10" s="39"/>
      <c r="I10" s="41"/>
      <c r="J10" s="41"/>
      <c r="K10" s="41"/>
      <c r="L10" s="41"/>
      <c r="M10" s="41"/>
      <c r="N10" s="41"/>
      <c r="O10" s="6" t="s">
        <v>197</v>
      </c>
      <c r="P10" s="41"/>
      <c r="Q10" s="41">
        <f t="shared" ref="Q10:Q73" si="0">E10*F10</f>
        <v>220500</v>
      </c>
      <c r="R10" s="41">
        <f t="shared" ref="R10:R73" si="1">Q10+(Q10*H10)</f>
        <v>220500</v>
      </c>
      <c r="S10" s="41">
        <f t="shared" ref="S10:S73" si="2">IF(O10=$V$3,R10-(R10*G10),IF(O10=$V$4,-P10,""))</f>
        <v>220500</v>
      </c>
    </row>
    <row r="11" spans="1:23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>
        <f t="shared" si="1"/>
        <v>0</v>
      </c>
      <c r="S11" s="41" t="str">
        <f t="shared" si="2"/>
        <v/>
      </c>
    </row>
    <row r="12" spans="1:23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>
        <f t="shared" si="1"/>
        <v>0</v>
      </c>
      <c r="S12" s="41" t="str">
        <f t="shared" si="2"/>
        <v/>
      </c>
    </row>
    <row r="13" spans="1:23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>
        <f t="shared" si="1"/>
        <v>0</v>
      </c>
      <c r="S13" s="41" t="str">
        <f t="shared" si="2"/>
        <v/>
      </c>
    </row>
    <row r="14" spans="1:23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>
        <f t="shared" si="1"/>
        <v>0</v>
      </c>
      <c r="S14" s="41" t="str">
        <f t="shared" si="2"/>
        <v/>
      </c>
    </row>
    <row r="15" spans="1:23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>
        <f t="shared" si="1"/>
        <v>0</v>
      </c>
      <c r="S15" s="41" t="str">
        <f t="shared" si="2"/>
        <v/>
      </c>
    </row>
    <row r="16" spans="1:23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>
        <f t="shared" si="1"/>
        <v>0</v>
      </c>
      <c r="S16" s="41" t="str">
        <f t="shared" si="2"/>
        <v/>
      </c>
    </row>
    <row r="17" spans="1:19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>
        <f t="shared" si="1"/>
        <v>0</v>
      </c>
      <c r="S17" s="41" t="str">
        <f t="shared" si="2"/>
        <v/>
      </c>
    </row>
    <row r="18" spans="1:19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>
        <f t="shared" si="1"/>
        <v>0</v>
      </c>
      <c r="S18" s="41" t="str">
        <f t="shared" si="2"/>
        <v/>
      </c>
    </row>
    <row r="19" spans="1:19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>
        <f t="shared" si="1"/>
        <v>0</v>
      </c>
      <c r="S19" s="41" t="str">
        <f t="shared" si="2"/>
        <v/>
      </c>
    </row>
    <row r="20" spans="1:19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>
        <f t="shared" si="1"/>
        <v>0</v>
      </c>
      <c r="S20" s="41" t="str">
        <f t="shared" si="2"/>
        <v/>
      </c>
    </row>
    <row r="21" spans="1:19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>
        <f t="shared" si="1"/>
        <v>0</v>
      </c>
      <c r="S21" s="41" t="str">
        <f t="shared" si="2"/>
        <v/>
      </c>
    </row>
    <row r="22" spans="1:19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>
        <f t="shared" si="1"/>
        <v>0</v>
      </c>
      <c r="S22" s="41" t="str">
        <f t="shared" si="2"/>
        <v/>
      </c>
    </row>
    <row r="23" spans="1:19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>
        <f t="shared" si="1"/>
        <v>0</v>
      </c>
      <c r="S23" s="41" t="str">
        <f t="shared" si="2"/>
        <v/>
      </c>
    </row>
    <row r="24" spans="1:19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>
        <f t="shared" si="1"/>
        <v>0</v>
      </c>
      <c r="S24" s="41" t="str">
        <f t="shared" si="2"/>
        <v/>
      </c>
    </row>
    <row r="25" spans="1:19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>
        <f t="shared" si="1"/>
        <v>0</v>
      </c>
      <c r="S25" s="41" t="str">
        <f t="shared" si="2"/>
        <v/>
      </c>
    </row>
    <row r="26" spans="1:19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>
        <f t="shared" si="1"/>
        <v>0</v>
      </c>
      <c r="S26" s="41" t="str">
        <f t="shared" si="2"/>
        <v/>
      </c>
    </row>
    <row r="27" spans="1:19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>
        <f t="shared" si="1"/>
        <v>0</v>
      </c>
      <c r="S27" s="41" t="str">
        <f t="shared" si="2"/>
        <v/>
      </c>
    </row>
    <row r="28" spans="1:19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>
        <f t="shared" si="1"/>
        <v>0</v>
      </c>
      <c r="S28" s="41" t="str">
        <f t="shared" si="2"/>
        <v/>
      </c>
    </row>
    <row r="29" spans="1:19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>
        <f t="shared" si="1"/>
        <v>0</v>
      </c>
      <c r="S29" s="41" t="str">
        <f t="shared" si="2"/>
        <v/>
      </c>
    </row>
    <row r="30" spans="1:19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>
        <f t="shared" si="1"/>
        <v>0</v>
      </c>
      <c r="S30" s="41" t="str">
        <f t="shared" si="2"/>
        <v/>
      </c>
    </row>
    <row r="31" spans="1:19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>
        <f t="shared" si="1"/>
        <v>0</v>
      </c>
      <c r="S31" s="41" t="str">
        <f t="shared" si="2"/>
        <v/>
      </c>
    </row>
    <row r="32" spans="1:19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>
        <f t="shared" si="1"/>
        <v>0</v>
      </c>
      <c r="S32" s="41" t="str">
        <f t="shared" si="2"/>
        <v/>
      </c>
    </row>
    <row r="33" spans="1:19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>
        <f t="shared" si="1"/>
        <v>0</v>
      </c>
      <c r="S33" s="41" t="str">
        <f t="shared" si="2"/>
        <v/>
      </c>
    </row>
    <row r="34" spans="1:19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>
        <f t="shared" si="1"/>
        <v>0</v>
      </c>
      <c r="S34" s="41" t="str">
        <f t="shared" si="2"/>
        <v/>
      </c>
    </row>
    <row r="35" spans="1:19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>
        <f t="shared" si="1"/>
        <v>0</v>
      </c>
      <c r="S35" s="41" t="str">
        <f t="shared" si="2"/>
        <v/>
      </c>
    </row>
    <row r="36" spans="1:19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>
        <f t="shared" si="1"/>
        <v>0</v>
      </c>
      <c r="S36" s="41" t="str">
        <f t="shared" si="2"/>
        <v/>
      </c>
    </row>
    <row r="37" spans="1:19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>
        <f t="shared" si="1"/>
        <v>0</v>
      </c>
      <c r="S37" s="41" t="str">
        <f t="shared" si="2"/>
        <v/>
      </c>
    </row>
    <row r="38" spans="1:19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>
        <f t="shared" si="1"/>
        <v>0</v>
      </c>
      <c r="S38" s="41" t="str">
        <f t="shared" si="2"/>
        <v/>
      </c>
    </row>
    <row r="39" spans="1:19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>
        <f t="shared" si="1"/>
        <v>0</v>
      </c>
      <c r="S39" s="41" t="str">
        <f t="shared" si="2"/>
        <v/>
      </c>
    </row>
    <row r="40" spans="1:19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>
        <f t="shared" si="1"/>
        <v>0</v>
      </c>
      <c r="S40" s="41" t="str">
        <f t="shared" si="2"/>
        <v/>
      </c>
    </row>
    <row r="41" spans="1:19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>
        <f t="shared" si="1"/>
        <v>0</v>
      </c>
      <c r="S41" s="41" t="str">
        <f t="shared" si="2"/>
        <v/>
      </c>
    </row>
    <row r="42" spans="1:19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>
        <f t="shared" si="1"/>
        <v>0</v>
      </c>
      <c r="S42" s="41" t="str">
        <f t="shared" si="2"/>
        <v/>
      </c>
    </row>
    <row r="43" spans="1:19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>
        <f t="shared" si="1"/>
        <v>0</v>
      </c>
      <c r="S43" s="41" t="str">
        <f t="shared" si="2"/>
        <v/>
      </c>
    </row>
    <row r="44" spans="1:19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>
        <f t="shared" si="1"/>
        <v>0</v>
      </c>
      <c r="S44" s="41" t="str">
        <f t="shared" si="2"/>
        <v/>
      </c>
    </row>
    <row r="45" spans="1:19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>
        <f t="shared" si="1"/>
        <v>0</v>
      </c>
      <c r="S45" s="41" t="str">
        <f t="shared" si="2"/>
        <v/>
      </c>
    </row>
    <row r="46" spans="1:19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>
        <f t="shared" si="1"/>
        <v>0</v>
      </c>
      <c r="S46" s="41" t="str">
        <f t="shared" si="2"/>
        <v/>
      </c>
    </row>
    <row r="47" spans="1:19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>
        <f t="shared" si="1"/>
        <v>0</v>
      </c>
      <c r="S47" s="41" t="str">
        <f t="shared" si="2"/>
        <v/>
      </c>
    </row>
    <row r="48" spans="1:19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>
        <f t="shared" si="1"/>
        <v>0</v>
      </c>
      <c r="S48" s="41" t="str">
        <f t="shared" si="2"/>
        <v/>
      </c>
    </row>
    <row r="49" spans="1:19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>
        <f t="shared" si="1"/>
        <v>0</v>
      </c>
      <c r="S49" s="41" t="str">
        <f t="shared" si="2"/>
        <v/>
      </c>
    </row>
    <row r="50" spans="1:19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>
        <f t="shared" si="1"/>
        <v>0</v>
      </c>
      <c r="S50" s="41" t="str">
        <f t="shared" si="2"/>
        <v/>
      </c>
    </row>
    <row r="51" spans="1:19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>
        <f t="shared" si="1"/>
        <v>0</v>
      </c>
      <c r="S51" s="41" t="str">
        <f t="shared" si="2"/>
        <v/>
      </c>
    </row>
    <row r="52" spans="1:19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>
        <f t="shared" si="1"/>
        <v>0</v>
      </c>
      <c r="S52" s="41" t="str">
        <f t="shared" si="2"/>
        <v/>
      </c>
    </row>
    <row r="53" spans="1:19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>
        <f t="shared" si="1"/>
        <v>0</v>
      </c>
      <c r="S53" s="41" t="str">
        <f t="shared" si="2"/>
        <v/>
      </c>
    </row>
    <row r="54" spans="1:19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>
        <f t="shared" si="1"/>
        <v>0</v>
      </c>
      <c r="S54" s="41" t="str">
        <f t="shared" si="2"/>
        <v/>
      </c>
    </row>
    <row r="55" spans="1:19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>
        <f t="shared" si="1"/>
        <v>0</v>
      </c>
      <c r="S55" s="41" t="str">
        <f t="shared" si="2"/>
        <v/>
      </c>
    </row>
    <row r="56" spans="1:19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>
        <f t="shared" si="1"/>
        <v>0</v>
      </c>
      <c r="S56" s="41" t="str">
        <f t="shared" si="2"/>
        <v/>
      </c>
    </row>
    <row r="57" spans="1:19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>
        <f t="shared" si="1"/>
        <v>0</v>
      </c>
      <c r="S57" s="41" t="str">
        <f t="shared" si="2"/>
        <v/>
      </c>
    </row>
    <row r="58" spans="1:19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>
        <f t="shared" si="1"/>
        <v>0</v>
      </c>
      <c r="S58" s="41" t="str">
        <f t="shared" si="2"/>
        <v/>
      </c>
    </row>
    <row r="59" spans="1:19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>
        <f t="shared" si="1"/>
        <v>0</v>
      </c>
      <c r="S59" s="41" t="str">
        <f t="shared" si="2"/>
        <v/>
      </c>
    </row>
    <row r="60" spans="1:19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>
        <f t="shared" si="1"/>
        <v>0</v>
      </c>
      <c r="S60" s="41" t="str">
        <f t="shared" si="2"/>
        <v/>
      </c>
    </row>
    <row r="61" spans="1:19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>
        <f t="shared" si="1"/>
        <v>0</v>
      </c>
      <c r="S61" s="41" t="str">
        <f t="shared" si="2"/>
        <v/>
      </c>
    </row>
    <row r="62" spans="1:19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>
        <f t="shared" si="1"/>
        <v>0</v>
      </c>
      <c r="S62" s="41" t="str">
        <f t="shared" si="2"/>
        <v/>
      </c>
    </row>
    <row r="63" spans="1:19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>
        <f t="shared" si="1"/>
        <v>0</v>
      </c>
      <c r="S63" s="41" t="str">
        <f t="shared" si="2"/>
        <v/>
      </c>
    </row>
    <row r="64" spans="1:19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>
        <f t="shared" si="1"/>
        <v>0</v>
      </c>
      <c r="S64" s="41" t="str">
        <f t="shared" si="2"/>
        <v/>
      </c>
    </row>
    <row r="65" spans="1:19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>
        <f t="shared" si="1"/>
        <v>0</v>
      </c>
      <c r="S65" s="41" t="str">
        <f t="shared" si="2"/>
        <v/>
      </c>
    </row>
    <row r="66" spans="1:19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>
        <f t="shared" si="1"/>
        <v>0</v>
      </c>
      <c r="S66" s="41" t="str">
        <f t="shared" si="2"/>
        <v/>
      </c>
    </row>
    <row r="67" spans="1:19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>
        <f t="shared" si="1"/>
        <v>0</v>
      </c>
      <c r="S67" s="41" t="str">
        <f t="shared" si="2"/>
        <v/>
      </c>
    </row>
    <row r="68" spans="1:19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>
        <f t="shared" si="1"/>
        <v>0</v>
      </c>
      <c r="S68" s="41" t="str">
        <f t="shared" si="2"/>
        <v/>
      </c>
    </row>
    <row r="69" spans="1:19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>
        <f t="shared" si="1"/>
        <v>0</v>
      </c>
      <c r="S69" s="41" t="str">
        <f t="shared" si="2"/>
        <v/>
      </c>
    </row>
    <row r="70" spans="1:19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>
        <f t="shared" si="1"/>
        <v>0</v>
      </c>
      <c r="S70" s="41" t="str">
        <f t="shared" si="2"/>
        <v/>
      </c>
    </row>
    <row r="71" spans="1:19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>
        <f t="shared" si="1"/>
        <v>0</v>
      </c>
      <c r="S71" s="41" t="str">
        <f t="shared" si="2"/>
        <v/>
      </c>
    </row>
    <row r="72" spans="1:19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>
        <f t="shared" si="1"/>
        <v>0</v>
      </c>
      <c r="S72" s="41" t="str">
        <f t="shared" si="2"/>
        <v/>
      </c>
    </row>
    <row r="73" spans="1:19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>
        <f t="shared" si="1"/>
        <v>0</v>
      </c>
      <c r="S73" s="41" t="str">
        <f t="shared" si="2"/>
        <v/>
      </c>
    </row>
    <row r="74" spans="1:19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3">E74*F74</f>
        <v>0</v>
      </c>
      <c r="R74" s="41">
        <f t="shared" ref="R74:R137" si="4">Q74+(Q74*H74)</f>
        <v>0</v>
      </c>
      <c r="S74" s="41" t="str">
        <f t="shared" ref="S74:S137" si="5">IF(O74=$V$3,R74-(R74*G74),IF(O74=$V$4,-P74,""))</f>
        <v/>
      </c>
    </row>
    <row r="75" spans="1:19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3"/>
        <v>0</v>
      </c>
      <c r="R75" s="41">
        <f t="shared" si="4"/>
        <v>0</v>
      </c>
      <c r="S75" s="41" t="str">
        <f t="shared" si="5"/>
        <v/>
      </c>
    </row>
    <row r="76" spans="1:19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3"/>
        <v>0</v>
      </c>
      <c r="R76" s="41">
        <f t="shared" si="4"/>
        <v>0</v>
      </c>
      <c r="S76" s="41" t="str">
        <f t="shared" si="5"/>
        <v/>
      </c>
    </row>
    <row r="77" spans="1:19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3"/>
        <v>0</v>
      </c>
      <c r="R77" s="41">
        <f t="shared" si="4"/>
        <v>0</v>
      </c>
      <c r="S77" s="41" t="str">
        <f t="shared" si="5"/>
        <v/>
      </c>
    </row>
    <row r="78" spans="1:19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3"/>
        <v>0</v>
      </c>
      <c r="R78" s="41">
        <f t="shared" si="4"/>
        <v>0</v>
      </c>
      <c r="S78" s="41" t="str">
        <f t="shared" si="5"/>
        <v/>
      </c>
    </row>
    <row r="79" spans="1:19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3"/>
        <v>0</v>
      </c>
      <c r="R79" s="41">
        <f t="shared" si="4"/>
        <v>0</v>
      </c>
      <c r="S79" s="41" t="str">
        <f t="shared" si="5"/>
        <v/>
      </c>
    </row>
    <row r="80" spans="1:19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3"/>
        <v>0</v>
      </c>
      <c r="R80" s="41">
        <f t="shared" si="4"/>
        <v>0</v>
      </c>
      <c r="S80" s="41" t="str">
        <f t="shared" si="5"/>
        <v/>
      </c>
    </row>
    <row r="81" spans="1:19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3"/>
        <v>0</v>
      </c>
      <c r="R81" s="41">
        <f t="shared" si="4"/>
        <v>0</v>
      </c>
      <c r="S81" s="41" t="str">
        <f t="shared" si="5"/>
        <v/>
      </c>
    </row>
    <row r="82" spans="1:19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3"/>
        <v>0</v>
      </c>
      <c r="R82" s="41">
        <f t="shared" si="4"/>
        <v>0</v>
      </c>
      <c r="S82" s="41" t="str">
        <f t="shared" si="5"/>
        <v/>
      </c>
    </row>
    <row r="83" spans="1:19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3"/>
        <v>0</v>
      </c>
      <c r="R83" s="41">
        <f t="shared" si="4"/>
        <v>0</v>
      </c>
      <c r="S83" s="41" t="str">
        <f t="shared" si="5"/>
        <v/>
      </c>
    </row>
    <row r="84" spans="1:19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3"/>
        <v>0</v>
      </c>
      <c r="R84" s="41">
        <f t="shared" si="4"/>
        <v>0</v>
      </c>
      <c r="S84" s="41" t="str">
        <f t="shared" si="5"/>
        <v/>
      </c>
    </row>
    <row r="85" spans="1:19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3"/>
        <v>0</v>
      </c>
      <c r="R85" s="41">
        <f t="shared" si="4"/>
        <v>0</v>
      </c>
      <c r="S85" s="41" t="str">
        <f t="shared" si="5"/>
        <v/>
      </c>
    </row>
    <row r="86" spans="1:19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3"/>
        <v>0</v>
      </c>
      <c r="R86" s="41">
        <f t="shared" si="4"/>
        <v>0</v>
      </c>
      <c r="S86" s="41" t="str">
        <f t="shared" si="5"/>
        <v/>
      </c>
    </row>
    <row r="87" spans="1:19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3"/>
        <v>0</v>
      </c>
      <c r="R87" s="41">
        <f t="shared" si="4"/>
        <v>0</v>
      </c>
      <c r="S87" s="41" t="str">
        <f t="shared" si="5"/>
        <v/>
      </c>
    </row>
    <row r="88" spans="1:19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3"/>
        <v>0</v>
      </c>
      <c r="R88" s="41">
        <f t="shared" si="4"/>
        <v>0</v>
      </c>
      <c r="S88" s="41" t="str">
        <f t="shared" si="5"/>
        <v/>
      </c>
    </row>
    <row r="89" spans="1:19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3"/>
        <v>0</v>
      </c>
      <c r="R89" s="41">
        <f t="shared" si="4"/>
        <v>0</v>
      </c>
      <c r="S89" s="41" t="str">
        <f t="shared" si="5"/>
        <v/>
      </c>
    </row>
    <row r="90" spans="1:19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3"/>
        <v>0</v>
      </c>
      <c r="R90" s="41">
        <f t="shared" si="4"/>
        <v>0</v>
      </c>
      <c r="S90" s="41" t="str">
        <f t="shared" si="5"/>
        <v/>
      </c>
    </row>
    <row r="91" spans="1:19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3"/>
        <v>0</v>
      </c>
      <c r="R91" s="41">
        <f t="shared" si="4"/>
        <v>0</v>
      </c>
      <c r="S91" s="41" t="str">
        <f t="shared" si="5"/>
        <v/>
      </c>
    </row>
    <row r="92" spans="1:19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3"/>
        <v>0</v>
      </c>
      <c r="R92" s="41">
        <f t="shared" si="4"/>
        <v>0</v>
      </c>
      <c r="S92" s="41" t="str">
        <f t="shared" si="5"/>
        <v/>
      </c>
    </row>
    <row r="93" spans="1:19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3"/>
        <v>0</v>
      </c>
      <c r="R93" s="41">
        <f t="shared" si="4"/>
        <v>0</v>
      </c>
      <c r="S93" s="41" t="str">
        <f t="shared" si="5"/>
        <v/>
      </c>
    </row>
    <row r="94" spans="1:19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3"/>
        <v>0</v>
      </c>
      <c r="R94" s="41">
        <f t="shared" si="4"/>
        <v>0</v>
      </c>
      <c r="S94" s="41" t="str">
        <f t="shared" si="5"/>
        <v/>
      </c>
    </row>
    <row r="95" spans="1:19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3"/>
        <v>0</v>
      </c>
      <c r="R95" s="41">
        <f t="shared" si="4"/>
        <v>0</v>
      </c>
      <c r="S95" s="41" t="str">
        <f t="shared" si="5"/>
        <v/>
      </c>
    </row>
    <row r="96" spans="1:19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3"/>
        <v>0</v>
      </c>
      <c r="R96" s="41">
        <f t="shared" si="4"/>
        <v>0</v>
      </c>
      <c r="S96" s="41" t="str">
        <f t="shared" si="5"/>
        <v/>
      </c>
    </row>
    <row r="97" spans="1:19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3"/>
        <v>0</v>
      </c>
      <c r="R97" s="41">
        <f t="shared" si="4"/>
        <v>0</v>
      </c>
      <c r="S97" s="41" t="str">
        <f t="shared" si="5"/>
        <v/>
      </c>
    </row>
    <row r="98" spans="1:19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3"/>
        <v>0</v>
      </c>
      <c r="R98" s="41">
        <f t="shared" si="4"/>
        <v>0</v>
      </c>
      <c r="S98" s="41" t="str">
        <f t="shared" si="5"/>
        <v/>
      </c>
    </row>
    <row r="99" spans="1:19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3"/>
        <v>0</v>
      </c>
      <c r="R99" s="41">
        <f t="shared" si="4"/>
        <v>0</v>
      </c>
      <c r="S99" s="41" t="str">
        <f t="shared" si="5"/>
        <v/>
      </c>
    </row>
    <row r="100" spans="1:19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3"/>
        <v>0</v>
      </c>
      <c r="R100" s="41">
        <f t="shared" si="4"/>
        <v>0</v>
      </c>
      <c r="S100" s="41" t="str">
        <f t="shared" si="5"/>
        <v/>
      </c>
    </row>
    <row r="101" spans="1:19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3"/>
        <v>0</v>
      </c>
      <c r="R101" s="41">
        <f t="shared" si="4"/>
        <v>0</v>
      </c>
      <c r="S101" s="41" t="str">
        <f t="shared" si="5"/>
        <v/>
      </c>
    </row>
    <row r="102" spans="1:19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3"/>
        <v>0</v>
      </c>
      <c r="R102" s="41">
        <f t="shared" si="4"/>
        <v>0</v>
      </c>
      <c r="S102" s="41" t="str">
        <f t="shared" si="5"/>
        <v/>
      </c>
    </row>
    <row r="103" spans="1:19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3"/>
        <v>0</v>
      </c>
      <c r="R103" s="41">
        <f t="shared" si="4"/>
        <v>0</v>
      </c>
      <c r="S103" s="41" t="str">
        <f t="shared" si="5"/>
        <v/>
      </c>
    </row>
    <row r="104" spans="1:19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3"/>
        <v>0</v>
      </c>
      <c r="R104" s="41">
        <f t="shared" si="4"/>
        <v>0</v>
      </c>
      <c r="S104" s="41" t="str">
        <f t="shared" si="5"/>
        <v/>
      </c>
    </row>
    <row r="105" spans="1:19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3"/>
        <v>0</v>
      </c>
      <c r="R105" s="41">
        <f t="shared" si="4"/>
        <v>0</v>
      </c>
      <c r="S105" s="41" t="str">
        <f t="shared" si="5"/>
        <v/>
      </c>
    </row>
    <row r="106" spans="1:19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3"/>
        <v>0</v>
      </c>
      <c r="R106" s="41">
        <f t="shared" si="4"/>
        <v>0</v>
      </c>
      <c r="S106" s="41" t="str">
        <f t="shared" si="5"/>
        <v/>
      </c>
    </row>
    <row r="107" spans="1:19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3"/>
        <v>0</v>
      </c>
      <c r="R107" s="41">
        <f t="shared" si="4"/>
        <v>0</v>
      </c>
      <c r="S107" s="41" t="str">
        <f t="shared" si="5"/>
        <v/>
      </c>
    </row>
    <row r="108" spans="1:19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3"/>
        <v>0</v>
      </c>
      <c r="R108" s="41">
        <f t="shared" si="4"/>
        <v>0</v>
      </c>
      <c r="S108" s="41" t="str">
        <f t="shared" si="5"/>
        <v/>
      </c>
    </row>
    <row r="109" spans="1:19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3"/>
        <v>0</v>
      </c>
      <c r="R109" s="41">
        <f t="shared" si="4"/>
        <v>0</v>
      </c>
      <c r="S109" s="41" t="str">
        <f t="shared" si="5"/>
        <v/>
      </c>
    </row>
    <row r="110" spans="1:19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3"/>
        <v>0</v>
      </c>
      <c r="R110" s="41">
        <f t="shared" si="4"/>
        <v>0</v>
      </c>
      <c r="S110" s="41" t="str">
        <f t="shared" si="5"/>
        <v/>
      </c>
    </row>
    <row r="111" spans="1:19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3"/>
        <v>0</v>
      </c>
      <c r="R111" s="41">
        <f t="shared" si="4"/>
        <v>0</v>
      </c>
      <c r="S111" s="41" t="str">
        <f t="shared" si="5"/>
        <v/>
      </c>
    </row>
    <row r="112" spans="1:19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3"/>
        <v>0</v>
      </c>
      <c r="R112" s="41">
        <f t="shared" si="4"/>
        <v>0</v>
      </c>
      <c r="S112" s="41" t="str">
        <f t="shared" si="5"/>
        <v/>
      </c>
    </row>
    <row r="113" spans="1:19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3"/>
        <v>0</v>
      </c>
      <c r="R113" s="41">
        <f t="shared" si="4"/>
        <v>0</v>
      </c>
      <c r="S113" s="41" t="str">
        <f t="shared" si="5"/>
        <v/>
      </c>
    </row>
    <row r="114" spans="1:19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3"/>
        <v>0</v>
      </c>
      <c r="R114" s="41">
        <f t="shared" si="4"/>
        <v>0</v>
      </c>
      <c r="S114" s="41" t="str">
        <f t="shared" si="5"/>
        <v/>
      </c>
    </row>
    <row r="115" spans="1:19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3"/>
        <v>0</v>
      </c>
      <c r="R115" s="41">
        <f t="shared" si="4"/>
        <v>0</v>
      </c>
      <c r="S115" s="41" t="str">
        <f t="shared" si="5"/>
        <v/>
      </c>
    </row>
    <row r="116" spans="1:19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3"/>
        <v>0</v>
      </c>
      <c r="R116" s="41">
        <f t="shared" si="4"/>
        <v>0</v>
      </c>
      <c r="S116" s="41" t="str">
        <f t="shared" si="5"/>
        <v/>
      </c>
    </row>
    <row r="117" spans="1:19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3"/>
        <v>0</v>
      </c>
      <c r="R117" s="41">
        <f t="shared" si="4"/>
        <v>0</v>
      </c>
      <c r="S117" s="41" t="str">
        <f t="shared" si="5"/>
        <v/>
      </c>
    </row>
    <row r="118" spans="1:19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3"/>
        <v>0</v>
      </c>
      <c r="R118" s="41">
        <f t="shared" si="4"/>
        <v>0</v>
      </c>
      <c r="S118" s="41" t="str">
        <f t="shared" si="5"/>
        <v/>
      </c>
    </row>
    <row r="119" spans="1:19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3"/>
        <v>0</v>
      </c>
      <c r="R119" s="41">
        <f t="shared" si="4"/>
        <v>0</v>
      </c>
      <c r="S119" s="41" t="str">
        <f t="shared" si="5"/>
        <v/>
      </c>
    </row>
    <row r="120" spans="1:19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3"/>
        <v>0</v>
      </c>
      <c r="R120" s="41">
        <f t="shared" si="4"/>
        <v>0</v>
      </c>
      <c r="S120" s="41" t="str">
        <f t="shared" si="5"/>
        <v/>
      </c>
    </row>
    <row r="121" spans="1:19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3"/>
        <v>0</v>
      </c>
      <c r="R121" s="41">
        <f t="shared" si="4"/>
        <v>0</v>
      </c>
      <c r="S121" s="41" t="str">
        <f t="shared" si="5"/>
        <v/>
      </c>
    </row>
    <row r="122" spans="1:19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3"/>
        <v>0</v>
      </c>
      <c r="R122" s="41">
        <f t="shared" si="4"/>
        <v>0</v>
      </c>
      <c r="S122" s="41" t="str">
        <f t="shared" si="5"/>
        <v/>
      </c>
    </row>
    <row r="123" spans="1:19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3"/>
        <v>0</v>
      </c>
      <c r="R123" s="41">
        <f t="shared" si="4"/>
        <v>0</v>
      </c>
      <c r="S123" s="41" t="str">
        <f t="shared" si="5"/>
        <v/>
      </c>
    </row>
    <row r="124" spans="1:19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3"/>
        <v>0</v>
      </c>
      <c r="R124" s="41">
        <f t="shared" si="4"/>
        <v>0</v>
      </c>
      <c r="S124" s="41" t="str">
        <f t="shared" si="5"/>
        <v/>
      </c>
    </row>
    <row r="125" spans="1:19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3"/>
        <v>0</v>
      </c>
      <c r="R125" s="41">
        <f t="shared" si="4"/>
        <v>0</v>
      </c>
      <c r="S125" s="41" t="str">
        <f t="shared" si="5"/>
        <v/>
      </c>
    </row>
    <row r="126" spans="1:19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3"/>
        <v>0</v>
      </c>
      <c r="R126" s="41">
        <f t="shared" si="4"/>
        <v>0</v>
      </c>
      <c r="S126" s="41" t="str">
        <f t="shared" si="5"/>
        <v/>
      </c>
    </row>
    <row r="127" spans="1:19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3"/>
        <v>0</v>
      </c>
      <c r="R127" s="41">
        <f t="shared" si="4"/>
        <v>0</v>
      </c>
      <c r="S127" s="41" t="str">
        <f t="shared" si="5"/>
        <v/>
      </c>
    </row>
    <row r="128" spans="1:19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3"/>
        <v>0</v>
      </c>
      <c r="R128" s="41">
        <f t="shared" si="4"/>
        <v>0</v>
      </c>
      <c r="S128" s="41" t="str">
        <f t="shared" si="5"/>
        <v/>
      </c>
    </row>
    <row r="129" spans="1:19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3"/>
        <v>0</v>
      </c>
      <c r="R129" s="41">
        <f t="shared" si="4"/>
        <v>0</v>
      </c>
      <c r="S129" s="41" t="str">
        <f t="shared" si="5"/>
        <v/>
      </c>
    </row>
    <row r="130" spans="1:19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3"/>
        <v>0</v>
      </c>
      <c r="R130" s="41">
        <f t="shared" si="4"/>
        <v>0</v>
      </c>
      <c r="S130" s="41" t="str">
        <f t="shared" si="5"/>
        <v/>
      </c>
    </row>
    <row r="131" spans="1:19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3"/>
        <v>0</v>
      </c>
      <c r="R131" s="41">
        <f t="shared" si="4"/>
        <v>0</v>
      </c>
      <c r="S131" s="41" t="str">
        <f t="shared" si="5"/>
        <v/>
      </c>
    </row>
    <row r="132" spans="1:19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3"/>
        <v>0</v>
      </c>
      <c r="R132" s="41">
        <f t="shared" si="4"/>
        <v>0</v>
      </c>
      <c r="S132" s="41" t="str">
        <f t="shared" si="5"/>
        <v/>
      </c>
    </row>
    <row r="133" spans="1:19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3"/>
        <v>0</v>
      </c>
      <c r="R133" s="41">
        <f t="shared" si="4"/>
        <v>0</v>
      </c>
      <c r="S133" s="41" t="str">
        <f t="shared" si="5"/>
        <v/>
      </c>
    </row>
    <row r="134" spans="1:19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3"/>
        <v>0</v>
      </c>
      <c r="R134" s="41">
        <f t="shared" si="4"/>
        <v>0</v>
      </c>
      <c r="S134" s="41" t="str">
        <f t="shared" si="5"/>
        <v/>
      </c>
    </row>
    <row r="135" spans="1:19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3"/>
        <v>0</v>
      </c>
      <c r="R135" s="41">
        <f t="shared" si="4"/>
        <v>0</v>
      </c>
      <c r="S135" s="41" t="str">
        <f t="shared" si="5"/>
        <v/>
      </c>
    </row>
    <row r="136" spans="1:19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3"/>
        <v>0</v>
      </c>
      <c r="R136" s="41">
        <f t="shared" si="4"/>
        <v>0</v>
      </c>
      <c r="S136" s="41" t="str">
        <f t="shared" si="5"/>
        <v/>
      </c>
    </row>
    <row r="137" spans="1:19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3"/>
        <v>0</v>
      </c>
      <c r="R137" s="41">
        <f t="shared" si="4"/>
        <v>0</v>
      </c>
      <c r="S137" s="41" t="str">
        <f t="shared" si="5"/>
        <v/>
      </c>
    </row>
    <row r="138" spans="1:19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6">E138*F138</f>
        <v>0</v>
      </c>
      <c r="R138" s="41">
        <f t="shared" ref="R138:R201" si="7">Q138+(Q138*H138)</f>
        <v>0</v>
      </c>
      <c r="S138" s="41" t="str">
        <f t="shared" ref="S138:S201" si="8">IF(O138=$V$3,R138-(R138*G138),IF(O138=$V$4,-P138,""))</f>
        <v/>
      </c>
    </row>
    <row r="139" spans="1:19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6"/>
        <v>0</v>
      </c>
      <c r="R139" s="41">
        <f t="shared" si="7"/>
        <v>0</v>
      </c>
      <c r="S139" s="41" t="str">
        <f t="shared" si="8"/>
        <v/>
      </c>
    </row>
    <row r="140" spans="1:19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6"/>
        <v>0</v>
      </c>
      <c r="R140" s="41">
        <f t="shared" si="7"/>
        <v>0</v>
      </c>
      <c r="S140" s="41" t="str">
        <f t="shared" si="8"/>
        <v/>
      </c>
    </row>
    <row r="141" spans="1:19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6"/>
        <v>0</v>
      </c>
      <c r="R141" s="41">
        <f t="shared" si="7"/>
        <v>0</v>
      </c>
      <c r="S141" s="41" t="str">
        <f t="shared" si="8"/>
        <v/>
      </c>
    </row>
    <row r="142" spans="1:19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6"/>
        <v>0</v>
      </c>
      <c r="R142" s="41">
        <f t="shared" si="7"/>
        <v>0</v>
      </c>
      <c r="S142" s="41" t="str">
        <f t="shared" si="8"/>
        <v/>
      </c>
    </row>
    <row r="143" spans="1:19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6"/>
        <v>0</v>
      </c>
      <c r="R143" s="41">
        <f t="shared" si="7"/>
        <v>0</v>
      </c>
      <c r="S143" s="41" t="str">
        <f t="shared" si="8"/>
        <v/>
      </c>
    </row>
    <row r="144" spans="1:19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6"/>
        <v>0</v>
      </c>
      <c r="R144" s="41">
        <f t="shared" si="7"/>
        <v>0</v>
      </c>
      <c r="S144" s="41" t="str">
        <f t="shared" si="8"/>
        <v/>
      </c>
    </row>
    <row r="145" spans="1:19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6"/>
        <v>0</v>
      </c>
      <c r="R145" s="41">
        <f t="shared" si="7"/>
        <v>0</v>
      </c>
      <c r="S145" s="41" t="str">
        <f t="shared" si="8"/>
        <v/>
      </c>
    </row>
    <row r="146" spans="1:19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6"/>
        <v>0</v>
      </c>
      <c r="R146" s="41">
        <f t="shared" si="7"/>
        <v>0</v>
      </c>
      <c r="S146" s="41" t="str">
        <f t="shared" si="8"/>
        <v/>
      </c>
    </row>
    <row r="147" spans="1:19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6"/>
        <v>0</v>
      </c>
      <c r="R147" s="41">
        <f t="shared" si="7"/>
        <v>0</v>
      </c>
      <c r="S147" s="41" t="str">
        <f t="shared" si="8"/>
        <v/>
      </c>
    </row>
    <row r="148" spans="1:19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6"/>
        <v>0</v>
      </c>
      <c r="R148" s="41">
        <f t="shared" si="7"/>
        <v>0</v>
      </c>
      <c r="S148" s="41" t="str">
        <f t="shared" si="8"/>
        <v/>
      </c>
    </row>
    <row r="149" spans="1:19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6"/>
        <v>0</v>
      </c>
      <c r="R149" s="41">
        <f t="shared" si="7"/>
        <v>0</v>
      </c>
      <c r="S149" s="41" t="str">
        <f t="shared" si="8"/>
        <v/>
      </c>
    </row>
    <row r="150" spans="1:19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6"/>
        <v>0</v>
      </c>
      <c r="R150" s="41">
        <f t="shared" si="7"/>
        <v>0</v>
      </c>
      <c r="S150" s="41" t="str">
        <f t="shared" si="8"/>
        <v/>
      </c>
    </row>
    <row r="151" spans="1:19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6"/>
        <v>0</v>
      </c>
      <c r="R151" s="41">
        <f t="shared" si="7"/>
        <v>0</v>
      </c>
      <c r="S151" s="41" t="str">
        <f t="shared" si="8"/>
        <v/>
      </c>
    </row>
    <row r="152" spans="1:19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6"/>
        <v>0</v>
      </c>
      <c r="R152" s="41">
        <f t="shared" si="7"/>
        <v>0</v>
      </c>
      <c r="S152" s="41" t="str">
        <f t="shared" si="8"/>
        <v/>
      </c>
    </row>
    <row r="153" spans="1:19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6"/>
        <v>0</v>
      </c>
      <c r="R153" s="41">
        <f t="shared" si="7"/>
        <v>0</v>
      </c>
      <c r="S153" s="41" t="str">
        <f t="shared" si="8"/>
        <v/>
      </c>
    </row>
    <row r="154" spans="1:19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6"/>
        <v>0</v>
      </c>
      <c r="R154" s="41">
        <f t="shared" si="7"/>
        <v>0</v>
      </c>
      <c r="S154" s="41" t="str">
        <f t="shared" si="8"/>
        <v/>
      </c>
    </row>
    <row r="155" spans="1:19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6"/>
        <v>0</v>
      </c>
      <c r="R155" s="41">
        <f t="shared" si="7"/>
        <v>0</v>
      </c>
      <c r="S155" s="41" t="str">
        <f t="shared" si="8"/>
        <v/>
      </c>
    </row>
    <row r="156" spans="1:19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6"/>
        <v>0</v>
      </c>
      <c r="R156" s="41">
        <f t="shared" si="7"/>
        <v>0</v>
      </c>
      <c r="S156" s="41" t="str">
        <f t="shared" si="8"/>
        <v/>
      </c>
    </row>
    <row r="157" spans="1:19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6"/>
        <v>0</v>
      </c>
      <c r="R157" s="41">
        <f t="shared" si="7"/>
        <v>0</v>
      </c>
      <c r="S157" s="41" t="str">
        <f t="shared" si="8"/>
        <v/>
      </c>
    </row>
    <row r="158" spans="1:19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6"/>
        <v>0</v>
      </c>
      <c r="R158" s="41">
        <f t="shared" si="7"/>
        <v>0</v>
      </c>
      <c r="S158" s="41" t="str">
        <f t="shared" si="8"/>
        <v/>
      </c>
    </row>
    <row r="159" spans="1:19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6"/>
        <v>0</v>
      </c>
      <c r="R159" s="41">
        <f t="shared" si="7"/>
        <v>0</v>
      </c>
      <c r="S159" s="41" t="str">
        <f t="shared" si="8"/>
        <v/>
      </c>
    </row>
    <row r="160" spans="1:19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6"/>
        <v>0</v>
      </c>
      <c r="R160" s="41">
        <f t="shared" si="7"/>
        <v>0</v>
      </c>
      <c r="S160" s="41" t="str">
        <f t="shared" si="8"/>
        <v/>
      </c>
    </row>
    <row r="161" spans="1:19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6"/>
        <v>0</v>
      </c>
      <c r="R161" s="41">
        <f t="shared" si="7"/>
        <v>0</v>
      </c>
      <c r="S161" s="41" t="str">
        <f t="shared" si="8"/>
        <v/>
      </c>
    </row>
    <row r="162" spans="1:19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6"/>
        <v>0</v>
      </c>
      <c r="R162" s="41">
        <f t="shared" si="7"/>
        <v>0</v>
      </c>
      <c r="S162" s="41" t="str">
        <f t="shared" si="8"/>
        <v/>
      </c>
    </row>
    <row r="163" spans="1:19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6"/>
        <v>0</v>
      </c>
      <c r="R163" s="41">
        <f t="shared" si="7"/>
        <v>0</v>
      </c>
      <c r="S163" s="41" t="str">
        <f t="shared" si="8"/>
        <v/>
      </c>
    </row>
    <row r="164" spans="1:19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6"/>
        <v>0</v>
      </c>
      <c r="R164" s="41">
        <f t="shared" si="7"/>
        <v>0</v>
      </c>
      <c r="S164" s="41" t="str">
        <f t="shared" si="8"/>
        <v/>
      </c>
    </row>
    <row r="165" spans="1:19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6"/>
        <v>0</v>
      </c>
      <c r="R165" s="41">
        <f t="shared" si="7"/>
        <v>0</v>
      </c>
      <c r="S165" s="41" t="str">
        <f t="shared" si="8"/>
        <v/>
      </c>
    </row>
    <row r="166" spans="1:19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6"/>
        <v>0</v>
      </c>
      <c r="R166" s="41">
        <f t="shared" si="7"/>
        <v>0</v>
      </c>
      <c r="S166" s="41" t="str">
        <f t="shared" si="8"/>
        <v/>
      </c>
    </row>
    <row r="167" spans="1:19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6"/>
        <v>0</v>
      </c>
      <c r="R167" s="41">
        <f t="shared" si="7"/>
        <v>0</v>
      </c>
      <c r="S167" s="41" t="str">
        <f t="shared" si="8"/>
        <v/>
      </c>
    </row>
    <row r="168" spans="1:19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6"/>
        <v>0</v>
      </c>
      <c r="R168" s="41">
        <f t="shared" si="7"/>
        <v>0</v>
      </c>
      <c r="S168" s="41" t="str">
        <f t="shared" si="8"/>
        <v/>
      </c>
    </row>
    <row r="169" spans="1:19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6"/>
        <v>0</v>
      </c>
      <c r="R169" s="41">
        <f t="shared" si="7"/>
        <v>0</v>
      </c>
      <c r="S169" s="41" t="str">
        <f t="shared" si="8"/>
        <v/>
      </c>
    </row>
    <row r="170" spans="1:19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6"/>
        <v>0</v>
      </c>
      <c r="R170" s="41">
        <f t="shared" si="7"/>
        <v>0</v>
      </c>
      <c r="S170" s="41" t="str">
        <f t="shared" si="8"/>
        <v/>
      </c>
    </row>
    <row r="171" spans="1:19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6"/>
        <v>0</v>
      </c>
      <c r="R171" s="41">
        <f t="shared" si="7"/>
        <v>0</v>
      </c>
      <c r="S171" s="41" t="str">
        <f t="shared" si="8"/>
        <v/>
      </c>
    </row>
    <row r="172" spans="1:19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6"/>
        <v>0</v>
      </c>
      <c r="R172" s="41">
        <f t="shared" si="7"/>
        <v>0</v>
      </c>
      <c r="S172" s="41" t="str">
        <f t="shared" si="8"/>
        <v/>
      </c>
    </row>
    <row r="173" spans="1:19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6"/>
        <v>0</v>
      </c>
      <c r="R173" s="41">
        <f t="shared" si="7"/>
        <v>0</v>
      </c>
      <c r="S173" s="41" t="str">
        <f t="shared" si="8"/>
        <v/>
      </c>
    </row>
    <row r="174" spans="1:19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6"/>
        <v>0</v>
      </c>
      <c r="R174" s="41">
        <f t="shared" si="7"/>
        <v>0</v>
      </c>
      <c r="S174" s="41" t="str">
        <f t="shared" si="8"/>
        <v/>
      </c>
    </row>
    <row r="175" spans="1:19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6"/>
        <v>0</v>
      </c>
      <c r="R175" s="41">
        <f t="shared" si="7"/>
        <v>0</v>
      </c>
      <c r="S175" s="41" t="str">
        <f t="shared" si="8"/>
        <v/>
      </c>
    </row>
    <row r="176" spans="1:19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6"/>
        <v>0</v>
      </c>
      <c r="R176" s="41">
        <f t="shared" si="7"/>
        <v>0</v>
      </c>
      <c r="S176" s="41" t="str">
        <f t="shared" si="8"/>
        <v/>
      </c>
    </row>
    <row r="177" spans="1:19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6"/>
        <v>0</v>
      </c>
      <c r="R177" s="41">
        <f t="shared" si="7"/>
        <v>0</v>
      </c>
      <c r="S177" s="41" t="str">
        <f t="shared" si="8"/>
        <v/>
      </c>
    </row>
    <row r="178" spans="1:19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6"/>
        <v>0</v>
      </c>
      <c r="R178" s="41">
        <f t="shared" si="7"/>
        <v>0</v>
      </c>
      <c r="S178" s="41" t="str">
        <f t="shared" si="8"/>
        <v/>
      </c>
    </row>
    <row r="179" spans="1:19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6"/>
        <v>0</v>
      </c>
      <c r="R179" s="41">
        <f t="shared" si="7"/>
        <v>0</v>
      </c>
      <c r="S179" s="41" t="str">
        <f t="shared" si="8"/>
        <v/>
      </c>
    </row>
    <row r="180" spans="1:19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6"/>
        <v>0</v>
      </c>
      <c r="R180" s="41">
        <f t="shared" si="7"/>
        <v>0</v>
      </c>
      <c r="S180" s="41" t="str">
        <f t="shared" si="8"/>
        <v/>
      </c>
    </row>
    <row r="181" spans="1:19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6"/>
        <v>0</v>
      </c>
      <c r="R181" s="41">
        <f t="shared" si="7"/>
        <v>0</v>
      </c>
      <c r="S181" s="41" t="str">
        <f t="shared" si="8"/>
        <v/>
      </c>
    </row>
    <row r="182" spans="1:19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6"/>
        <v>0</v>
      </c>
      <c r="R182" s="41">
        <f t="shared" si="7"/>
        <v>0</v>
      </c>
      <c r="S182" s="41" t="str">
        <f t="shared" si="8"/>
        <v/>
      </c>
    </row>
    <row r="183" spans="1:19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6"/>
        <v>0</v>
      </c>
      <c r="R183" s="41">
        <f t="shared" si="7"/>
        <v>0</v>
      </c>
      <c r="S183" s="41" t="str">
        <f t="shared" si="8"/>
        <v/>
      </c>
    </row>
    <row r="184" spans="1:19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6"/>
        <v>0</v>
      </c>
      <c r="R184" s="41">
        <f t="shared" si="7"/>
        <v>0</v>
      </c>
      <c r="S184" s="41" t="str">
        <f t="shared" si="8"/>
        <v/>
      </c>
    </row>
    <row r="185" spans="1:19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6"/>
        <v>0</v>
      </c>
      <c r="R185" s="41">
        <f t="shared" si="7"/>
        <v>0</v>
      </c>
      <c r="S185" s="41" t="str">
        <f t="shared" si="8"/>
        <v/>
      </c>
    </row>
    <row r="186" spans="1:19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6"/>
        <v>0</v>
      </c>
      <c r="R186" s="41">
        <f t="shared" si="7"/>
        <v>0</v>
      </c>
      <c r="S186" s="41" t="str">
        <f t="shared" si="8"/>
        <v/>
      </c>
    </row>
    <row r="187" spans="1:19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6"/>
        <v>0</v>
      </c>
      <c r="R187" s="41">
        <f t="shared" si="7"/>
        <v>0</v>
      </c>
      <c r="S187" s="41" t="str">
        <f t="shared" si="8"/>
        <v/>
      </c>
    </row>
    <row r="188" spans="1:19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6"/>
        <v>0</v>
      </c>
      <c r="R188" s="41">
        <f t="shared" si="7"/>
        <v>0</v>
      </c>
      <c r="S188" s="41" t="str">
        <f t="shared" si="8"/>
        <v/>
      </c>
    </row>
    <row r="189" spans="1:19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6"/>
        <v>0</v>
      </c>
      <c r="R189" s="41">
        <f t="shared" si="7"/>
        <v>0</v>
      </c>
      <c r="S189" s="41" t="str">
        <f t="shared" si="8"/>
        <v/>
      </c>
    </row>
    <row r="190" spans="1:19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6"/>
        <v>0</v>
      </c>
      <c r="R190" s="41">
        <f t="shared" si="7"/>
        <v>0</v>
      </c>
      <c r="S190" s="41" t="str">
        <f t="shared" si="8"/>
        <v/>
      </c>
    </row>
    <row r="191" spans="1:19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6"/>
        <v>0</v>
      </c>
      <c r="R191" s="41">
        <f t="shared" si="7"/>
        <v>0</v>
      </c>
      <c r="S191" s="41" t="str">
        <f t="shared" si="8"/>
        <v/>
      </c>
    </row>
    <row r="192" spans="1:19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6"/>
        <v>0</v>
      </c>
      <c r="R192" s="41">
        <f t="shared" si="7"/>
        <v>0</v>
      </c>
      <c r="S192" s="41" t="str">
        <f t="shared" si="8"/>
        <v/>
      </c>
    </row>
    <row r="193" spans="1:19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6"/>
        <v>0</v>
      </c>
      <c r="R193" s="41">
        <f t="shared" si="7"/>
        <v>0</v>
      </c>
      <c r="S193" s="41" t="str">
        <f t="shared" si="8"/>
        <v/>
      </c>
    </row>
    <row r="194" spans="1:19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6"/>
        <v>0</v>
      </c>
      <c r="R194" s="41">
        <f t="shared" si="7"/>
        <v>0</v>
      </c>
      <c r="S194" s="41" t="str">
        <f t="shared" si="8"/>
        <v/>
      </c>
    </row>
    <row r="195" spans="1:19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6"/>
        <v>0</v>
      </c>
      <c r="R195" s="41">
        <f t="shared" si="7"/>
        <v>0</v>
      </c>
      <c r="S195" s="41" t="str">
        <f t="shared" si="8"/>
        <v/>
      </c>
    </row>
    <row r="196" spans="1:19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6"/>
        <v>0</v>
      </c>
      <c r="R196" s="41">
        <f t="shared" si="7"/>
        <v>0</v>
      </c>
      <c r="S196" s="41" t="str">
        <f t="shared" si="8"/>
        <v/>
      </c>
    </row>
    <row r="197" spans="1:19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6"/>
        <v>0</v>
      </c>
      <c r="R197" s="41">
        <f t="shared" si="7"/>
        <v>0</v>
      </c>
      <c r="S197" s="41" t="str">
        <f t="shared" si="8"/>
        <v/>
      </c>
    </row>
    <row r="198" spans="1:19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6"/>
        <v>0</v>
      </c>
      <c r="R198" s="41">
        <f t="shared" si="7"/>
        <v>0</v>
      </c>
      <c r="S198" s="41" t="str">
        <f t="shared" si="8"/>
        <v/>
      </c>
    </row>
    <row r="199" spans="1:19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6"/>
        <v>0</v>
      </c>
      <c r="R199" s="41">
        <f t="shared" si="7"/>
        <v>0</v>
      </c>
      <c r="S199" s="41" t="str">
        <f t="shared" si="8"/>
        <v/>
      </c>
    </row>
    <row r="200" spans="1:19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6"/>
        <v>0</v>
      </c>
      <c r="R200" s="41">
        <f t="shared" si="7"/>
        <v>0</v>
      </c>
      <c r="S200" s="41" t="str">
        <f t="shared" si="8"/>
        <v/>
      </c>
    </row>
    <row r="201" spans="1:19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6"/>
        <v>0</v>
      </c>
      <c r="R201" s="41">
        <f t="shared" si="7"/>
        <v>0</v>
      </c>
      <c r="S201" s="41" t="str">
        <f t="shared" si="8"/>
        <v/>
      </c>
    </row>
    <row r="202" spans="1:19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9">E202*F202</f>
        <v>0</v>
      </c>
      <c r="R202" s="41">
        <f t="shared" ref="R202:R208" si="10">Q202+(Q202*H202)</f>
        <v>0</v>
      </c>
      <c r="S202" s="41" t="str">
        <f t="shared" ref="S202:S208" si="11">IF(O202=$V$3,R202-(R202*G202),IF(O202=$V$4,-P202,""))</f>
        <v/>
      </c>
    </row>
    <row r="203" spans="1:19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9"/>
        <v>0</v>
      </c>
      <c r="R203" s="41">
        <f t="shared" si="10"/>
        <v>0</v>
      </c>
      <c r="S203" s="41" t="str">
        <f t="shared" si="11"/>
        <v/>
      </c>
    </row>
    <row r="204" spans="1:19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9"/>
        <v>0</v>
      </c>
      <c r="R204" s="41">
        <f t="shared" si="10"/>
        <v>0</v>
      </c>
      <c r="S204" s="41" t="str">
        <f t="shared" si="11"/>
        <v/>
      </c>
    </row>
    <row r="205" spans="1:19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9"/>
        <v>0</v>
      </c>
      <c r="R205" s="41">
        <f t="shared" si="10"/>
        <v>0</v>
      </c>
      <c r="S205" s="41" t="str">
        <f t="shared" si="11"/>
        <v/>
      </c>
    </row>
    <row r="206" spans="1:19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9"/>
        <v>0</v>
      </c>
      <c r="R206" s="41">
        <f t="shared" si="10"/>
        <v>0</v>
      </c>
      <c r="S206" s="41" t="str">
        <f t="shared" si="11"/>
        <v/>
      </c>
    </row>
    <row r="207" spans="1:19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9"/>
        <v>0</v>
      </c>
      <c r="R207" s="41">
        <f t="shared" si="10"/>
        <v>0</v>
      </c>
      <c r="S207" s="41" t="str">
        <f t="shared" si="11"/>
        <v/>
      </c>
    </row>
    <row r="208" spans="1:19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9"/>
        <v>0</v>
      </c>
      <c r="R208" s="41">
        <f t="shared" si="10"/>
        <v>0</v>
      </c>
      <c r="S208" s="41" t="str">
        <f t="shared" si="11"/>
        <v/>
      </c>
    </row>
  </sheetData>
  <autoFilter ref="A8:S208" xr:uid="{00000000-0009-0000-0000-000009000000}"/>
  <mergeCells count="2">
    <mergeCell ref="A1:C1"/>
    <mergeCell ref="E1:G1"/>
  </mergeCells>
  <conditionalFormatting sqref="S1:S8 S209:S1048576">
    <cfRule type="cellIs" dxfId="140" priority="4" operator="equal">
      <formula>"ERROR"</formula>
    </cfRule>
  </conditionalFormatting>
  <conditionalFormatting sqref="D4">
    <cfRule type="cellIs" dxfId="139" priority="2" operator="lessThanOrEqual">
      <formula>0</formula>
    </cfRule>
    <cfRule type="cellIs" dxfId="138" priority="3" operator="greaterThan">
      <formula>0</formula>
    </cfRule>
  </conditionalFormatting>
  <conditionalFormatting sqref="S9:S208">
    <cfRule type="cellIs" dxfId="137" priority="1" operator="equal">
      <formula>"ERROR"</formula>
    </cfRule>
  </conditionalFormatting>
  <dataValidations count="1">
    <dataValidation type="list" allowBlank="1" showInputMessage="1" showErrorMessage="1" sqref="O9:O1048576" xr:uid="{4EB408A4-D4E5-2247-9B2E-2275F2E11D42}">
      <formula1>$V$3:$V$4</formula1>
    </dataValidation>
  </dataValidations>
  <hyperlinks>
    <hyperlink ref="E1:G1" location="'Master Sheet'!A1" display="GO BACK TO MASTER SHEET" xr:uid="{CDA3CB6F-5418-E54A-9AB5-90B6E37FE626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D891FABB-33A4-AA48-8FF0-DAC8BB8C7230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3038E91C-B4E3-B34E-BBF9-A5B7392445D6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E459F-9B43-7146-89C2-1016D9A873CF}">
  <sheetPr codeName="Sheet15"/>
  <dimension ref="A1:W208"/>
  <sheetViews>
    <sheetView showGridLines="0" zoomScale="90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8" width="16" customWidth="1"/>
    <col min="19" max="19" width="26" style="42" customWidth="1"/>
  </cols>
  <sheetData>
    <row r="1" spans="1:23" ht="24" customHeight="1" x14ac:dyDescent="0.2">
      <c r="A1" s="86" t="str">
        <f ca="1">VLOOKUP(A2,'Master Sheet'!E5:F27,2)</f>
        <v>SCADA Port Qasim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S1"/>
    </row>
    <row r="2" spans="1:23" ht="20" thickBot="1" x14ac:dyDescent="0.3">
      <c r="A2" s="48" t="str" cm="1">
        <f t="array" aca="1" ref="A2" ca="1">MID(CELL("filename",A1),FIND("]",CELL("filename",A1))+1,99)</f>
        <v>V008</v>
      </c>
      <c r="F2"/>
      <c r="G2"/>
      <c r="H2"/>
      <c r="I2"/>
      <c r="J2"/>
      <c r="K2"/>
      <c r="L2"/>
      <c r="M2"/>
      <c r="N2"/>
      <c r="P2"/>
      <c r="S2"/>
    </row>
    <row r="3" spans="1:23" ht="16" thickBot="1" x14ac:dyDescent="0.25">
      <c r="A3" s="3"/>
      <c r="F3"/>
      <c r="G3"/>
      <c r="H3"/>
      <c r="I3"/>
      <c r="J3"/>
      <c r="K3"/>
      <c r="L3"/>
      <c r="M3"/>
      <c r="N3"/>
      <c r="P3"/>
      <c r="S3"/>
      <c r="V3" s="43" t="s">
        <v>197</v>
      </c>
      <c r="W3" s="44"/>
    </row>
    <row r="4" spans="1:23" ht="16" thickBot="1" x14ac:dyDescent="0.25">
      <c r="A4" s="3"/>
      <c r="C4" s="20" t="s">
        <v>201</v>
      </c>
      <c r="D4" s="51">
        <f>SUM(S9:S1048576)</f>
        <v>0</v>
      </c>
      <c r="F4"/>
      <c r="G4"/>
      <c r="H4"/>
      <c r="I4"/>
      <c r="J4"/>
      <c r="K4"/>
      <c r="L4"/>
      <c r="M4"/>
      <c r="N4"/>
      <c r="P4"/>
      <c r="S4"/>
      <c r="V4" s="30" t="s">
        <v>198</v>
      </c>
      <c r="W4" s="45"/>
    </row>
    <row r="5" spans="1:23" x14ac:dyDescent="0.2">
      <c r="A5" s="3"/>
      <c r="F5"/>
      <c r="G5"/>
      <c r="H5"/>
      <c r="I5"/>
      <c r="J5"/>
      <c r="K5"/>
      <c r="L5"/>
      <c r="M5"/>
      <c r="N5"/>
      <c r="P5"/>
      <c r="S5"/>
    </row>
    <row r="6" spans="1:23" x14ac:dyDescent="0.2">
      <c r="A6" s="3"/>
      <c r="F6"/>
      <c r="G6"/>
      <c r="H6"/>
      <c r="I6"/>
      <c r="J6"/>
      <c r="K6"/>
      <c r="L6"/>
      <c r="M6"/>
      <c r="N6"/>
      <c r="P6"/>
      <c r="S6"/>
    </row>
    <row r="7" spans="1:23" x14ac:dyDescent="0.2">
      <c r="A7" s="3"/>
      <c r="F7"/>
      <c r="G7"/>
      <c r="H7"/>
      <c r="I7"/>
      <c r="J7"/>
      <c r="K7"/>
      <c r="L7"/>
      <c r="M7"/>
      <c r="N7"/>
      <c r="P7"/>
      <c r="S7"/>
    </row>
    <row r="8" spans="1:23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226</v>
      </c>
      <c r="S8" s="1" t="s">
        <v>196</v>
      </c>
      <c r="T8" s="68" t="s">
        <v>223</v>
      </c>
    </row>
    <row r="9" spans="1:23" x14ac:dyDescent="0.2">
      <c r="A9" s="4">
        <v>1</v>
      </c>
      <c r="B9" s="5">
        <v>46093</v>
      </c>
      <c r="C9" s="6"/>
      <c r="D9" s="6" t="s">
        <v>85</v>
      </c>
      <c r="E9" s="7">
        <v>110</v>
      </c>
      <c r="F9" s="41">
        <v>3350</v>
      </c>
      <c r="G9" s="46"/>
      <c r="H9" s="39"/>
      <c r="I9" s="41"/>
      <c r="J9" s="41"/>
      <c r="K9" s="41"/>
      <c r="L9" s="41"/>
      <c r="M9" s="41"/>
      <c r="N9" s="41"/>
      <c r="O9" s="6" t="s">
        <v>197</v>
      </c>
      <c r="P9" s="41"/>
      <c r="Q9" s="41">
        <f>E9*F9</f>
        <v>368500</v>
      </c>
      <c r="R9" s="41">
        <f>Q9+(Q9*H9)</f>
        <v>368500</v>
      </c>
      <c r="S9" s="41">
        <f>IF(O9=$V$3,R9-(R9*G9),IF(O9=$V$4,-P9,""))</f>
        <v>368500</v>
      </c>
    </row>
    <row r="10" spans="1:23" x14ac:dyDescent="0.2">
      <c r="A10" s="4">
        <v>2</v>
      </c>
      <c r="B10" s="5">
        <v>46093</v>
      </c>
      <c r="C10" s="6"/>
      <c r="D10" s="6" t="s">
        <v>87</v>
      </c>
      <c r="E10" s="7">
        <v>40</v>
      </c>
      <c r="F10" s="41">
        <v>2450</v>
      </c>
      <c r="G10" s="46"/>
      <c r="H10" s="39"/>
      <c r="I10" s="41"/>
      <c r="J10" s="41"/>
      <c r="K10" s="41"/>
      <c r="L10" s="41"/>
      <c r="M10" s="41"/>
      <c r="N10" s="41"/>
      <c r="O10" s="6" t="s">
        <v>197</v>
      </c>
      <c r="P10" s="41"/>
      <c r="Q10" s="41">
        <f t="shared" ref="Q10:Q73" si="0">E10*F10</f>
        <v>98000</v>
      </c>
      <c r="R10" s="41">
        <f t="shared" ref="R10:R73" si="1">Q10+(Q10*H10)</f>
        <v>98000</v>
      </c>
      <c r="S10" s="41">
        <f t="shared" ref="S10:S73" si="2">IF(O10=$V$3,R10-(R10*G10),IF(O10=$V$4,-P10,""))</f>
        <v>98000</v>
      </c>
    </row>
    <row r="11" spans="1:23" x14ac:dyDescent="0.2">
      <c r="A11" s="4">
        <v>3</v>
      </c>
      <c r="B11" s="5">
        <v>46093</v>
      </c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 t="s">
        <v>198</v>
      </c>
      <c r="P11" s="41">
        <v>466500</v>
      </c>
      <c r="Q11" s="41">
        <f t="shared" si="0"/>
        <v>0</v>
      </c>
      <c r="R11" s="41">
        <f t="shared" si="1"/>
        <v>0</v>
      </c>
      <c r="S11" s="41">
        <f t="shared" si="2"/>
        <v>-466500</v>
      </c>
    </row>
    <row r="12" spans="1:23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>
        <f t="shared" si="1"/>
        <v>0</v>
      </c>
      <c r="S12" s="41" t="str">
        <f t="shared" si="2"/>
        <v/>
      </c>
    </row>
    <row r="13" spans="1:23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>
        <f t="shared" si="1"/>
        <v>0</v>
      </c>
      <c r="S13" s="41" t="str">
        <f t="shared" si="2"/>
        <v/>
      </c>
    </row>
    <row r="14" spans="1:23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>
        <f t="shared" si="1"/>
        <v>0</v>
      </c>
      <c r="S14" s="41" t="str">
        <f t="shared" si="2"/>
        <v/>
      </c>
    </row>
    <row r="15" spans="1:23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>
        <f t="shared" si="1"/>
        <v>0</v>
      </c>
      <c r="S15" s="41" t="str">
        <f t="shared" si="2"/>
        <v/>
      </c>
    </row>
    <row r="16" spans="1:23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>
        <f t="shared" si="1"/>
        <v>0</v>
      </c>
      <c r="S16" s="41" t="str">
        <f t="shared" si="2"/>
        <v/>
      </c>
    </row>
    <row r="17" spans="1:19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>
        <f t="shared" si="1"/>
        <v>0</v>
      </c>
      <c r="S17" s="41" t="str">
        <f t="shared" si="2"/>
        <v/>
      </c>
    </row>
    <row r="18" spans="1:19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>
        <f t="shared" si="1"/>
        <v>0</v>
      </c>
      <c r="S18" s="41" t="str">
        <f t="shared" si="2"/>
        <v/>
      </c>
    </row>
    <row r="19" spans="1:19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>
        <f t="shared" si="1"/>
        <v>0</v>
      </c>
      <c r="S19" s="41" t="str">
        <f t="shared" si="2"/>
        <v/>
      </c>
    </row>
    <row r="20" spans="1:19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>
        <f t="shared" si="1"/>
        <v>0</v>
      </c>
      <c r="S20" s="41" t="str">
        <f t="shared" si="2"/>
        <v/>
      </c>
    </row>
    <row r="21" spans="1:19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>
        <f t="shared" si="1"/>
        <v>0</v>
      </c>
      <c r="S21" s="41" t="str">
        <f t="shared" si="2"/>
        <v/>
      </c>
    </row>
    <row r="22" spans="1:19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>
        <f t="shared" si="1"/>
        <v>0</v>
      </c>
      <c r="S22" s="41" t="str">
        <f t="shared" si="2"/>
        <v/>
      </c>
    </row>
    <row r="23" spans="1:19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>
        <f t="shared" si="1"/>
        <v>0</v>
      </c>
      <c r="S23" s="41" t="str">
        <f t="shared" si="2"/>
        <v/>
      </c>
    </row>
    <row r="24" spans="1:19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>
        <f t="shared" si="1"/>
        <v>0</v>
      </c>
      <c r="S24" s="41" t="str">
        <f t="shared" si="2"/>
        <v/>
      </c>
    </row>
    <row r="25" spans="1:19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>
        <f t="shared" si="1"/>
        <v>0</v>
      </c>
      <c r="S25" s="41" t="str">
        <f t="shared" si="2"/>
        <v/>
      </c>
    </row>
    <row r="26" spans="1:19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>
        <f t="shared" si="1"/>
        <v>0</v>
      </c>
      <c r="S26" s="41" t="str">
        <f t="shared" si="2"/>
        <v/>
      </c>
    </row>
    <row r="27" spans="1:19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>
        <f t="shared" si="1"/>
        <v>0</v>
      </c>
      <c r="S27" s="41" t="str">
        <f t="shared" si="2"/>
        <v/>
      </c>
    </row>
    <row r="28" spans="1:19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>
        <f t="shared" si="1"/>
        <v>0</v>
      </c>
      <c r="S28" s="41" t="str">
        <f t="shared" si="2"/>
        <v/>
      </c>
    </row>
    <row r="29" spans="1:19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>
        <f t="shared" si="1"/>
        <v>0</v>
      </c>
      <c r="S29" s="41" t="str">
        <f t="shared" si="2"/>
        <v/>
      </c>
    </row>
    <row r="30" spans="1:19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>
        <f t="shared" si="1"/>
        <v>0</v>
      </c>
      <c r="S30" s="41" t="str">
        <f t="shared" si="2"/>
        <v/>
      </c>
    </row>
    <row r="31" spans="1:19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>
        <f t="shared" si="1"/>
        <v>0</v>
      </c>
      <c r="S31" s="41" t="str">
        <f t="shared" si="2"/>
        <v/>
      </c>
    </row>
    <row r="32" spans="1:19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>
        <f t="shared" si="1"/>
        <v>0</v>
      </c>
      <c r="S32" s="41" t="str">
        <f t="shared" si="2"/>
        <v/>
      </c>
    </row>
    <row r="33" spans="1:19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>
        <f t="shared" si="1"/>
        <v>0</v>
      </c>
      <c r="S33" s="41" t="str">
        <f t="shared" si="2"/>
        <v/>
      </c>
    </row>
    <row r="34" spans="1:19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>
        <f t="shared" si="1"/>
        <v>0</v>
      </c>
      <c r="S34" s="41" t="str">
        <f t="shared" si="2"/>
        <v/>
      </c>
    </row>
    <row r="35" spans="1:19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>
        <f t="shared" si="1"/>
        <v>0</v>
      </c>
      <c r="S35" s="41" t="str">
        <f t="shared" si="2"/>
        <v/>
      </c>
    </row>
    <row r="36" spans="1:19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>
        <f t="shared" si="1"/>
        <v>0</v>
      </c>
      <c r="S36" s="41" t="str">
        <f t="shared" si="2"/>
        <v/>
      </c>
    </row>
    <row r="37" spans="1:19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>
        <f t="shared" si="1"/>
        <v>0</v>
      </c>
      <c r="S37" s="41" t="str">
        <f t="shared" si="2"/>
        <v/>
      </c>
    </row>
    <row r="38" spans="1:19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>
        <f t="shared" si="1"/>
        <v>0</v>
      </c>
      <c r="S38" s="41" t="str">
        <f t="shared" si="2"/>
        <v/>
      </c>
    </row>
    <row r="39" spans="1:19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>
        <f t="shared" si="1"/>
        <v>0</v>
      </c>
      <c r="S39" s="41" t="str">
        <f t="shared" si="2"/>
        <v/>
      </c>
    </row>
    <row r="40" spans="1:19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>
        <f t="shared" si="1"/>
        <v>0</v>
      </c>
      <c r="S40" s="41" t="str">
        <f t="shared" si="2"/>
        <v/>
      </c>
    </row>
    <row r="41" spans="1:19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>
        <f t="shared" si="1"/>
        <v>0</v>
      </c>
      <c r="S41" s="41" t="str">
        <f t="shared" si="2"/>
        <v/>
      </c>
    </row>
    <row r="42" spans="1:19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>
        <f t="shared" si="1"/>
        <v>0</v>
      </c>
      <c r="S42" s="41" t="str">
        <f t="shared" si="2"/>
        <v/>
      </c>
    </row>
    <row r="43" spans="1:19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>
        <f t="shared" si="1"/>
        <v>0</v>
      </c>
      <c r="S43" s="41" t="str">
        <f t="shared" si="2"/>
        <v/>
      </c>
    </row>
    <row r="44" spans="1:19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>
        <f t="shared" si="1"/>
        <v>0</v>
      </c>
      <c r="S44" s="41" t="str">
        <f t="shared" si="2"/>
        <v/>
      </c>
    </row>
    <row r="45" spans="1:19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>
        <f t="shared" si="1"/>
        <v>0</v>
      </c>
      <c r="S45" s="41" t="str">
        <f t="shared" si="2"/>
        <v/>
      </c>
    </row>
    <row r="46" spans="1:19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>
        <f t="shared" si="1"/>
        <v>0</v>
      </c>
      <c r="S46" s="41" t="str">
        <f t="shared" si="2"/>
        <v/>
      </c>
    </row>
    <row r="47" spans="1:19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>
        <f t="shared" si="1"/>
        <v>0</v>
      </c>
      <c r="S47" s="41" t="str">
        <f t="shared" si="2"/>
        <v/>
      </c>
    </row>
    <row r="48" spans="1:19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>
        <f t="shared" si="1"/>
        <v>0</v>
      </c>
      <c r="S48" s="41" t="str">
        <f t="shared" si="2"/>
        <v/>
      </c>
    </row>
    <row r="49" spans="1:19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>
        <f t="shared" si="1"/>
        <v>0</v>
      </c>
      <c r="S49" s="41" t="str">
        <f t="shared" si="2"/>
        <v/>
      </c>
    </row>
    <row r="50" spans="1:19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>
        <f t="shared" si="1"/>
        <v>0</v>
      </c>
      <c r="S50" s="41" t="str">
        <f t="shared" si="2"/>
        <v/>
      </c>
    </row>
    <row r="51" spans="1:19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>
        <f t="shared" si="1"/>
        <v>0</v>
      </c>
      <c r="S51" s="41" t="str">
        <f t="shared" si="2"/>
        <v/>
      </c>
    </row>
    <row r="52" spans="1:19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>
        <f t="shared" si="1"/>
        <v>0</v>
      </c>
      <c r="S52" s="41" t="str">
        <f t="shared" si="2"/>
        <v/>
      </c>
    </row>
    <row r="53" spans="1:19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>
        <f t="shared" si="1"/>
        <v>0</v>
      </c>
      <c r="S53" s="41" t="str">
        <f t="shared" si="2"/>
        <v/>
      </c>
    </row>
    <row r="54" spans="1:19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>
        <f t="shared" si="1"/>
        <v>0</v>
      </c>
      <c r="S54" s="41" t="str">
        <f t="shared" si="2"/>
        <v/>
      </c>
    </row>
    <row r="55" spans="1:19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>
        <f t="shared" si="1"/>
        <v>0</v>
      </c>
      <c r="S55" s="41" t="str">
        <f t="shared" si="2"/>
        <v/>
      </c>
    </row>
    <row r="56" spans="1:19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>
        <f t="shared" si="1"/>
        <v>0</v>
      </c>
      <c r="S56" s="41" t="str">
        <f t="shared" si="2"/>
        <v/>
      </c>
    </row>
    <row r="57" spans="1:19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>
        <f t="shared" si="1"/>
        <v>0</v>
      </c>
      <c r="S57" s="41" t="str">
        <f t="shared" si="2"/>
        <v/>
      </c>
    </row>
    <row r="58" spans="1:19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>
        <f t="shared" si="1"/>
        <v>0</v>
      </c>
      <c r="S58" s="41" t="str">
        <f t="shared" si="2"/>
        <v/>
      </c>
    </row>
    <row r="59" spans="1:19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>
        <f t="shared" si="1"/>
        <v>0</v>
      </c>
      <c r="S59" s="41" t="str">
        <f t="shared" si="2"/>
        <v/>
      </c>
    </row>
    <row r="60" spans="1:19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>
        <f t="shared" si="1"/>
        <v>0</v>
      </c>
      <c r="S60" s="41" t="str">
        <f t="shared" si="2"/>
        <v/>
      </c>
    </row>
    <row r="61" spans="1:19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>
        <f t="shared" si="1"/>
        <v>0</v>
      </c>
      <c r="S61" s="41" t="str">
        <f t="shared" si="2"/>
        <v/>
      </c>
    </row>
    <row r="62" spans="1:19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>
        <f t="shared" si="1"/>
        <v>0</v>
      </c>
      <c r="S62" s="41" t="str">
        <f t="shared" si="2"/>
        <v/>
      </c>
    </row>
    <row r="63" spans="1:19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>
        <f t="shared" si="1"/>
        <v>0</v>
      </c>
      <c r="S63" s="41" t="str">
        <f t="shared" si="2"/>
        <v/>
      </c>
    </row>
    <row r="64" spans="1:19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>
        <f t="shared" si="1"/>
        <v>0</v>
      </c>
      <c r="S64" s="41" t="str">
        <f t="shared" si="2"/>
        <v/>
      </c>
    </row>
    <row r="65" spans="1:19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>
        <f t="shared" si="1"/>
        <v>0</v>
      </c>
      <c r="S65" s="41" t="str">
        <f t="shared" si="2"/>
        <v/>
      </c>
    </row>
    <row r="66" spans="1:19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>
        <f t="shared" si="1"/>
        <v>0</v>
      </c>
      <c r="S66" s="41" t="str">
        <f t="shared" si="2"/>
        <v/>
      </c>
    </row>
    <row r="67" spans="1:19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>
        <f t="shared" si="1"/>
        <v>0</v>
      </c>
      <c r="S67" s="41" t="str">
        <f t="shared" si="2"/>
        <v/>
      </c>
    </row>
    <row r="68" spans="1:19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>
        <f t="shared" si="1"/>
        <v>0</v>
      </c>
      <c r="S68" s="41" t="str">
        <f t="shared" si="2"/>
        <v/>
      </c>
    </row>
    <row r="69" spans="1:19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>
        <f t="shared" si="1"/>
        <v>0</v>
      </c>
      <c r="S69" s="41" t="str">
        <f t="shared" si="2"/>
        <v/>
      </c>
    </row>
    <row r="70" spans="1:19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>
        <f t="shared" si="1"/>
        <v>0</v>
      </c>
      <c r="S70" s="41" t="str">
        <f t="shared" si="2"/>
        <v/>
      </c>
    </row>
    <row r="71" spans="1:19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>
        <f t="shared" si="1"/>
        <v>0</v>
      </c>
      <c r="S71" s="41" t="str">
        <f t="shared" si="2"/>
        <v/>
      </c>
    </row>
    <row r="72" spans="1:19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>
        <f t="shared" si="1"/>
        <v>0</v>
      </c>
      <c r="S72" s="41" t="str">
        <f t="shared" si="2"/>
        <v/>
      </c>
    </row>
    <row r="73" spans="1:19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>
        <f t="shared" si="1"/>
        <v>0</v>
      </c>
      <c r="S73" s="41" t="str">
        <f t="shared" si="2"/>
        <v/>
      </c>
    </row>
    <row r="74" spans="1:19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3">E74*F74</f>
        <v>0</v>
      </c>
      <c r="R74" s="41">
        <f t="shared" ref="R74:R137" si="4">Q74+(Q74*H74)</f>
        <v>0</v>
      </c>
      <c r="S74" s="41" t="str">
        <f t="shared" ref="S74:S137" si="5">IF(O74=$V$3,R74-(R74*G74),IF(O74=$V$4,-P74,""))</f>
        <v/>
      </c>
    </row>
    <row r="75" spans="1:19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3"/>
        <v>0</v>
      </c>
      <c r="R75" s="41">
        <f t="shared" si="4"/>
        <v>0</v>
      </c>
      <c r="S75" s="41" t="str">
        <f t="shared" si="5"/>
        <v/>
      </c>
    </row>
    <row r="76" spans="1:19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3"/>
        <v>0</v>
      </c>
      <c r="R76" s="41">
        <f t="shared" si="4"/>
        <v>0</v>
      </c>
      <c r="S76" s="41" t="str">
        <f t="shared" si="5"/>
        <v/>
      </c>
    </row>
    <row r="77" spans="1:19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3"/>
        <v>0</v>
      </c>
      <c r="R77" s="41">
        <f t="shared" si="4"/>
        <v>0</v>
      </c>
      <c r="S77" s="41" t="str">
        <f t="shared" si="5"/>
        <v/>
      </c>
    </row>
    <row r="78" spans="1:19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3"/>
        <v>0</v>
      </c>
      <c r="R78" s="41">
        <f t="shared" si="4"/>
        <v>0</v>
      </c>
      <c r="S78" s="41" t="str">
        <f t="shared" si="5"/>
        <v/>
      </c>
    </row>
    <row r="79" spans="1:19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3"/>
        <v>0</v>
      </c>
      <c r="R79" s="41">
        <f t="shared" si="4"/>
        <v>0</v>
      </c>
      <c r="S79" s="41" t="str">
        <f t="shared" si="5"/>
        <v/>
      </c>
    </row>
    <row r="80" spans="1:19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3"/>
        <v>0</v>
      </c>
      <c r="R80" s="41">
        <f t="shared" si="4"/>
        <v>0</v>
      </c>
      <c r="S80" s="41" t="str">
        <f t="shared" si="5"/>
        <v/>
      </c>
    </row>
    <row r="81" spans="1:19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3"/>
        <v>0</v>
      </c>
      <c r="R81" s="41">
        <f t="shared" si="4"/>
        <v>0</v>
      </c>
      <c r="S81" s="41" t="str">
        <f t="shared" si="5"/>
        <v/>
      </c>
    </row>
    <row r="82" spans="1:19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3"/>
        <v>0</v>
      </c>
      <c r="R82" s="41">
        <f t="shared" si="4"/>
        <v>0</v>
      </c>
      <c r="S82" s="41" t="str">
        <f t="shared" si="5"/>
        <v/>
      </c>
    </row>
    <row r="83" spans="1:19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3"/>
        <v>0</v>
      </c>
      <c r="R83" s="41">
        <f t="shared" si="4"/>
        <v>0</v>
      </c>
      <c r="S83" s="41" t="str">
        <f t="shared" si="5"/>
        <v/>
      </c>
    </row>
    <row r="84" spans="1:19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3"/>
        <v>0</v>
      </c>
      <c r="R84" s="41">
        <f t="shared" si="4"/>
        <v>0</v>
      </c>
      <c r="S84" s="41" t="str">
        <f t="shared" si="5"/>
        <v/>
      </c>
    </row>
    <row r="85" spans="1:19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3"/>
        <v>0</v>
      </c>
      <c r="R85" s="41">
        <f t="shared" si="4"/>
        <v>0</v>
      </c>
      <c r="S85" s="41" t="str">
        <f t="shared" si="5"/>
        <v/>
      </c>
    </row>
    <row r="86" spans="1:19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3"/>
        <v>0</v>
      </c>
      <c r="R86" s="41">
        <f t="shared" si="4"/>
        <v>0</v>
      </c>
      <c r="S86" s="41" t="str">
        <f t="shared" si="5"/>
        <v/>
      </c>
    </row>
    <row r="87" spans="1:19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3"/>
        <v>0</v>
      </c>
      <c r="R87" s="41">
        <f t="shared" si="4"/>
        <v>0</v>
      </c>
      <c r="S87" s="41" t="str">
        <f t="shared" si="5"/>
        <v/>
      </c>
    </row>
    <row r="88" spans="1:19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3"/>
        <v>0</v>
      </c>
      <c r="R88" s="41">
        <f t="shared" si="4"/>
        <v>0</v>
      </c>
      <c r="S88" s="41" t="str">
        <f t="shared" si="5"/>
        <v/>
      </c>
    </row>
    <row r="89" spans="1:19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3"/>
        <v>0</v>
      </c>
      <c r="R89" s="41">
        <f t="shared" si="4"/>
        <v>0</v>
      </c>
      <c r="S89" s="41" t="str">
        <f t="shared" si="5"/>
        <v/>
      </c>
    </row>
    <row r="90" spans="1:19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3"/>
        <v>0</v>
      </c>
      <c r="R90" s="41">
        <f t="shared" si="4"/>
        <v>0</v>
      </c>
      <c r="S90" s="41" t="str">
        <f t="shared" si="5"/>
        <v/>
      </c>
    </row>
    <row r="91" spans="1:19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3"/>
        <v>0</v>
      </c>
      <c r="R91" s="41">
        <f t="shared" si="4"/>
        <v>0</v>
      </c>
      <c r="S91" s="41" t="str">
        <f t="shared" si="5"/>
        <v/>
      </c>
    </row>
    <row r="92" spans="1:19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3"/>
        <v>0</v>
      </c>
      <c r="R92" s="41">
        <f t="shared" si="4"/>
        <v>0</v>
      </c>
      <c r="S92" s="41" t="str">
        <f t="shared" si="5"/>
        <v/>
      </c>
    </row>
    <row r="93" spans="1:19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3"/>
        <v>0</v>
      </c>
      <c r="R93" s="41">
        <f t="shared" si="4"/>
        <v>0</v>
      </c>
      <c r="S93" s="41" t="str">
        <f t="shared" si="5"/>
        <v/>
      </c>
    </row>
    <row r="94" spans="1:19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3"/>
        <v>0</v>
      </c>
      <c r="R94" s="41">
        <f t="shared" si="4"/>
        <v>0</v>
      </c>
      <c r="S94" s="41" t="str">
        <f t="shared" si="5"/>
        <v/>
      </c>
    </row>
    <row r="95" spans="1:19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3"/>
        <v>0</v>
      </c>
      <c r="R95" s="41">
        <f t="shared" si="4"/>
        <v>0</v>
      </c>
      <c r="S95" s="41" t="str">
        <f t="shared" si="5"/>
        <v/>
      </c>
    </row>
    <row r="96" spans="1:19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3"/>
        <v>0</v>
      </c>
      <c r="R96" s="41">
        <f t="shared" si="4"/>
        <v>0</v>
      </c>
      <c r="S96" s="41" t="str">
        <f t="shared" si="5"/>
        <v/>
      </c>
    </row>
    <row r="97" spans="1:19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3"/>
        <v>0</v>
      </c>
      <c r="R97" s="41">
        <f t="shared" si="4"/>
        <v>0</v>
      </c>
      <c r="S97" s="41" t="str">
        <f t="shared" si="5"/>
        <v/>
      </c>
    </row>
    <row r="98" spans="1:19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3"/>
        <v>0</v>
      </c>
      <c r="R98" s="41">
        <f t="shared" si="4"/>
        <v>0</v>
      </c>
      <c r="S98" s="41" t="str">
        <f t="shared" si="5"/>
        <v/>
      </c>
    </row>
    <row r="99" spans="1:19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3"/>
        <v>0</v>
      </c>
      <c r="R99" s="41">
        <f t="shared" si="4"/>
        <v>0</v>
      </c>
      <c r="S99" s="41" t="str">
        <f t="shared" si="5"/>
        <v/>
      </c>
    </row>
    <row r="100" spans="1:19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3"/>
        <v>0</v>
      </c>
      <c r="R100" s="41">
        <f t="shared" si="4"/>
        <v>0</v>
      </c>
      <c r="S100" s="41" t="str">
        <f t="shared" si="5"/>
        <v/>
      </c>
    </row>
    <row r="101" spans="1:19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3"/>
        <v>0</v>
      </c>
      <c r="R101" s="41">
        <f t="shared" si="4"/>
        <v>0</v>
      </c>
      <c r="S101" s="41" t="str">
        <f t="shared" si="5"/>
        <v/>
      </c>
    </row>
    <row r="102" spans="1:19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3"/>
        <v>0</v>
      </c>
      <c r="R102" s="41">
        <f t="shared" si="4"/>
        <v>0</v>
      </c>
      <c r="S102" s="41" t="str">
        <f t="shared" si="5"/>
        <v/>
      </c>
    </row>
    <row r="103" spans="1:19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3"/>
        <v>0</v>
      </c>
      <c r="R103" s="41">
        <f t="shared" si="4"/>
        <v>0</v>
      </c>
      <c r="S103" s="41" t="str">
        <f t="shared" si="5"/>
        <v/>
      </c>
    </row>
    <row r="104" spans="1:19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3"/>
        <v>0</v>
      </c>
      <c r="R104" s="41">
        <f t="shared" si="4"/>
        <v>0</v>
      </c>
      <c r="S104" s="41" t="str">
        <f t="shared" si="5"/>
        <v/>
      </c>
    </row>
    <row r="105" spans="1:19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3"/>
        <v>0</v>
      </c>
      <c r="R105" s="41">
        <f t="shared" si="4"/>
        <v>0</v>
      </c>
      <c r="S105" s="41" t="str">
        <f t="shared" si="5"/>
        <v/>
      </c>
    </row>
    <row r="106" spans="1:19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3"/>
        <v>0</v>
      </c>
      <c r="R106" s="41">
        <f t="shared" si="4"/>
        <v>0</v>
      </c>
      <c r="S106" s="41" t="str">
        <f t="shared" si="5"/>
        <v/>
      </c>
    </row>
    <row r="107" spans="1:19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3"/>
        <v>0</v>
      </c>
      <c r="R107" s="41">
        <f t="shared" si="4"/>
        <v>0</v>
      </c>
      <c r="S107" s="41" t="str">
        <f t="shared" si="5"/>
        <v/>
      </c>
    </row>
    <row r="108" spans="1:19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3"/>
        <v>0</v>
      </c>
      <c r="R108" s="41">
        <f t="shared" si="4"/>
        <v>0</v>
      </c>
      <c r="S108" s="41" t="str">
        <f t="shared" si="5"/>
        <v/>
      </c>
    </row>
    <row r="109" spans="1:19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3"/>
        <v>0</v>
      </c>
      <c r="R109" s="41">
        <f t="shared" si="4"/>
        <v>0</v>
      </c>
      <c r="S109" s="41" t="str">
        <f t="shared" si="5"/>
        <v/>
      </c>
    </row>
    <row r="110" spans="1:19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3"/>
        <v>0</v>
      </c>
      <c r="R110" s="41">
        <f t="shared" si="4"/>
        <v>0</v>
      </c>
      <c r="S110" s="41" t="str">
        <f t="shared" si="5"/>
        <v/>
      </c>
    </row>
    <row r="111" spans="1:19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3"/>
        <v>0</v>
      </c>
      <c r="R111" s="41">
        <f t="shared" si="4"/>
        <v>0</v>
      </c>
      <c r="S111" s="41" t="str">
        <f t="shared" si="5"/>
        <v/>
      </c>
    </row>
    <row r="112" spans="1:19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3"/>
        <v>0</v>
      </c>
      <c r="R112" s="41">
        <f t="shared" si="4"/>
        <v>0</v>
      </c>
      <c r="S112" s="41" t="str">
        <f t="shared" si="5"/>
        <v/>
      </c>
    </row>
    <row r="113" spans="1:19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3"/>
        <v>0</v>
      </c>
      <c r="R113" s="41">
        <f t="shared" si="4"/>
        <v>0</v>
      </c>
      <c r="S113" s="41" t="str">
        <f t="shared" si="5"/>
        <v/>
      </c>
    </row>
    <row r="114" spans="1:19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3"/>
        <v>0</v>
      </c>
      <c r="R114" s="41">
        <f t="shared" si="4"/>
        <v>0</v>
      </c>
      <c r="S114" s="41" t="str">
        <f t="shared" si="5"/>
        <v/>
      </c>
    </row>
    <row r="115" spans="1:19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3"/>
        <v>0</v>
      </c>
      <c r="R115" s="41">
        <f t="shared" si="4"/>
        <v>0</v>
      </c>
      <c r="S115" s="41" t="str">
        <f t="shared" si="5"/>
        <v/>
      </c>
    </row>
    <row r="116" spans="1:19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3"/>
        <v>0</v>
      </c>
      <c r="R116" s="41">
        <f t="shared" si="4"/>
        <v>0</v>
      </c>
      <c r="S116" s="41" t="str">
        <f t="shared" si="5"/>
        <v/>
      </c>
    </row>
    <row r="117" spans="1:19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3"/>
        <v>0</v>
      </c>
      <c r="R117" s="41">
        <f t="shared" si="4"/>
        <v>0</v>
      </c>
      <c r="S117" s="41" t="str">
        <f t="shared" si="5"/>
        <v/>
      </c>
    </row>
    <row r="118" spans="1:19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3"/>
        <v>0</v>
      </c>
      <c r="R118" s="41">
        <f t="shared" si="4"/>
        <v>0</v>
      </c>
      <c r="S118" s="41" t="str">
        <f t="shared" si="5"/>
        <v/>
      </c>
    </row>
    <row r="119" spans="1:19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3"/>
        <v>0</v>
      </c>
      <c r="R119" s="41">
        <f t="shared" si="4"/>
        <v>0</v>
      </c>
      <c r="S119" s="41" t="str">
        <f t="shared" si="5"/>
        <v/>
      </c>
    </row>
    <row r="120" spans="1:19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3"/>
        <v>0</v>
      </c>
      <c r="R120" s="41">
        <f t="shared" si="4"/>
        <v>0</v>
      </c>
      <c r="S120" s="41" t="str">
        <f t="shared" si="5"/>
        <v/>
      </c>
    </row>
    <row r="121" spans="1:19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3"/>
        <v>0</v>
      </c>
      <c r="R121" s="41">
        <f t="shared" si="4"/>
        <v>0</v>
      </c>
      <c r="S121" s="41" t="str">
        <f t="shared" si="5"/>
        <v/>
      </c>
    </row>
    <row r="122" spans="1:19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3"/>
        <v>0</v>
      </c>
      <c r="R122" s="41">
        <f t="shared" si="4"/>
        <v>0</v>
      </c>
      <c r="S122" s="41" t="str">
        <f t="shared" si="5"/>
        <v/>
      </c>
    </row>
    <row r="123" spans="1:19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3"/>
        <v>0</v>
      </c>
      <c r="R123" s="41">
        <f t="shared" si="4"/>
        <v>0</v>
      </c>
      <c r="S123" s="41" t="str">
        <f t="shared" si="5"/>
        <v/>
      </c>
    </row>
    <row r="124" spans="1:19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3"/>
        <v>0</v>
      </c>
      <c r="R124" s="41">
        <f t="shared" si="4"/>
        <v>0</v>
      </c>
      <c r="S124" s="41" t="str">
        <f t="shared" si="5"/>
        <v/>
      </c>
    </row>
    <row r="125" spans="1:19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3"/>
        <v>0</v>
      </c>
      <c r="R125" s="41">
        <f t="shared" si="4"/>
        <v>0</v>
      </c>
      <c r="S125" s="41" t="str">
        <f t="shared" si="5"/>
        <v/>
      </c>
    </row>
    <row r="126" spans="1:19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3"/>
        <v>0</v>
      </c>
      <c r="R126" s="41">
        <f t="shared" si="4"/>
        <v>0</v>
      </c>
      <c r="S126" s="41" t="str">
        <f t="shared" si="5"/>
        <v/>
      </c>
    </row>
    <row r="127" spans="1:19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3"/>
        <v>0</v>
      </c>
      <c r="R127" s="41">
        <f t="shared" si="4"/>
        <v>0</v>
      </c>
      <c r="S127" s="41" t="str">
        <f t="shared" si="5"/>
        <v/>
      </c>
    </row>
    <row r="128" spans="1:19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3"/>
        <v>0</v>
      </c>
      <c r="R128" s="41">
        <f t="shared" si="4"/>
        <v>0</v>
      </c>
      <c r="S128" s="41" t="str">
        <f t="shared" si="5"/>
        <v/>
      </c>
    </row>
    <row r="129" spans="1:19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3"/>
        <v>0</v>
      </c>
      <c r="R129" s="41">
        <f t="shared" si="4"/>
        <v>0</v>
      </c>
      <c r="S129" s="41" t="str">
        <f t="shared" si="5"/>
        <v/>
      </c>
    </row>
    <row r="130" spans="1:19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3"/>
        <v>0</v>
      </c>
      <c r="R130" s="41">
        <f t="shared" si="4"/>
        <v>0</v>
      </c>
      <c r="S130" s="41" t="str">
        <f t="shared" si="5"/>
        <v/>
      </c>
    </row>
    <row r="131" spans="1:19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3"/>
        <v>0</v>
      </c>
      <c r="R131" s="41">
        <f t="shared" si="4"/>
        <v>0</v>
      </c>
      <c r="S131" s="41" t="str">
        <f t="shared" si="5"/>
        <v/>
      </c>
    </row>
    <row r="132" spans="1:19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3"/>
        <v>0</v>
      </c>
      <c r="R132" s="41">
        <f t="shared" si="4"/>
        <v>0</v>
      </c>
      <c r="S132" s="41" t="str">
        <f t="shared" si="5"/>
        <v/>
      </c>
    </row>
    <row r="133" spans="1:19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3"/>
        <v>0</v>
      </c>
      <c r="R133" s="41">
        <f t="shared" si="4"/>
        <v>0</v>
      </c>
      <c r="S133" s="41" t="str">
        <f t="shared" si="5"/>
        <v/>
      </c>
    </row>
    <row r="134" spans="1:19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3"/>
        <v>0</v>
      </c>
      <c r="R134" s="41">
        <f t="shared" si="4"/>
        <v>0</v>
      </c>
      <c r="S134" s="41" t="str">
        <f t="shared" si="5"/>
        <v/>
      </c>
    </row>
    <row r="135" spans="1:19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3"/>
        <v>0</v>
      </c>
      <c r="R135" s="41">
        <f t="shared" si="4"/>
        <v>0</v>
      </c>
      <c r="S135" s="41" t="str">
        <f t="shared" si="5"/>
        <v/>
      </c>
    </row>
    <row r="136" spans="1:19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3"/>
        <v>0</v>
      </c>
      <c r="R136" s="41">
        <f t="shared" si="4"/>
        <v>0</v>
      </c>
      <c r="S136" s="41" t="str">
        <f t="shared" si="5"/>
        <v/>
      </c>
    </row>
    <row r="137" spans="1:19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3"/>
        <v>0</v>
      </c>
      <c r="R137" s="41">
        <f t="shared" si="4"/>
        <v>0</v>
      </c>
      <c r="S137" s="41" t="str">
        <f t="shared" si="5"/>
        <v/>
      </c>
    </row>
    <row r="138" spans="1:19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6">E138*F138</f>
        <v>0</v>
      </c>
      <c r="R138" s="41">
        <f t="shared" ref="R138:R201" si="7">Q138+(Q138*H138)</f>
        <v>0</v>
      </c>
      <c r="S138" s="41" t="str">
        <f t="shared" ref="S138:S201" si="8">IF(O138=$V$3,R138-(R138*G138),IF(O138=$V$4,-P138,""))</f>
        <v/>
      </c>
    </row>
    <row r="139" spans="1:19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6"/>
        <v>0</v>
      </c>
      <c r="R139" s="41">
        <f t="shared" si="7"/>
        <v>0</v>
      </c>
      <c r="S139" s="41" t="str">
        <f t="shared" si="8"/>
        <v/>
      </c>
    </row>
    <row r="140" spans="1:19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6"/>
        <v>0</v>
      </c>
      <c r="R140" s="41">
        <f t="shared" si="7"/>
        <v>0</v>
      </c>
      <c r="S140" s="41" t="str">
        <f t="shared" si="8"/>
        <v/>
      </c>
    </row>
    <row r="141" spans="1:19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6"/>
        <v>0</v>
      </c>
      <c r="R141" s="41">
        <f t="shared" si="7"/>
        <v>0</v>
      </c>
      <c r="S141" s="41" t="str">
        <f t="shared" si="8"/>
        <v/>
      </c>
    </row>
    <row r="142" spans="1:19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6"/>
        <v>0</v>
      </c>
      <c r="R142" s="41">
        <f t="shared" si="7"/>
        <v>0</v>
      </c>
      <c r="S142" s="41" t="str">
        <f t="shared" si="8"/>
        <v/>
      </c>
    </row>
    <row r="143" spans="1:19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6"/>
        <v>0</v>
      </c>
      <c r="R143" s="41">
        <f t="shared" si="7"/>
        <v>0</v>
      </c>
      <c r="S143" s="41" t="str">
        <f t="shared" si="8"/>
        <v/>
      </c>
    </row>
    <row r="144" spans="1:19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6"/>
        <v>0</v>
      </c>
      <c r="R144" s="41">
        <f t="shared" si="7"/>
        <v>0</v>
      </c>
      <c r="S144" s="41" t="str">
        <f t="shared" si="8"/>
        <v/>
      </c>
    </row>
    <row r="145" spans="1:19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6"/>
        <v>0</v>
      </c>
      <c r="R145" s="41">
        <f t="shared" si="7"/>
        <v>0</v>
      </c>
      <c r="S145" s="41" t="str">
        <f t="shared" si="8"/>
        <v/>
      </c>
    </row>
    <row r="146" spans="1:19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6"/>
        <v>0</v>
      </c>
      <c r="R146" s="41">
        <f t="shared" si="7"/>
        <v>0</v>
      </c>
      <c r="S146" s="41" t="str">
        <f t="shared" si="8"/>
        <v/>
      </c>
    </row>
    <row r="147" spans="1:19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6"/>
        <v>0</v>
      </c>
      <c r="R147" s="41">
        <f t="shared" si="7"/>
        <v>0</v>
      </c>
      <c r="S147" s="41" t="str">
        <f t="shared" si="8"/>
        <v/>
      </c>
    </row>
    <row r="148" spans="1:19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6"/>
        <v>0</v>
      </c>
      <c r="R148" s="41">
        <f t="shared" si="7"/>
        <v>0</v>
      </c>
      <c r="S148" s="41" t="str">
        <f t="shared" si="8"/>
        <v/>
      </c>
    </row>
    <row r="149" spans="1:19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6"/>
        <v>0</v>
      </c>
      <c r="R149" s="41">
        <f t="shared" si="7"/>
        <v>0</v>
      </c>
      <c r="S149" s="41" t="str">
        <f t="shared" si="8"/>
        <v/>
      </c>
    </row>
    <row r="150" spans="1:19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6"/>
        <v>0</v>
      </c>
      <c r="R150" s="41">
        <f t="shared" si="7"/>
        <v>0</v>
      </c>
      <c r="S150" s="41" t="str">
        <f t="shared" si="8"/>
        <v/>
      </c>
    </row>
    <row r="151" spans="1:19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6"/>
        <v>0</v>
      </c>
      <c r="R151" s="41">
        <f t="shared" si="7"/>
        <v>0</v>
      </c>
      <c r="S151" s="41" t="str">
        <f t="shared" si="8"/>
        <v/>
      </c>
    </row>
    <row r="152" spans="1:19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6"/>
        <v>0</v>
      </c>
      <c r="R152" s="41">
        <f t="shared" si="7"/>
        <v>0</v>
      </c>
      <c r="S152" s="41" t="str">
        <f t="shared" si="8"/>
        <v/>
      </c>
    </row>
    <row r="153" spans="1:19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6"/>
        <v>0</v>
      </c>
      <c r="R153" s="41">
        <f t="shared" si="7"/>
        <v>0</v>
      </c>
      <c r="S153" s="41" t="str">
        <f t="shared" si="8"/>
        <v/>
      </c>
    </row>
    <row r="154" spans="1:19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6"/>
        <v>0</v>
      </c>
      <c r="R154" s="41">
        <f t="shared" si="7"/>
        <v>0</v>
      </c>
      <c r="S154" s="41" t="str">
        <f t="shared" si="8"/>
        <v/>
      </c>
    </row>
    <row r="155" spans="1:19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6"/>
        <v>0</v>
      </c>
      <c r="R155" s="41">
        <f t="shared" si="7"/>
        <v>0</v>
      </c>
      <c r="S155" s="41" t="str">
        <f t="shared" si="8"/>
        <v/>
      </c>
    </row>
    <row r="156" spans="1:19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6"/>
        <v>0</v>
      </c>
      <c r="R156" s="41">
        <f t="shared" si="7"/>
        <v>0</v>
      </c>
      <c r="S156" s="41" t="str">
        <f t="shared" si="8"/>
        <v/>
      </c>
    </row>
    <row r="157" spans="1:19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6"/>
        <v>0</v>
      </c>
      <c r="R157" s="41">
        <f t="shared" si="7"/>
        <v>0</v>
      </c>
      <c r="S157" s="41" t="str">
        <f t="shared" si="8"/>
        <v/>
      </c>
    </row>
    <row r="158" spans="1:19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6"/>
        <v>0</v>
      </c>
      <c r="R158" s="41">
        <f t="shared" si="7"/>
        <v>0</v>
      </c>
      <c r="S158" s="41" t="str">
        <f t="shared" si="8"/>
        <v/>
      </c>
    </row>
    <row r="159" spans="1:19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6"/>
        <v>0</v>
      </c>
      <c r="R159" s="41">
        <f t="shared" si="7"/>
        <v>0</v>
      </c>
      <c r="S159" s="41" t="str">
        <f t="shared" si="8"/>
        <v/>
      </c>
    </row>
    <row r="160" spans="1:19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6"/>
        <v>0</v>
      </c>
      <c r="R160" s="41">
        <f t="shared" si="7"/>
        <v>0</v>
      </c>
      <c r="S160" s="41" t="str">
        <f t="shared" si="8"/>
        <v/>
      </c>
    </row>
    <row r="161" spans="1:19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6"/>
        <v>0</v>
      </c>
      <c r="R161" s="41">
        <f t="shared" si="7"/>
        <v>0</v>
      </c>
      <c r="S161" s="41" t="str">
        <f t="shared" si="8"/>
        <v/>
      </c>
    </row>
    <row r="162" spans="1:19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6"/>
        <v>0</v>
      </c>
      <c r="R162" s="41">
        <f t="shared" si="7"/>
        <v>0</v>
      </c>
      <c r="S162" s="41" t="str">
        <f t="shared" si="8"/>
        <v/>
      </c>
    </row>
    <row r="163" spans="1:19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6"/>
        <v>0</v>
      </c>
      <c r="R163" s="41">
        <f t="shared" si="7"/>
        <v>0</v>
      </c>
      <c r="S163" s="41" t="str">
        <f t="shared" si="8"/>
        <v/>
      </c>
    </row>
    <row r="164" spans="1:19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6"/>
        <v>0</v>
      </c>
      <c r="R164" s="41">
        <f t="shared" si="7"/>
        <v>0</v>
      </c>
      <c r="S164" s="41" t="str">
        <f t="shared" si="8"/>
        <v/>
      </c>
    </row>
    <row r="165" spans="1:19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6"/>
        <v>0</v>
      </c>
      <c r="R165" s="41">
        <f t="shared" si="7"/>
        <v>0</v>
      </c>
      <c r="S165" s="41" t="str">
        <f t="shared" si="8"/>
        <v/>
      </c>
    </row>
    <row r="166" spans="1:19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6"/>
        <v>0</v>
      </c>
      <c r="R166" s="41">
        <f t="shared" si="7"/>
        <v>0</v>
      </c>
      <c r="S166" s="41" t="str">
        <f t="shared" si="8"/>
        <v/>
      </c>
    </row>
    <row r="167" spans="1:19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6"/>
        <v>0</v>
      </c>
      <c r="R167" s="41">
        <f t="shared" si="7"/>
        <v>0</v>
      </c>
      <c r="S167" s="41" t="str">
        <f t="shared" si="8"/>
        <v/>
      </c>
    </row>
    <row r="168" spans="1:19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6"/>
        <v>0</v>
      </c>
      <c r="R168" s="41">
        <f t="shared" si="7"/>
        <v>0</v>
      </c>
      <c r="S168" s="41" t="str">
        <f t="shared" si="8"/>
        <v/>
      </c>
    </row>
    <row r="169" spans="1:19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6"/>
        <v>0</v>
      </c>
      <c r="R169" s="41">
        <f t="shared" si="7"/>
        <v>0</v>
      </c>
      <c r="S169" s="41" t="str">
        <f t="shared" si="8"/>
        <v/>
      </c>
    </row>
    <row r="170" spans="1:19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6"/>
        <v>0</v>
      </c>
      <c r="R170" s="41">
        <f t="shared" si="7"/>
        <v>0</v>
      </c>
      <c r="S170" s="41" t="str">
        <f t="shared" si="8"/>
        <v/>
      </c>
    </row>
    <row r="171" spans="1:19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6"/>
        <v>0</v>
      </c>
      <c r="R171" s="41">
        <f t="shared" si="7"/>
        <v>0</v>
      </c>
      <c r="S171" s="41" t="str">
        <f t="shared" si="8"/>
        <v/>
      </c>
    </row>
    <row r="172" spans="1:19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6"/>
        <v>0</v>
      </c>
      <c r="R172" s="41">
        <f t="shared" si="7"/>
        <v>0</v>
      </c>
      <c r="S172" s="41" t="str">
        <f t="shared" si="8"/>
        <v/>
      </c>
    </row>
    <row r="173" spans="1:19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6"/>
        <v>0</v>
      </c>
      <c r="R173" s="41">
        <f t="shared" si="7"/>
        <v>0</v>
      </c>
      <c r="S173" s="41" t="str">
        <f t="shared" si="8"/>
        <v/>
      </c>
    </row>
    <row r="174" spans="1:19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6"/>
        <v>0</v>
      </c>
      <c r="R174" s="41">
        <f t="shared" si="7"/>
        <v>0</v>
      </c>
      <c r="S174" s="41" t="str">
        <f t="shared" si="8"/>
        <v/>
      </c>
    </row>
    <row r="175" spans="1:19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6"/>
        <v>0</v>
      </c>
      <c r="R175" s="41">
        <f t="shared" si="7"/>
        <v>0</v>
      </c>
      <c r="S175" s="41" t="str">
        <f t="shared" si="8"/>
        <v/>
      </c>
    </row>
    <row r="176" spans="1:19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6"/>
        <v>0</v>
      </c>
      <c r="R176" s="41">
        <f t="shared" si="7"/>
        <v>0</v>
      </c>
      <c r="S176" s="41" t="str">
        <f t="shared" si="8"/>
        <v/>
      </c>
    </row>
    <row r="177" spans="1:19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6"/>
        <v>0</v>
      </c>
      <c r="R177" s="41">
        <f t="shared" si="7"/>
        <v>0</v>
      </c>
      <c r="S177" s="41" t="str">
        <f t="shared" si="8"/>
        <v/>
      </c>
    </row>
    <row r="178" spans="1:19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6"/>
        <v>0</v>
      </c>
      <c r="R178" s="41">
        <f t="shared" si="7"/>
        <v>0</v>
      </c>
      <c r="S178" s="41" t="str">
        <f t="shared" si="8"/>
        <v/>
      </c>
    </row>
    <row r="179" spans="1:19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6"/>
        <v>0</v>
      </c>
      <c r="R179" s="41">
        <f t="shared" si="7"/>
        <v>0</v>
      </c>
      <c r="S179" s="41" t="str">
        <f t="shared" si="8"/>
        <v/>
      </c>
    </row>
    <row r="180" spans="1:19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6"/>
        <v>0</v>
      </c>
      <c r="R180" s="41">
        <f t="shared" si="7"/>
        <v>0</v>
      </c>
      <c r="S180" s="41" t="str">
        <f t="shared" si="8"/>
        <v/>
      </c>
    </row>
    <row r="181" spans="1:19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6"/>
        <v>0</v>
      </c>
      <c r="R181" s="41">
        <f t="shared" si="7"/>
        <v>0</v>
      </c>
      <c r="S181" s="41" t="str">
        <f t="shared" si="8"/>
        <v/>
      </c>
    </row>
    <row r="182" spans="1:19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6"/>
        <v>0</v>
      </c>
      <c r="R182" s="41">
        <f t="shared" si="7"/>
        <v>0</v>
      </c>
      <c r="S182" s="41" t="str">
        <f t="shared" si="8"/>
        <v/>
      </c>
    </row>
    <row r="183" spans="1:19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6"/>
        <v>0</v>
      </c>
      <c r="R183" s="41">
        <f t="shared" si="7"/>
        <v>0</v>
      </c>
      <c r="S183" s="41" t="str">
        <f t="shared" si="8"/>
        <v/>
      </c>
    </row>
    <row r="184" spans="1:19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6"/>
        <v>0</v>
      </c>
      <c r="R184" s="41">
        <f t="shared" si="7"/>
        <v>0</v>
      </c>
      <c r="S184" s="41" t="str">
        <f t="shared" si="8"/>
        <v/>
      </c>
    </row>
    <row r="185" spans="1:19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6"/>
        <v>0</v>
      </c>
      <c r="R185" s="41">
        <f t="shared" si="7"/>
        <v>0</v>
      </c>
      <c r="S185" s="41" t="str">
        <f t="shared" si="8"/>
        <v/>
      </c>
    </row>
    <row r="186" spans="1:19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6"/>
        <v>0</v>
      </c>
      <c r="R186" s="41">
        <f t="shared" si="7"/>
        <v>0</v>
      </c>
      <c r="S186" s="41" t="str">
        <f t="shared" si="8"/>
        <v/>
      </c>
    </row>
    <row r="187" spans="1:19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6"/>
        <v>0</v>
      </c>
      <c r="R187" s="41">
        <f t="shared" si="7"/>
        <v>0</v>
      </c>
      <c r="S187" s="41" t="str">
        <f t="shared" si="8"/>
        <v/>
      </c>
    </row>
    <row r="188" spans="1:19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6"/>
        <v>0</v>
      </c>
      <c r="R188" s="41">
        <f t="shared" si="7"/>
        <v>0</v>
      </c>
      <c r="S188" s="41" t="str">
        <f t="shared" si="8"/>
        <v/>
      </c>
    </row>
    <row r="189" spans="1:19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6"/>
        <v>0</v>
      </c>
      <c r="R189" s="41">
        <f t="shared" si="7"/>
        <v>0</v>
      </c>
      <c r="S189" s="41" t="str">
        <f t="shared" si="8"/>
        <v/>
      </c>
    </row>
    <row r="190" spans="1:19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6"/>
        <v>0</v>
      </c>
      <c r="R190" s="41">
        <f t="shared" si="7"/>
        <v>0</v>
      </c>
      <c r="S190" s="41" t="str">
        <f t="shared" si="8"/>
        <v/>
      </c>
    </row>
    <row r="191" spans="1:19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6"/>
        <v>0</v>
      </c>
      <c r="R191" s="41">
        <f t="shared" si="7"/>
        <v>0</v>
      </c>
      <c r="S191" s="41" t="str">
        <f t="shared" si="8"/>
        <v/>
      </c>
    </row>
    <row r="192" spans="1:19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6"/>
        <v>0</v>
      </c>
      <c r="R192" s="41">
        <f t="shared" si="7"/>
        <v>0</v>
      </c>
      <c r="S192" s="41" t="str">
        <f t="shared" si="8"/>
        <v/>
      </c>
    </row>
    <row r="193" spans="1:19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6"/>
        <v>0</v>
      </c>
      <c r="R193" s="41">
        <f t="shared" si="7"/>
        <v>0</v>
      </c>
      <c r="S193" s="41" t="str">
        <f t="shared" si="8"/>
        <v/>
      </c>
    </row>
    <row r="194" spans="1:19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6"/>
        <v>0</v>
      </c>
      <c r="R194" s="41">
        <f t="shared" si="7"/>
        <v>0</v>
      </c>
      <c r="S194" s="41" t="str">
        <f t="shared" si="8"/>
        <v/>
      </c>
    </row>
    <row r="195" spans="1:19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6"/>
        <v>0</v>
      </c>
      <c r="R195" s="41">
        <f t="shared" si="7"/>
        <v>0</v>
      </c>
      <c r="S195" s="41" t="str">
        <f t="shared" si="8"/>
        <v/>
      </c>
    </row>
    <row r="196" spans="1:19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6"/>
        <v>0</v>
      </c>
      <c r="R196" s="41">
        <f t="shared" si="7"/>
        <v>0</v>
      </c>
      <c r="S196" s="41" t="str">
        <f t="shared" si="8"/>
        <v/>
      </c>
    </row>
    <row r="197" spans="1:19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6"/>
        <v>0</v>
      </c>
      <c r="R197" s="41">
        <f t="shared" si="7"/>
        <v>0</v>
      </c>
      <c r="S197" s="41" t="str">
        <f t="shared" si="8"/>
        <v/>
      </c>
    </row>
    <row r="198" spans="1:19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6"/>
        <v>0</v>
      </c>
      <c r="R198" s="41">
        <f t="shared" si="7"/>
        <v>0</v>
      </c>
      <c r="S198" s="41" t="str">
        <f t="shared" si="8"/>
        <v/>
      </c>
    </row>
    <row r="199" spans="1:19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6"/>
        <v>0</v>
      </c>
      <c r="R199" s="41">
        <f t="shared" si="7"/>
        <v>0</v>
      </c>
      <c r="S199" s="41" t="str">
        <f t="shared" si="8"/>
        <v/>
      </c>
    </row>
    <row r="200" spans="1:19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6"/>
        <v>0</v>
      </c>
      <c r="R200" s="41">
        <f t="shared" si="7"/>
        <v>0</v>
      </c>
      <c r="S200" s="41" t="str">
        <f t="shared" si="8"/>
        <v/>
      </c>
    </row>
    <row r="201" spans="1:19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6"/>
        <v>0</v>
      </c>
      <c r="R201" s="41">
        <f t="shared" si="7"/>
        <v>0</v>
      </c>
      <c r="S201" s="41" t="str">
        <f t="shared" si="8"/>
        <v/>
      </c>
    </row>
    <row r="202" spans="1:19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9">E202*F202</f>
        <v>0</v>
      </c>
      <c r="R202" s="41">
        <f t="shared" ref="R202:R208" si="10">Q202+(Q202*H202)</f>
        <v>0</v>
      </c>
      <c r="S202" s="41" t="str">
        <f t="shared" ref="S202:S208" si="11">IF(O202=$V$3,R202-(R202*G202),IF(O202=$V$4,-P202,""))</f>
        <v/>
      </c>
    </row>
    <row r="203" spans="1:19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9"/>
        <v>0</v>
      </c>
      <c r="R203" s="41">
        <f t="shared" si="10"/>
        <v>0</v>
      </c>
      <c r="S203" s="41" t="str">
        <f t="shared" si="11"/>
        <v/>
      </c>
    </row>
    <row r="204" spans="1:19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9"/>
        <v>0</v>
      </c>
      <c r="R204" s="41">
        <f t="shared" si="10"/>
        <v>0</v>
      </c>
      <c r="S204" s="41" t="str">
        <f t="shared" si="11"/>
        <v/>
      </c>
    </row>
    <row r="205" spans="1:19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9"/>
        <v>0</v>
      </c>
      <c r="R205" s="41">
        <f t="shared" si="10"/>
        <v>0</v>
      </c>
      <c r="S205" s="41" t="str">
        <f t="shared" si="11"/>
        <v/>
      </c>
    </row>
    <row r="206" spans="1:19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9"/>
        <v>0</v>
      </c>
      <c r="R206" s="41">
        <f t="shared" si="10"/>
        <v>0</v>
      </c>
      <c r="S206" s="41" t="str">
        <f t="shared" si="11"/>
        <v/>
      </c>
    </row>
    <row r="207" spans="1:19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9"/>
        <v>0</v>
      </c>
      <c r="R207" s="41">
        <f t="shared" si="10"/>
        <v>0</v>
      </c>
      <c r="S207" s="41" t="str">
        <f t="shared" si="11"/>
        <v/>
      </c>
    </row>
    <row r="208" spans="1:19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9"/>
        <v>0</v>
      </c>
      <c r="R208" s="41">
        <f t="shared" si="10"/>
        <v>0</v>
      </c>
      <c r="S208" s="41" t="str">
        <f t="shared" si="11"/>
        <v/>
      </c>
    </row>
  </sheetData>
  <autoFilter ref="A8:S208" xr:uid="{00000000-0009-0000-0000-000009000000}"/>
  <mergeCells count="2">
    <mergeCell ref="A1:C1"/>
    <mergeCell ref="E1:G1"/>
  </mergeCells>
  <conditionalFormatting sqref="S1:S8 T8 S209:S1048576">
    <cfRule type="cellIs" dxfId="136" priority="4" operator="equal">
      <formula>"ERROR"</formula>
    </cfRule>
  </conditionalFormatting>
  <conditionalFormatting sqref="D4">
    <cfRule type="cellIs" dxfId="135" priority="2" operator="lessThanOrEqual">
      <formula>0</formula>
    </cfRule>
    <cfRule type="cellIs" dxfId="134" priority="3" operator="greaterThan">
      <formula>0</formula>
    </cfRule>
  </conditionalFormatting>
  <conditionalFormatting sqref="S9:S208">
    <cfRule type="cellIs" dxfId="133" priority="1" operator="equal">
      <formula>"ERROR"</formula>
    </cfRule>
  </conditionalFormatting>
  <dataValidations count="1">
    <dataValidation type="list" allowBlank="1" showInputMessage="1" showErrorMessage="1" sqref="O9:O1048576" xr:uid="{035FA7A7-987D-6243-8F15-7966724DBC44}">
      <formula1>$V$3:$V$4</formula1>
    </dataValidation>
  </dataValidations>
  <hyperlinks>
    <hyperlink ref="E1:G1" location="'Master Sheet'!A1" display="GO BACK TO MASTER SHEET" xr:uid="{50D03F26-7B3A-1E49-A6DD-8D80130DCCEB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161E3BFA-8CF1-464A-905D-318B1F196E6A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BF4A62CD-3A5F-AD40-9721-B574FE2DD5DB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4108-9167-CD45-87B2-E0D49AB165E4}">
  <sheetPr codeName="Sheet16"/>
  <dimension ref="A1:V208"/>
  <sheetViews>
    <sheetView showGridLines="0" zoomScale="90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2" style="79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Saqib EPA - Port Qasim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V009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80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81">
        <v>46119</v>
      </c>
      <c r="C9" s="6"/>
      <c r="D9" s="6" t="s">
        <v>85</v>
      </c>
      <c r="E9" s="7">
        <v>38</v>
      </c>
      <c r="F9" s="41">
        <v>3300</v>
      </c>
      <c r="G9" s="46"/>
      <c r="H9" s="39"/>
      <c r="I9" s="41"/>
      <c r="J9" s="41"/>
      <c r="K9" s="41"/>
      <c r="L9" s="41"/>
      <c r="M9" s="41"/>
      <c r="N9" s="41"/>
      <c r="O9" s="6" t="s">
        <v>197</v>
      </c>
      <c r="P9" s="41"/>
      <c r="Q9" s="41">
        <f>E9*F9</f>
        <v>125400</v>
      </c>
      <c r="R9" s="41">
        <f>IF(O9=$U$3,(-Q9*G9)+(Q9*H9)+(E9*J9)+(L9)+I9+K9+M9+N9+Q9,IF(O9=$U$4,-P9,""))</f>
        <v>125400</v>
      </c>
    </row>
    <row r="10" spans="1:22" x14ac:dyDescent="0.2">
      <c r="A10" s="4">
        <v>2</v>
      </c>
      <c r="B10" s="81">
        <v>46119</v>
      </c>
      <c r="C10" s="6"/>
      <c r="D10" s="6" t="s">
        <v>88</v>
      </c>
      <c r="E10" s="7">
        <v>12</v>
      </c>
      <c r="F10" s="41">
        <v>2500</v>
      </c>
      <c r="G10" s="46"/>
      <c r="H10" s="39"/>
      <c r="I10" s="41"/>
      <c r="J10" s="41"/>
      <c r="K10" s="41"/>
      <c r="L10" s="41"/>
      <c r="M10" s="41"/>
      <c r="N10" s="41"/>
      <c r="O10" s="6" t="s">
        <v>197</v>
      </c>
      <c r="P10" s="41"/>
      <c r="Q10" s="41">
        <f t="shared" ref="Q10:Q73" si="0">E10*F10</f>
        <v>30000</v>
      </c>
      <c r="R10" s="41">
        <f>IF(O10=$U$3,(Q10*G10)+(Q10*H10)+(E10*J10)+(L10)+I10+K10+M10+N10+Q10,IF(O10=$U$4,-P10,""))</f>
        <v>30000</v>
      </c>
    </row>
    <row r="11" spans="1:22" x14ac:dyDescent="0.2">
      <c r="A11" s="4">
        <v>3</v>
      </c>
      <c r="B11" s="81">
        <v>46119</v>
      </c>
      <c r="C11" s="6"/>
      <c r="D11" s="6" t="s">
        <v>98</v>
      </c>
      <c r="E11" s="7">
        <v>22</v>
      </c>
      <c r="F11" s="41">
        <v>210</v>
      </c>
      <c r="G11" s="46"/>
      <c r="H11" s="39"/>
      <c r="I11" s="41"/>
      <c r="J11" s="41"/>
      <c r="K11" s="41"/>
      <c r="L11" s="41"/>
      <c r="M11" s="41"/>
      <c r="N11" s="41"/>
      <c r="O11" s="6" t="s">
        <v>197</v>
      </c>
      <c r="P11" s="41"/>
      <c r="Q11" s="41">
        <f t="shared" si="0"/>
        <v>4620</v>
      </c>
      <c r="R11" s="41">
        <f t="shared" ref="R11:R74" si="1">IF(O11=$U$3,(Q11*G11)+(Q11*H11)+(E11*J11)+(L11)+I11+K11+M11+N11+Q11,IF(O11=$U$4,-P11,""))</f>
        <v>4620</v>
      </c>
    </row>
    <row r="12" spans="1:22" x14ac:dyDescent="0.2">
      <c r="A12" s="4">
        <v>4</v>
      </c>
      <c r="B12" s="81">
        <v>46120</v>
      </c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 t="s">
        <v>198</v>
      </c>
      <c r="P12" s="41">
        <v>160020</v>
      </c>
      <c r="Q12" s="41">
        <f t="shared" si="0"/>
        <v>0</v>
      </c>
      <c r="R12" s="41">
        <f t="shared" si="1"/>
        <v>-160020</v>
      </c>
    </row>
    <row r="13" spans="1:22" x14ac:dyDescent="0.2">
      <c r="A13" s="4">
        <v>5</v>
      </c>
      <c r="B13" s="81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81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81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81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81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81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81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81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81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81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81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81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81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81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81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81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81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81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81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81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81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81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81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81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81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81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81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81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81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81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81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81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81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81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81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81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81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81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81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81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81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81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81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81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81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81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81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81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81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81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81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81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81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81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81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81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81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81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81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81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81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81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81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81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81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81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81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81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81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81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81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81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81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81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81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81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81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81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81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81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81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81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81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81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81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81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81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81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81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81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81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81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81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81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81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81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81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81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81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81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81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81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81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81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81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81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81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81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81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81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81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81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81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81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81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81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81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81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81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81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81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81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81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81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81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81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81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81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81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81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81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81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81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81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81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81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81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81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81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81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81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81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81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81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81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81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81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81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81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81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81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81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81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81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81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81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81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81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81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81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81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81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81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81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81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81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81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81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81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81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81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81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81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81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81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81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81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81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81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81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81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81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81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81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81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81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81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81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81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81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81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81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81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81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81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81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32" priority="3" operator="equal">
      <formula>"ERROR"</formula>
    </cfRule>
  </conditionalFormatting>
  <conditionalFormatting sqref="D4">
    <cfRule type="cellIs" dxfId="131" priority="1" operator="lessThanOrEqual">
      <formula>0</formula>
    </cfRule>
    <cfRule type="cellIs" dxfId="130" priority="2" operator="greaterThan">
      <formula>0</formula>
    </cfRule>
  </conditionalFormatting>
  <dataValidations count="1">
    <dataValidation type="list" allowBlank="1" showInputMessage="1" showErrorMessage="1" sqref="O9:O1048576" xr:uid="{DC6F3FB7-235D-8541-AC6A-E94A960265A3}">
      <formula1>$U$3:$U$4</formula1>
    </dataValidation>
  </dataValidations>
  <hyperlinks>
    <hyperlink ref="E1:G1" location="'Master Sheet'!A1" display="GO BACK TO MASTER SHEET" xr:uid="{2F28677F-09A7-6D4B-AE87-F67E35400903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E2B981ED-8076-7A47-834A-BBE5AE377342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3B4978C7-D662-7C44-98DE-790B48C715FA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802A-C1A3-DB45-A946-043CF87ACFE9}">
  <sheetPr codeName="Sheet17"/>
  <dimension ref="A1:V208"/>
  <sheetViews>
    <sheetView showGridLines="0" zoomScale="90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Tufail Port Qasim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V010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-345000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>
        <v>46077</v>
      </c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 t="s">
        <v>198</v>
      </c>
      <c r="P9" s="41">
        <v>124500</v>
      </c>
      <c r="Q9" s="41">
        <f>E9*F9</f>
        <v>0</v>
      </c>
      <c r="R9" s="41">
        <f>IF(O9=$U$3,(-Q9*G9)+(Q9*H9)+(E9*J9)+(L9)+I9+K9+M9+N9+Q9,IF(O9=$U$4,-P9,""))</f>
        <v>-124500</v>
      </c>
    </row>
    <row r="10" spans="1:22" x14ac:dyDescent="0.2">
      <c r="A10" s="4">
        <v>2</v>
      </c>
      <c r="B10" s="5">
        <v>46077</v>
      </c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 t="s">
        <v>198</v>
      </c>
      <c r="P10" s="41">
        <v>220500</v>
      </c>
      <c r="Q10" s="41">
        <f t="shared" ref="Q10:Q73" si="0">E10*F10</f>
        <v>0</v>
      </c>
      <c r="R10" s="41">
        <f>IF(O10=$U$3,(Q10*G10)+(Q10*H10)+(E10*J10)+(L10)+I10+K10+M10+N10+Q10,IF(O10=$U$4,-P10,""))</f>
        <v>-220500</v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29" priority="3" operator="equal">
      <formula>"ERROR"</formula>
    </cfRule>
  </conditionalFormatting>
  <conditionalFormatting sqref="D4">
    <cfRule type="cellIs" dxfId="128" priority="1" operator="lessThanOrEqual">
      <formula>0</formula>
    </cfRule>
    <cfRule type="cellIs" dxfId="127" priority="2" operator="greaterThan">
      <formula>0</formula>
    </cfRule>
  </conditionalFormatting>
  <dataValidations count="1">
    <dataValidation type="list" allowBlank="1" showInputMessage="1" showErrorMessage="1" sqref="O9:O1048576" xr:uid="{D996B6D1-B51F-4B4B-9DCD-E806EF3F8A5A}">
      <formula1>$U$3:$U$4</formula1>
    </dataValidation>
  </dataValidations>
  <hyperlinks>
    <hyperlink ref="E1:G1" location="'Master Sheet'!A1" display="GO BACK TO MASTER SHEET" xr:uid="{0948D54D-55FB-F049-AE42-12BB9172AA4B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27DEFC3E-DCC2-C849-92CD-8A3AAB4F4A10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570C0AC5-5839-D640-8997-C51E7BA2C697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A99DC-4276-7D43-8E36-116130ED577E}">
  <sheetPr codeName="Sheet18"/>
  <dimension ref="A1:V208"/>
  <sheetViews>
    <sheetView showGridLines="0" zoomScale="90" workbookViewId="0">
      <pane ySplit="8" topLeftCell="A9" activePane="bottomLeft" state="frozen"/>
      <selection pane="bottomLeft" activeCell="R10" sqref="R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Usman Glycerine GSK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V011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26" priority="3" operator="equal">
      <formula>"ERROR"</formula>
    </cfRule>
  </conditionalFormatting>
  <conditionalFormatting sqref="D4">
    <cfRule type="cellIs" dxfId="125" priority="1" operator="lessThanOrEqual">
      <formula>0</formula>
    </cfRule>
    <cfRule type="cellIs" dxfId="124" priority="2" operator="greaterThan">
      <formula>0</formula>
    </cfRule>
  </conditionalFormatting>
  <dataValidations count="1">
    <dataValidation type="list" allowBlank="1" showInputMessage="1" showErrorMessage="1" sqref="O9:O1048576" xr:uid="{0273635E-B6EE-364F-AC09-6510CF0896A9}">
      <formula1>$U$3:$U$4</formula1>
    </dataValidation>
  </dataValidations>
  <hyperlinks>
    <hyperlink ref="E1:G1" location="'Master Sheet'!A1" display="GO BACK TO MASTER SHEET" xr:uid="{C320173C-5692-FD43-9B4D-3404879EA034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6A695845-A678-3049-B23D-03C21F1B5766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331B9267-C915-724E-9871-8A328017F920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16DC4-52F9-6D4F-BD31-A36910E1F006}">
  <sheetPr codeName="Sheet19"/>
  <dimension ref="A1:V208"/>
  <sheetViews>
    <sheetView showGridLines="0" zoomScale="90" workbookViewId="0">
      <pane ySplit="8" topLeftCell="A9" activePane="bottomLeft" state="frozen"/>
      <selection pane="bottomLeft" activeCell="R10" sqref="R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Master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V012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23" priority="3" operator="equal">
      <formula>"ERROR"</formula>
    </cfRule>
  </conditionalFormatting>
  <conditionalFormatting sqref="D4">
    <cfRule type="cellIs" dxfId="122" priority="1" operator="lessThanOrEqual">
      <formula>0</formula>
    </cfRule>
    <cfRule type="cellIs" dxfId="121" priority="2" operator="greaterThan">
      <formula>0</formula>
    </cfRule>
  </conditionalFormatting>
  <dataValidations count="1">
    <dataValidation type="list" allowBlank="1" showInputMessage="1" showErrorMessage="1" sqref="O9:O1048576" xr:uid="{1DD493C3-DB80-FD49-ADF3-D9C3ACC9A578}">
      <formula1>$U$3:$U$4</formula1>
    </dataValidation>
  </dataValidations>
  <hyperlinks>
    <hyperlink ref="E1:G1" location="'Master Sheet'!A1" display="GO BACK TO MASTER SHEET" xr:uid="{A16C006E-5705-D748-88ED-011B51C816BB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7D05B51D-47C9-D142-9F93-8E5AFE4D70D5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B8818AC7-4F4D-814C-8C55-E1D7BEA2C552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0095C-F154-5D4E-B399-43D9A6FF1C35}">
  <sheetPr codeName="Sheet20"/>
  <dimension ref="A1:V208"/>
  <sheetViews>
    <sheetView showGridLines="0" zoomScale="90" workbookViewId="0">
      <pane ySplit="8" topLeftCell="A9" activePane="bottomLeft" state="frozen"/>
      <selection pane="bottomLeft" activeCell="R10" sqref="R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Diamond foam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V013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20" priority="3" operator="equal">
      <formula>"ERROR"</formula>
    </cfRule>
  </conditionalFormatting>
  <conditionalFormatting sqref="D4">
    <cfRule type="cellIs" dxfId="119" priority="1" operator="lessThanOrEqual">
      <formula>0</formula>
    </cfRule>
    <cfRule type="cellIs" dxfId="118" priority="2" operator="greaterThan">
      <formula>0</formula>
    </cfRule>
  </conditionalFormatting>
  <dataValidations count="1">
    <dataValidation type="list" allowBlank="1" showInputMessage="1" showErrorMessage="1" sqref="O9:O1048576" xr:uid="{9BF0D066-4D11-6F40-B261-13C7950167E8}">
      <formula1>$U$3:$U$4</formula1>
    </dataValidation>
  </dataValidations>
  <hyperlinks>
    <hyperlink ref="E1:G1" location="'Master Sheet'!A1" display="GO BACK TO MASTER SHEET" xr:uid="{BACE4A7B-9611-8940-8049-0EABA168F643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676AADC1-3AFA-7C4B-BADC-2FF31EA22AD4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C1D161EC-B51B-3D4D-A863-4B81CA546A7D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C373D-7E1C-FF40-9FD3-8943D057440F}">
  <sheetPr codeName="Sheet21"/>
  <dimension ref="A1:V208"/>
  <sheetViews>
    <sheetView showGridLines="0" zoomScale="90" workbookViewId="0">
      <pane ySplit="8" topLeftCell="A9" activePane="bottomLeft" state="frozen"/>
      <selection pane="bottomLeft" activeCell="R10" sqref="R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Omer Asghar Durm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V014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17" priority="3" operator="equal">
      <formula>"ERROR"</formula>
    </cfRule>
  </conditionalFormatting>
  <conditionalFormatting sqref="D4">
    <cfRule type="cellIs" dxfId="116" priority="1" operator="lessThanOrEqual">
      <formula>0</formula>
    </cfRule>
    <cfRule type="cellIs" dxfId="115" priority="2" operator="greaterThan">
      <formula>0</formula>
    </cfRule>
  </conditionalFormatting>
  <dataValidations count="1">
    <dataValidation type="list" allowBlank="1" showInputMessage="1" showErrorMessage="1" sqref="O9:O1048576" xr:uid="{4D502507-2F33-4C42-9B56-36973F9CD168}">
      <formula1>$U$3:$U$4</formula1>
    </dataValidation>
  </dataValidations>
  <hyperlinks>
    <hyperlink ref="E1:G1" location="'Master Sheet'!A1" display="GO BACK TO MASTER SHEET" xr:uid="{B7380D00-C49B-8841-B56B-CE5B64FCE14A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F4A2EAAA-15BD-8F4D-A2AD-69FC18F2A7C3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C8947738-24D1-ED4D-953F-E04577B38996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E4C2C-E8F2-174D-B7EC-87B1D6868E15}">
  <sheetPr codeName="Sheet22"/>
  <dimension ref="A1:V208"/>
  <sheetViews>
    <sheetView showGridLines="0" zoomScale="90" workbookViewId="0">
      <pane ySplit="8" topLeftCell="A9" activePane="bottomLeft" state="frozen"/>
      <selection pane="bottomLeft" activeCell="R10" sqref="R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Baloch drum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V015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14" priority="3" operator="equal">
      <formula>"ERROR"</formula>
    </cfRule>
  </conditionalFormatting>
  <conditionalFormatting sqref="D4">
    <cfRule type="cellIs" dxfId="113" priority="1" operator="lessThanOrEqual">
      <formula>0</formula>
    </cfRule>
    <cfRule type="cellIs" dxfId="112" priority="2" operator="greaterThan">
      <formula>0</formula>
    </cfRule>
  </conditionalFormatting>
  <dataValidations count="1">
    <dataValidation type="list" allowBlank="1" showInputMessage="1" showErrorMessage="1" sqref="O9:O1048576" xr:uid="{5F0BAAA1-68E0-CF42-87A6-42AD3C8F5FBC}">
      <formula1>$U$3:$U$4</formula1>
    </dataValidation>
  </dataValidations>
  <hyperlinks>
    <hyperlink ref="E1:G1" location="'Master Sheet'!A1" display="GO BACK TO MASTER SHEET" xr:uid="{69B2E1D4-D2A6-B04D-AA70-CFBE4C226A55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5EEC09D2-33F8-4243-8F46-7AAD92919474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FD0CC341-8790-9448-AD79-1F7E6FB93609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19AD0-0397-BA4D-95E5-44D479E4C4B5}">
  <sheetPr codeName="Sheet23"/>
  <dimension ref="A1:V208"/>
  <sheetViews>
    <sheetView showGridLines="0" zoomScale="90" workbookViewId="0">
      <pane ySplit="8" topLeftCell="A9" activePane="bottomLeft" state="frozen"/>
      <selection pane="bottomLeft" activeCell="R10" sqref="R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Faraz bhai zakir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V016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11" priority="3" operator="equal">
      <formula>"ERROR"</formula>
    </cfRule>
  </conditionalFormatting>
  <conditionalFormatting sqref="D4">
    <cfRule type="cellIs" dxfId="110" priority="1" operator="lessThanOrEqual">
      <formula>0</formula>
    </cfRule>
    <cfRule type="cellIs" dxfId="109" priority="2" operator="greaterThan">
      <formula>0</formula>
    </cfRule>
  </conditionalFormatting>
  <dataValidations count="1">
    <dataValidation type="list" allowBlank="1" showInputMessage="1" showErrorMessage="1" sqref="O9:O1048576" xr:uid="{4666F426-B584-1B49-92CB-77FE1C21EE3E}">
      <formula1>$U$3:$U$4</formula1>
    </dataValidation>
  </dataValidations>
  <hyperlinks>
    <hyperlink ref="E1:G1" location="'Master Sheet'!A1" display="GO BACK TO MASTER SHEET" xr:uid="{A8B2659F-4011-FD4E-99D5-C6188763A946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FCA647B2-EDE3-F340-BB77-7624A358CE9B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A911424F-77C1-624E-A153-9745BE6B521C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D42B-14A6-794C-8D43-EE6E00007F08}">
  <sheetPr codeName="Sheet24"/>
  <dimension ref="A1:V208"/>
  <sheetViews>
    <sheetView showGridLines="0" zoomScale="90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Muhammad Ali Sher Shah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V017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08" priority="3" operator="equal">
      <formula>"ERROR"</formula>
    </cfRule>
  </conditionalFormatting>
  <conditionalFormatting sqref="D4">
    <cfRule type="cellIs" dxfId="107" priority="1" operator="lessThanOrEqual">
      <formula>0</formula>
    </cfRule>
    <cfRule type="cellIs" dxfId="106" priority="2" operator="greaterThan">
      <formula>0</formula>
    </cfRule>
  </conditionalFormatting>
  <dataValidations count="1">
    <dataValidation type="list" allowBlank="1" showInputMessage="1" showErrorMessage="1" sqref="O9:O1048576" xr:uid="{8EF3C9D2-7C46-5E44-9403-BADFE124A47C}">
      <formula1>$U$3:$U$4</formula1>
    </dataValidation>
  </dataValidations>
  <hyperlinks>
    <hyperlink ref="E1:G1" location="'Master Sheet'!A1" display="GO BACK TO MASTER SHEET" xr:uid="{031F9138-1B19-DA45-A246-21D2759B9F73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1E8795E3-617D-A344-AF45-12065832F6E1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303C3385-0712-3349-9952-6C1DFF6DA9CD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206E-50B4-9140-83A7-335D3006CCF3}">
  <sheetPr codeName="Sheet25"/>
  <dimension ref="A1:V208"/>
  <sheetViews>
    <sheetView showGridLines="0" zoomScale="90" workbookViewId="0">
      <pane ySplit="8" topLeftCell="A9" activePane="bottomLeft" state="frozen"/>
      <selection pane="bottomLeft" activeCell="R10" sqref="R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Sher khan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V018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05" priority="3" operator="equal">
      <formula>"ERROR"</formula>
    </cfRule>
  </conditionalFormatting>
  <conditionalFormatting sqref="D4">
    <cfRule type="cellIs" dxfId="104" priority="1" operator="lessThanOrEqual">
      <formula>0</formula>
    </cfRule>
    <cfRule type="cellIs" dxfId="103" priority="2" operator="greaterThan">
      <formula>0</formula>
    </cfRule>
  </conditionalFormatting>
  <dataValidations count="1">
    <dataValidation type="list" allowBlank="1" showInputMessage="1" showErrorMessage="1" sqref="O9:O1048576" xr:uid="{4E9D2BE8-66F5-C342-AE80-0829ACCA6DE3}">
      <formula1>$U$3:$U$4</formula1>
    </dataValidation>
  </dataValidations>
  <hyperlinks>
    <hyperlink ref="E1:G1" location="'Master Sheet'!A1" display="GO BACK TO MASTER SHEET" xr:uid="{60469772-9423-2048-AB02-12963B0AD4D1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B53D7A3E-AF81-0B46-A47E-95B9098F2DF7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DCBA381C-7520-8045-B6AA-C98552035C0F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F19B7-0486-3241-82D7-94343A67827B}">
  <sheetPr codeName="Sheet26"/>
  <dimension ref="A1:V208"/>
  <sheetViews>
    <sheetView showGridLines="0" workbookViewId="0">
      <pane ySplit="8" topLeftCell="A58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2" style="65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Khalid plastic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V019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475700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66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67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67">
        <v>46029</v>
      </c>
      <c r="C10" s="6" t="s">
        <v>0</v>
      </c>
      <c r="D10" s="6" t="s">
        <v>86</v>
      </c>
      <c r="E10" s="7">
        <v>2</v>
      </c>
      <c r="F10" s="41">
        <v>3600</v>
      </c>
      <c r="G10" s="46"/>
      <c r="H10" s="39"/>
      <c r="I10" s="41"/>
      <c r="J10" s="41">
        <v>0</v>
      </c>
      <c r="K10" s="41"/>
      <c r="L10" s="41"/>
      <c r="M10" s="41"/>
      <c r="N10" s="41"/>
      <c r="O10" s="6" t="s">
        <v>197</v>
      </c>
      <c r="P10" s="41"/>
      <c r="Q10" s="41">
        <f t="shared" ref="Q10:Q73" si="0">E10*F10</f>
        <v>7200</v>
      </c>
      <c r="R10" s="41">
        <f>IF(O10=$U$3,(Q10*G10)+(Q10*H10)+(E10*J10)+(L10)+I10+K10+M10+N10+Q10,IF(O10=$U$4,-P10,""))</f>
        <v>7200</v>
      </c>
    </row>
    <row r="11" spans="1:22" x14ac:dyDescent="0.2">
      <c r="A11" s="4">
        <v>3</v>
      </c>
      <c r="B11" s="67">
        <v>46029</v>
      </c>
      <c r="C11" s="6" t="s">
        <v>0</v>
      </c>
      <c r="D11" s="6" t="s">
        <v>85</v>
      </c>
      <c r="E11" s="7">
        <v>30</v>
      </c>
      <c r="F11" s="41">
        <v>3450</v>
      </c>
      <c r="G11" s="46"/>
      <c r="H11" s="39"/>
      <c r="I11" s="41"/>
      <c r="J11" s="41">
        <v>0</v>
      </c>
      <c r="K11" s="41"/>
      <c r="L11" s="41"/>
      <c r="M11" s="41"/>
      <c r="N11" s="41"/>
      <c r="O11" s="6" t="s">
        <v>197</v>
      </c>
      <c r="P11" s="41"/>
      <c r="Q11" s="41">
        <f t="shared" si="0"/>
        <v>103500</v>
      </c>
      <c r="R11" s="41">
        <f t="shared" ref="R11:R74" si="1">IF(O11=$U$3,(Q11*G11)+(Q11*H11)+(E11*J11)+(L11)+I11+K11+M11+N11+Q11,IF(O11=$U$4,-P11,""))</f>
        <v>103500</v>
      </c>
    </row>
    <row r="12" spans="1:22" x14ac:dyDescent="0.2">
      <c r="A12" s="4">
        <v>4</v>
      </c>
      <c r="B12" s="67">
        <v>46029</v>
      </c>
      <c r="C12" s="6" t="s">
        <v>0</v>
      </c>
      <c r="D12" s="6" t="s">
        <v>90</v>
      </c>
      <c r="E12" s="7">
        <v>8</v>
      </c>
      <c r="F12" s="41">
        <v>3300</v>
      </c>
      <c r="G12" s="46"/>
      <c r="H12" s="39"/>
      <c r="I12" s="41"/>
      <c r="J12" s="41">
        <v>0</v>
      </c>
      <c r="K12" s="41"/>
      <c r="L12" s="41"/>
      <c r="M12" s="41"/>
      <c r="N12" s="41"/>
      <c r="O12" s="6" t="s">
        <v>197</v>
      </c>
      <c r="P12" s="41"/>
      <c r="Q12" s="41">
        <f t="shared" si="0"/>
        <v>26400</v>
      </c>
      <c r="R12" s="41">
        <f t="shared" si="1"/>
        <v>26400</v>
      </c>
    </row>
    <row r="13" spans="1:22" x14ac:dyDescent="0.2">
      <c r="A13" s="4">
        <v>5</v>
      </c>
      <c r="B13" s="67">
        <v>46029</v>
      </c>
      <c r="C13" s="6" t="s">
        <v>0</v>
      </c>
      <c r="D13" s="6" t="s">
        <v>87</v>
      </c>
      <c r="E13" s="7">
        <v>5</v>
      </c>
      <c r="F13" s="41">
        <v>2600</v>
      </c>
      <c r="G13" s="46"/>
      <c r="H13" s="39"/>
      <c r="I13" s="41"/>
      <c r="J13" s="41">
        <v>0</v>
      </c>
      <c r="K13" s="41"/>
      <c r="L13" s="41"/>
      <c r="M13" s="41"/>
      <c r="N13" s="41"/>
      <c r="O13" s="6" t="s">
        <v>197</v>
      </c>
      <c r="P13" s="41"/>
      <c r="Q13" s="41">
        <f t="shared" si="0"/>
        <v>13000</v>
      </c>
      <c r="R13" s="41">
        <f t="shared" si="1"/>
        <v>13000</v>
      </c>
    </row>
    <row r="14" spans="1:22" x14ac:dyDescent="0.2">
      <c r="A14" s="4">
        <v>6</v>
      </c>
      <c r="B14" s="67">
        <v>46035</v>
      </c>
      <c r="C14" s="6" t="s">
        <v>0</v>
      </c>
      <c r="D14" s="6" t="s">
        <v>101</v>
      </c>
      <c r="E14" s="7">
        <v>30</v>
      </c>
      <c r="F14" s="41">
        <v>1450</v>
      </c>
      <c r="G14" s="46"/>
      <c r="H14" s="39"/>
      <c r="I14" s="41"/>
      <c r="J14" s="41">
        <v>40</v>
      </c>
      <c r="K14" s="41"/>
      <c r="L14" s="41"/>
      <c r="M14" s="41"/>
      <c r="N14" s="41"/>
      <c r="O14" s="6" t="s">
        <v>197</v>
      </c>
      <c r="P14" s="41"/>
      <c r="Q14" s="41">
        <f>E14*F14</f>
        <v>43500</v>
      </c>
      <c r="R14" s="41">
        <f>IF(O14=$U$3,(Q14*G14)+(Q14*H14)+(E14*J14)+(L14)+I14+K14+M14+N14+Q14,IF(O14=$U$4,-P14,""))</f>
        <v>44700</v>
      </c>
    </row>
    <row r="15" spans="1:22" x14ac:dyDescent="0.2">
      <c r="A15" s="4">
        <v>7</v>
      </c>
      <c r="B15" s="67">
        <v>46035</v>
      </c>
      <c r="C15" s="6" t="s">
        <v>0</v>
      </c>
      <c r="D15" s="6" t="s">
        <v>101</v>
      </c>
      <c r="E15" s="7">
        <v>56</v>
      </c>
      <c r="F15" s="41">
        <v>1450</v>
      </c>
      <c r="G15" s="46"/>
      <c r="H15" s="39"/>
      <c r="I15" s="41"/>
      <c r="J15" s="41">
        <v>40</v>
      </c>
      <c r="K15" s="41"/>
      <c r="L15" s="41"/>
      <c r="M15" s="41"/>
      <c r="N15" s="41"/>
      <c r="O15" s="6" t="s">
        <v>197</v>
      </c>
      <c r="P15" s="41"/>
      <c r="Q15" s="41">
        <f t="shared" si="0"/>
        <v>81200</v>
      </c>
      <c r="R15" s="41">
        <f t="shared" si="1"/>
        <v>83440</v>
      </c>
    </row>
    <row r="16" spans="1:22" x14ac:dyDescent="0.2">
      <c r="A16" s="4">
        <v>8</v>
      </c>
      <c r="B16" s="67">
        <v>46035</v>
      </c>
      <c r="C16" s="6" t="s">
        <v>0</v>
      </c>
      <c r="D16" s="6" t="s">
        <v>101</v>
      </c>
      <c r="E16" s="7">
        <v>99</v>
      </c>
      <c r="F16" s="41">
        <v>1450</v>
      </c>
      <c r="G16" s="46"/>
      <c r="H16" s="39"/>
      <c r="I16" s="41"/>
      <c r="J16" s="41">
        <v>40</v>
      </c>
      <c r="K16" s="41"/>
      <c r="L16" s="41"/>
      <c r="M16" s="41"/>
      <c r="N16" s="41"/>
      <c r="O16" s="6" t="s">
        <v>197</v>
      </c>
      <c r="P16" s="41"/>
      <c r="Q16" s="41">
        <f t="shared" si="0"/>
        <v>143550</v>
      </c>
      <c r="R16" s="41">
        <f>IF(O16=$U$3,(Q16*G16)+(Q16*H16)+(E16*J16)+(L16)+I16+K16+M16+N16+Q16,IF(O16=$U$4,-P16,""))</f>
        <v>147510</v>
      </c>
    </row>
    <row r="17" spans="1:18" x14ac:dyDescent="0.2">
      <c r="A17" s="4">
        <v>9</v>
      </c>
      <c r="B17" s="67">
        <v>46035</v>
      </c>
      <c r="C17" s="6" t="s">
        <v>0</v>
      </c>
      <c r="D17" s="6" t="s">
        <v>102</v>
      </c>
      <c r="E17" s="7">
        <v>9</v>
      </c>
      <c r="F17" s="41">
        <v>1900</v>
      </c>
      <c r="G17" s="46"/>
      <c r="H17" s="39"/>
      <c r="I17" s="41"/>
      <c r="J17" s="41">
        <v>40</v>
      </c>
      <c r="K17" s="41"/>
      <c r="L17" s="41"/>
      <c r="M17" s="41"/>
      <c r="N17" s="41"/>
      <c r="O17" s="6" t="s">
        <v>197</v>
      </c>
      <c r="P17" s="41"/>
      <c r="Q17" s="41">
        <f t="shared" si="0"/>
        <v>17100</v>
      </c>
      <c r="R17" s="41">
        <f t="shared" si="1"/>
        <v>17460</v>
      </c>
    </row>
    <row r="18" spans="1:18" x14ac:dyDescent="0.2">
      <c r="A18" s="4">
        <v>10</v>
      </c>
      <c r="B18" s="67">
        <v>46036</v>
      </c>
      <c r="C18" s="6" t="s">
        <v>0</v>
      </c>
      <c r="D18" s="6" t="s">
        <v>86</v>
      </c>
      <c r="E18" s="7">
        <v>22</v>
      </c>
      <c r="F18" s="41">
        <v>3600</v>
      </c>
      <c r="G18" s="46"/>
      <c r="H18" s="39"/>
      <c r="I18" s="41"/>
      <c r="J18" s="41">
        <v>0</v>
      </c>
      <c r="K18" s="41"/>
      <c r="L18" s="41"/>
      <c r="M18" s="41"/>
      <c r="N18" s="41"/>
      <c r="O18" s="6" t="s">
        <v>197</v>
      </c>
      <c r="P18" s="41"/>
      <c r="Q18" s="41">
        <f t="shared" si="0"/>
        <v>79200</v>
      </c>
      <c r="R18" s="41">
        <f t="shared" si="1"/>
        <v>79200</v>
      </c>
    </row>
    <row r="19" spans="1:18" x14ac:dyDescent="0.2">
      <c r="A19" s="4">
        <v>11</v>
      </c>
      <c r="B19" s="67">
        <v>46036</v>
      </c>
      <c r="C19" s="6" t="s">
        <v>0</v>
      </c>
      <c r="D19" s="6" t="s">
        <v>85</v>
      </c>
      <c r="E19" s="7">
        <v>13</v>
      </c>
      <c r="F19" s="41">
        <v>3450</v>
      </c>
      <c r="G19" s="46"/>
      <c r="H19" s="39"/>
      <c r="I19" s="41"/>
      <c r="J19" s="41">
        <v>0</v>
      </c>
      <c r="K19" s="41"/>
      <c r="L19" s="41"/>
      <c r="M19" s="41"/>
      <c r="N19" s="41"/>
      <c r="O19" s="6" t="s">
        <v>197</v>
      </c>
      <c r="P19" s="41"/>
      <c r="Q19" s="41">
        <f t="shared" si="0"/>
        <v>44850</v>
      </c>
      <c r="R19" s="41">
        <f t="shared" si="1"/>
        <v>44850</v>
      </c>
    </row>
    <row r="20" spans="1:18" x14ac:dyDescent="0.2">
      <c r="A20" s="4">
        <v>12</v>
      </c>
      <c r="B20" s="67">
        <v>46036</v>
      </c>
      <c r="C20" s="6" t="s">
        <v>0</v>
      </c>
      <c r="D20" s="6" t="s">
        <v>92</v>
      </c>
      <c r="E20" s="7">
        <v>2</v>
      </c>
      <c r="F20" s="41">
        <v>3300</v>
      </c>
      <c r="G20" s="46"/>
      <c r="H20" s="39"/>
      <c r="I20" s="41"/>
      <c r="J20" s="41">
        <v>0</v>
      </c>
      <c r="K20" s="41"/>
      <c r="L20" s="41"/>
      <c r="M20" s="41"/>
      <c r="N20" s="41"/>
      <c r="O20" s="6" t="s">
        <v>197</v>
      </c>
      <c r="P20" s="41"/>
      <c r="Q20" s="41">
        <f t="shared" si="0"/>
        <v>6600</v>
      </c>
      <c r="R20" s="41">
        <f t="shared" si="1"/>
        <v>6600</v>
      </c>
    </row>
    <row r="21" spans="1:18" x14ac:dyDescent="0.2">
      <c r="A21" s="4">
        <v>13</v>
      </c>
      <c r="B21" s="67">
        <v>46036</v>
      </c>
      <c r="C21" s="6" t="s">
        <v>0</v>
      </c>
      <c r="D21" s="6" t="s">
        <v>87</v>
      </c>
      <c r="E21" s="7">
        <v>12</v>
      </c>
      <c r="F21" s="41">
        <v>2600</v>
      </c>
      <c r="G21" s="46"/>
      <c r="H21" s="39"/>
      <c r="I21" s="41"/>
      <c r="J21" s="41">
        <v>0</v>
      </c>
      <c r="K21" s="41"/>
      <c r="L21" s="41"/>
      <c r="M21" s="41"/>
      <c r="N21" s="41"/>
      <c r="O21" s="6" t="s">
        <v>197</v>
      </c>
      <c r="P21" s="41"/>
      <c r="Q21" s="41">
        <f t="shared" si="0"/>
        <v>31200</v>
      </c>
      <c r="R21" s="41">
        <f t="shared" si="1"/>
        <v>31200</v>
      </c>
    </row>
    <row r="22" spans="1:18" x14ac:dyDescent="0.2">
      <c r="A22" s="4">
        <v>14</v>
      </c>
      <c r="B22" s="67">
        <v>46036</v>
      </c>
      <c r="C22" s="6" t="s">
        <v>0</v>
      </c>
      <c r="D22" s="6" t="s">
        <v>93</v>
      </c>
      <c r="E22" s="7">
        <v>1</v>
      </c>
      <c r="F22" s="41">
        <v>2600</v>
      </c>
      <c r="G22" s="46"/>
      <c r="H22" s="39"/>
      <c r="I22" s="41"/>
      <c r="J22" s="41">
        <v>0</v>
      </c>
      <c r="K22" s="41"/>
      <c r="L22" s="41"/>
      <c r="M22" s="41"/>
      <c r="N22" s="41"/>
      <c r="O22" s="6" t="s">
        <v>197</v>
      </c>
      <c r="P22" s="41"/>
      <c r="Q22" s="41">
        <f t="shared" si="0"/>
        <v>2600</v>
      </c>
      <c r="R22" s="41">
        <f t="shared" si="1"/>
        <v>2600</v>
      </c>
    </row>
    <row r="23" spans="1:18" x14ac:dyDescent="0.2">
      <c r="A23" s="4">
        <v>15</v>
      </c>
      <c r="B23" s="67">
        <v>46036</v>
      </c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 t="s">
        <v>198</v>
      </c>
      <c r="P23" s="41">
        <v>300000</v>
      </c>
      <c r="Q23" s="41">
        <f t="shared" si="0"/>
        <v>0</v>
      </c>
      <c r="R23" s="41">
        <f t="shared" si="1"/>
        <v>-300000</v>
      </c>
    </row>
    <row r="24" spans="1:18" x14ac:dyDescent="0.2">
      <c r="A24" s="4">
        <v>16</v>
      </c>
      <c r="B24" s="67">
        <v>46041</v>
      </c>
      <c r="C24" s="6" t="s">
        <v>0</v>
      </c>
      <c r="D24" s="6" t="s">
        <v>86</v>
      </c>
      <c r="E24" s="7">
        <v>28</v>
      </c>
      <c r="F24" s="41">
        <v>3600</v>
      </c>
      <c r="G24" s="46"/>
      <c r="H24" s="39"/>
      <c r="I24" s="41"/>
      <c r="J24" s="41">
        <v>0</v>
      </c>
      <c r="K24" s="41"/>
      <c r="L24" s="41"/>
      <c r="M24" s="41"/>
      <c r="N24" s="41"/>
      <c r="O24" s="6" t="s">
        <v>197</v>
      </c>
      <c r="P24" s="41"/>
      <c r="Q24" s="41">
        <f t="shared" si="0"/>
        <v>100800</v>
      </c>
      <c r="R24" s="41">
        <f t="shared" si="1"/>
        <v>100800</v>
      </c>
    </row>
    <row r="25" spans="1:18" x14ac:dyDescent="0.2">
      <c r="A25" s="4">
        <v>17</v>
      </c>
      <c r="B25" s="67">
        <v>46041</v>
      </c>
      <c r="C25" s="6" t="s">
        <v>0</v>
      </c>
      <c r="D25" s="6" t="s">
        <v>87</v>
      </c>
      <c r="E25" s="7">
        <v>4</v>
      </c>
      <c r="F25" s="41">
        <v>2600</v>
      </c>
      <c r="G25" s="46"/>
      <c r="H25" s="39"/>
      <c r="I25" s="41"/>
      <c r="J25" s="41">
        <v>0</v>
      </c>
      <c r="K25" s="41"/>
      <c r="L25" s="41"/>
      <c r="M25" s="41"/>
      <c r="N25" s="41"/>
      <c r="O25" s="6" t="s">
        <v>197</v>
      </c>
      <c r="P25" s="41"/>
      <c r="Q25" s="41">
        <f t="shared" si="0"/>
        <v>10400</v>
      </c>
      <c r="R25" s="41">
        <f t="shared" si="1"/>
        <v>10400</v>
      </c>
    </row>
    <row r="26" spans="1:18" x14ac:dyDescent="0.2">
      <c r="A26" s="4">
        <v>18</v>
      </c>
      <c r="B26" s="67">
        <v>46041</v>
      </c>
      <c r="C26" s="6" t="s">
        <v>0</v>
      </c>
      <c r="D26" s="6" t="s">
        <v>93</v>
      </c>
      <c r="E26" s="7">
        <v>1</v>
      </c>
      <c r="F26" s="41">
        <v>2600</v>
      </c>
      <c r="G26" s="46"/>
      <c r="H26" s="39"/>
      <c r="I26" s="41"/>
      <c r="J26" s="41">
        <v>0</v>
      </c>
      <c r="K26" s="41"/>
      <c r="L26" s="41"/>
      <c r="M26" s="41"/>
      <c r="N26" s="41"/>
      <c r="O26" s="6" t="s">
        <v>197</v>
      </c>
      <c r="P26" s="41"/>
      <c r="Q26" s="41">
        <f t="shared" si="0"/>
        <v>2600</v>
      </c>
      <c r="R26" s="41">
        <f t="shared" si="1"/>
        <v>2600</v>
      </c>
    </row>
    <row r="27" spans="1:18" x14ac:dyDescent="0.2">
      <c r="A27" s="4">
        <v>19</v>
      </c>
      <c r="B27" s="67">
        <v>46041</v>
      </c>
      <c r="C27" s="6" t="s">
        <v>0</v>
      </c>
      <c r="D27" s="6" t="s">
        <v>101</v>
      </c>
      <c r="E27" s="7">
        <v>60</v>
      </c>
      <c r="F27" s="41">
        <v>1450</v>
      </c>
      <c r="G27" s="46"/>
      <c r="H27" s="39"/>
      <c r="I27" s="41"/>
      <c r="J27" s="41">
        <v>40</v>
      </c>
      <c r="K27" s="41"/>
      <c r="L27" s="41"/>
      <c r="M27" s="41"/>
      <c r="N27" s="41"/>
      <c r="O27" s="6" t="s">
        <v>197</v>
      </c>
      <c r="P27" s="41"/>
      <c r="Q27" s="41">
        <f t="shared" si="0"/>
        <v>87000</v>
      </c>
      <c r="R27" s="41">
        <f t="shared" si="1"/>
        <v>89400</v>
      </c>
    </row>
    <row r="28" spans="1:18" x14ac:dyDescent="0.2">
      <c r="A28" s="4">
        <v>20</v>
      </c>
      <c r="B28" s="67">
        <v>46049</v>
      </c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 t="s">
        <v>198</v>
      </c>
      <c r="P28" s="41">
        <v>421460</v>
      </c>
      <c r="Q28" s="41">
        <f>E28*F28</f>
        <v>0</v>
      </c>
      <c r="R28" s="41">
        <f>IF(O28=$U$3,(Q28*G28)+(Q28*H28)+(E28*J28)+(L28)+I28+K28+M28+N28+Q28,IF(O28=$U$4,-P28,""))</f>
        <v>-421460</v>
      </c>
    </row>
    <row r="29" spans="1:18" x14ac:dyDescent="0.2">
      <c r="A29" s="4">
        <v>21</v>
      </c>
      <c r="B29" s="67">
        <v>46060</v>
      </c>
      <c r="C29" s="6" t="s">
        <v>0</v>
      </c>
      <c r="D29" s="6" t="s">
        <v>86</v>
      </c>
      <c r="E29" s="7">
        <v>5</v>
      </c>
      <c r="F29" s="41">
        <v>3600</v>
      </c>
      <c r="G29" s="46"/>
      <c r="H29" s="39"/>
      <c r="I29" s="41"/>
      <c r="J29" s="41">
        <v>0</v>
      </c>
      <c r="K29" s="41"/>
      <c r="L29" s="41"/>
      <c r="M29" s="41"/>
      <c r="N29" s="41"/>
      <c r="O29" s="6" t="s">
        <v>197</v>
      </c>
      <c r="P29" s="41"/>
      <c r="Q29" s="41">
        <f t="shared" si="0"/>
        <v>18000</v>
      </c>
      <c r="R29" s="41">
        <f t="shared" si="1"/>
        <v>18000</v>
      </c>
    </row>
    <row r="30" spans="1:18" x14ac:dyDescent="0.2">
      <c r="A30" s="4">
        <v>22</v>
      </c>
      <c r="B30" s="67">
        <v>46060</v>
      </c>
      <c r="C30" s="6" t="s">
        <v>0</v>
      </c>
      <c r="D30" s="6" t="s">
        <v>85</v>
      </c>
      <c r="E30" s="7">
        <v>12</v>
      </c>
      <c r="F30" s="41">
        <v>3450</v>
      </c>
      <c r="G30" s="46"/>
      <c r="H30" s="39"/>
      <c r="I30" s="41"/>
      <c r="J30" s="41">
        <v>0</v>
      </c>
      <c r="K30" s="41"/>
      <c r="L30" s="41"/>
      <c r="M30" s="41"/>
      <c r="N30" s="41"/>
      <c r="O30" s="6" t="s">
        <v>197</v>
      </c>
      <c r="P30" s="41"/>
      <c r="Q30" s="41">
        <f t="shared" si="0"/>
        <v>41400</v>
      </c>
      <c r="R30" s="41">
        <f t="shared" si="1"/>
        <v>41400</v>
      </c>
    </row>
    <row r="31" spans="1:18" x14ac:dyDescent="0.2">
      <c r="A31" s="4">
        <v>23</v>
      </c>
      <c r="B31" s="67">
        <v>46060</v>
      </c>
      <c r="C31" s="6" t="s">
        <v>0</v>
      </c>
      <c r="D31" s="6" t="s">
        <v>87</v>
      </c>
      <c r="E31" s="7">
        <v>23</v>
      </c>
      <c r="F31" s="41">
        <v>2600</v>
      </c>
      <c r="G31" s="46"/>
      <c r="H31" s="39"/>
      <c r="I31" s="41"/>
      <c r="J31" s="41">
        <v>0</v>
      </c>
      <c r="K31" s="41"/>
      <c r="L31" s="41"/>
      <c r="M31" s="41"/>
      <c r="N31" s="41"/>
      <c r="O31" s="6" t="s">
        <v>197</v>
      </c>
      <c r="P31" s="41"/>
      <c r="Q31" s="41">
        <f t="shared" si="0"/>
        <v>59800</v>
      </c>
      <c r="R31" s="41">
        <f t="shared" si="1"/>
        <v>59800</v>
      </c>
    </row>
    <row r="32" spans="1:18" x14ac:dyDescent="0.2">
      <c r="A32" s="4">
        <v>24</v>
      </c>
      <c r="B32" s="67">
        <v>46060</v>
      </c>
      <c r="C32" s="6" t="s">
        <v>0</v>
      </c>
      <c r="D32" s="6" t="s">
        <v>86</v>
      </c>
      <c r="E32" s="7">
        <v>13</v>
      </c>
      <c r="F32" s="41">
        <v>3600</v>
      </c>
      <c r="G32" s="46"/>
      <c r="H32" s="39"/>
      <c r="I32" s="41"/>
      <c r="J32" s="41">
        <v>0</v>
      </c>
      <c r="K32" s="41"/>
      <c r="L32" s="41"/>
      <c r="M32" s="41"/>
      <c r="N32" s="41"/>
      <c r="O32" s="6" t="s">
        <v>197</v>
      </c>
      <c r="P32" s="41"/>
      <c r="Q32" s="41">
        <f t="shared" si="0"/>
        <v>46800</v>
      </c>
      <c r="R32" s="41">
        <f t="shared" si="1"/>
        <v>46800</v>
      </c>
    </row>
    <row r="33" spans="1:18" x14ac:dyDescent="0.2">
      <c r="A33" s="4">
        <v>25</v>
      </c>
      <c r="B33" s="67">
        <v>46060</v>
      </c>
      <c r="C33" s="6" t="s">
        <v>0</v>
      </c>
      <c r="D33" s="6" t="s">
        <v>85</v>
      </c>
      <c r="E33" s="7">
        <v>15</v>
      </c>
      <c r="F33" s="41">
        <v>3450</v>
      </c>
      <c r="G33" s="46"/>
      <c r="H33" s="39"/>
      <c r="I33" s="41"/>
      <c r="J33" s="41">
        <v>0</v>
      </c>
      <c r="K33" s="41"/>
      <c r="L33" s="41"/>
      <c r="M33" s="41"/>
      <c r="N33" s="41"/>
      <c r="O33" s="6" t="s">
        <v>197</v>
      </c>
      <c r="P33" s="41"/>
      <c r="Q33" s="41">
        <f>E33*F33</f>
        <v>51750</v>
      </c>
      <c r="R33" s="41">
        <f>IF(O33=$U$3,(Q33*G33)+(Q33*H33)+(E33*J33)+(L33)+I33+K33+M33+N33+Q33,IF(O33=$U$4,-P33,""))</f>
        <v>51750</v>
      </c>
    </row>
    <row r="34" spans="1:18" x14ac:dyDescent="0.2">
      <c r="A34" s="4">
        <v>26</v>
      </c>
      <c r="B34" s="67">
        <v>46060</v>
      </c>
      <c r="C34" s="6" t="s">
        <v>0</v>
      </c>
      <c r="D34" s="6" t="s">
        <v>90</v>
      </c>
      <c r="E34" s="7">
        <v>5</v>
      </c>
      <c r="F34" s="41">
        <v>3300</v>
      </c>
      <c r="G34" s="46"/>
      <c r="H34" s="39"/>
      <c r="I34" s="41"/>
      <c r="J34" s="41">
        <v>0</v>
      </c>
      <c r="K34" s="41"/>
      <c r="L34" s="41"/>
      <c r="M34" s="41"/>
      <c r="N34" s="41"/>
      <c r="O34" s="6" t="s">
        <v>197</v>
      </c>
      <c r="P34" s="41"/>
      <c r="Q34" s="41">
        <f t="shared" si="0"/>
        <v>16500</v>
      </c>
      <c r="R34" s="41">
        <f t="shared" si="1"/>
        <v>16500</v>
      </c>
    </row>
    <row r="35" spans="1:18" x14ac:dyDescent="0.2">
      <c r="A35" s="4">
        <v>27</v>
      </c>
      <c r="B35" s="67">
        <v>46060</v>
      </c>
      <c r="C35" s="6" t="s">
        <v>0</v>
      </c>
      <c r="D35" s="6" t="s">
        <v>87</v>
      </c>
      <c r="E35" s="7">
        <v>17</v>
      </c>
      <c r="F35" s="41">
        <v>2600</v>
      </c>
      <c r="G35" s="46"/>
      <c r="H35" s="39"/>
      <c r="I35" s="41"/>
      <c r="J35" s="41">
        <v>0</v>
      </c>
      <c r="K35" s="41"/>
      <c r="L35" s="41"/>
      <c r="M35" s="41"/>
      <c r="N35" s="41"/>
      <c r="O35" s="6" t="s">
        <v>197</v>
      </c>
      <c r="P35" s="41"/>
      <c r="Q35" s="41">
        <f t="shared" si="0"/>
        <v>44200</v>
      </c>
      <c r="R35" s="41">
        <f t="shared" si="1"/>
        <v>44200</v>
      </c>
    </row>
    <row r="36" spans="1:18" x14ac:dyDescent="0.2">
      <c r="A36" s="4">
        <v>28</v>
      </c>
      <c r="B36" s="67">
        <v>46060</v>
      </c>
      <c r="C36" s="6" t="s">
        <v>0</v>
      </c>
      <c r="D36" s="6" t="s">
        <v>101</v>
      </c>
      <c r="E36" s="7">
        <v>145</v>
      </c>
      <c r="F36" s="41">
        <v>1450</v>
      </c>
      <c r="G36" s="46"/>
      <c r="H36" s="39"/>
      <c r="I36" s="41"/>
      <c r="J36" s="41">
        <v>40</v>
      </c>
      <c r="K36" s="41"/>
      <c r="L36" s="41"/>
      <c r="M36" s="41"/>
      <c r="N36" s="41"/>
      <c r="O36" s="6" t="s">
        <v>197</v>
      </c>
      <c r="P36" s="41"/>
      <c r="Q36" s="41">
        <f t="shared" si="0"/>
        <v>210250</v>
      </c>
      <c r="R36" s="41">
        <f t="shared" si="1"/>
        <v>216050</v>
      </c>
    </row>
    <row r="37" spans="1:18" x14ac:dyDescent="0.2">
      <c r="A37" s="4">
        <v>29</v>
      </c>
      <c r="B37" s="67">
        <v>46061</v>
      </c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 t="s">
        <v>198</v>
      </c>
      <c r="P37" s="41">
        <v>583900</v>
      </c>
      <c r="Q37" s="41">
        <f t="shared" si="0"/>
        <v>0</v>
      </c>
      <c r="R37" s="41">
        <f t="shared" si="1"/>
        <v>-583900</v>
      </c>
    </row>
    <row r="38" spans="1:18" x14ac:dyDescent="0.2">
      <c r="A38" s="4">
        <v>30</v>
      </c>
      <c r="B38" s="67">
        <v>46070</v>
      </c>
      <c r="C38" s="6" t="s">
        <v>0</v>
      </c>
      <c r="D38" s="6" t="s">
        <v>85</v>
      </c>
      <c r="E38" s="7">
        <v>32</v>
      </c>
      <c r="F38" s="41">
        <v>3450</v>
      </c>
      <c r="G38" s="46"/>
      <c r="H38" s="39"/>
      <c r="I38" s="41"/>
      <c r="J38" s="41"/>
      <c r="K38" s="41"/>
      <c r="L38" s="41"/>
      <c r="M38" s="41"/>
      <c r="N38" s="41"/>
      <c r="O38" s="6" t="s">
        <v>197</v>
      </c>
      <c r="P38" s="41"/>
      <c r="Q38" s="41">
        <f t="shared" si="0"/>
        <v>110400</v>
      </c>
      <c r="R38" s="41">
        <f t="shared" si="1"/>
        <v>110400</v>
      </c>
    </row>
    <row r="39" spans="1:18" x14ac:dyDescent="0.2">
      <c r="A39" s="4">
        <v>31</v>
      </c>
      <c r="B39" s="67">
        <v>46070</v>
      </c>
      <c r="C39" s="6" t="s">
        <v>0</v>
      </c>
      <c r="D39" s="6" t="s">
        <v>86</v>
      </c>
      <c r="E39" s="7">
        <v>7</v>
      </c>
      <c r="F39" s="41">
        <v>3600</v>
      </c>
      <c r="G39" s="46"/>
      <c r="H39" s="39"/>
      <c r="I39" s="41"/>
      <c r="J39" s="41"/>
      <c r="K39" s="41"/>
      <c r="L39" s="41"/>
      <c r="M39" s="41"/>
      <c r="N39" s="41"/>
      <c r="O39" s="6" t="s">
        <v>197</v>
      </c>
      <c r="P39" s="41"/>
      <c r="Q39" s="41">
        <f t="shared" si="0"/>
        <v>25200</v>
      </c>
      <c r="R39" s="41">
        <f t="shared" si="1"/>
        <v>25200</v>
      </c>
    </row>
    <row r="40" spans="1:18" x14ac:dyDescent="0.2">
      <c r="A40" s="4">
        <v>32</v>
      </c>
      <c r="B40" s="67">
        <v>46070</v>
      </c>
      <c r="C40" s="6" t="s">
        <v>0</v>
      </c>
      <c r="D40" s="6" t="s">
        <v>87</v>
      </c>
      <c r="E40" s="7">
        <v>15</v>
      </c>
      <c r="F40" s="41">
        <v>2600</v>
      </c>
      <c r="G40" s="46"/>
      <c r="H40" s="39"/>
      <c r="I40" s="41"/>
      <c r="J40" s="41"/>
      <c r="K40" s="41"/>
      <c r="L40" s="41"/>
      <c r="M40" s="41"/>
      <c r="N40" s="41"/>
      <c r="O40" s="6" t="s">
        <v>197</v>
      </c>
      <c r="P40" s="41"/>
      <c r="Q40" s="41">
        <f t="shared" si="0"/>
        <v>39000</v>
      </c>
      <c r="R40" s="41">
        <f t="shared" si="1"/>
        <v>39000</v>
      </c>
    </row>
    <row r="41" spans="1:18" x14ac:dyDescent="0.2">
      <c r="A41" s="4">
        <v>33</v>
      </c>
      <c r="B41" s="67">
        <v>46070</v>
      </c>
      <c r="C41" s="6"/>
      <c r="D41" s="6" t="s">
        <v>101</v>
      </c>
      <c r="E41" s="7">
        <v>110</v>
      </c>
      <c r="F41" s="41">
        <v>1450</v>
      </c>
      <c r="G41" s="46"/>
      <c r="H41" s="39"/>
      <c r="I41" s="41"/>
      <c r="J41" s="41">
        <v>40</v>
      </c>
      <c r="K41" s="41"/>
      <c r="L41" s="41"/>
      <c r="M41" s="41"/>
      <c r="N41" s="41"/>
      <c r="O41" s="6" t="s">
        <v>197</v>
      </c>
      <c r="P41" s="41"/>
      <c r="Q41" s="41">
        <f t="shared" si="0"/>
        <v>159500</v>
      </c>
      <c r="R41" s="41">
        <f t="shared" si="1"/>
        <v>163900</v>
      </c>
    </row>
    <row r="42" spans="1:18" x14ac:dyDescent="0.2">
      <c r="A42" s="4">
        <v>34</v>
      </c>
      <c r="B42" s="67">
        <v>46077</v>
      </c>
      <c r="C42" s="6"/>
      <c r="D42" s="6" t="s">
        <v>86</v>
      </c>
      <c r="E42" s="7">
        <v>12</v>
      </c>
      <c r="F42" s="41">
        <v>3600</v>
      </c>
      <c r="G42" s="46"/>
      <c r="H42" s="39"/>
      <c r="I42" s="41"/>
      <c r="J42" s="41"/>
      <c r="K42" s="41"/>
      <c r="L42" s="41"/>
      <c r="M42" s="41"/>
      <c r="N42" s="41"/>
      <c r="O42" s="6" t="s">
        <v>197</v>
      </c>
      <c r="P42" s="41"/>
      <c r="Q42" s="41">
        <f t="shared" si="0"/>
        <v>43200</v>
      </c>
      <c r="R42" s="41">
        <f t="shared" si="1"/>
        <v>43200</v>
      </c>
    </row>
    <row r="43" spans="1:18" x14ac:dyDescent="0.2">
      <c r="A43" s="4">
        <v>35</v>
      </c>
      <c r="B43" s="67">
        <v>46077</v>
      </c>
      <c r="C43" s="6"/>
      <c r="D43" s="6" t="s">
        <v>85</v>
      </c>
      <c r="E43" s="7">
        <v>10</v>
      </c>
      <c r="F43" s="41">
        <v>3450</v>
      </c>
      <c r="G43" s="46"/>
      <c r="H43" s="39"/>
      <c r="I43" s="41"/>
      <c r="J43" s="41"/>
      <c r="K43" s="41"/>
      <c r="L43" s="41"/>
      <c r="M43" s="41"/>
      <c r="N43" s="41"/>
      <c r="O43" s="6" t="s">
        <v>197</v>
      </c>
      <c r="P43" s="41"/>
      <c r="Q43" s="41">
        <f t="shared" si="0"/>
        <v>34500</v>
      </c>
      <c r="R43" s="41">
        <f t="shared" si="1"/>
        <v>34500</v>
      </c>
    </row>
    <row r="44" spans="1:18" x14ac:dyDescent="0.2">
      <c r="A44" s="4">
        <v>36</v>
      </c>
      <c r="B44" s="67">
        <v>46077</v>
      </c>
      <c r="C44" s="6"/>
      <c r="D44" s="6" t="s">
        <v>90</v>
      </c>
      <c r="E44" s="7">
        <v>3</v>
      </c>
      <c r="F44" s="41">
        <v>3300</v>
      </c>
      <c r="G44" s="46"/>
      <c r="H44" s="39"/>
      <c r="I44" s="41"/>
      <c r="J44" s="41"/>
      <c r="K44" s="41"/>
      <c r="L44" s="41"/>
      <c r="M44" s="41"/>
      <c r="N44" s="41"/>
      <c r="O44" s="6" t="s">
        <v>197</v>
      </c>
      <c r="P44" s="41"/>
      <c r="Q44" s="41">
        <f t="shared" si="0"/>
        <v>9900</v>
      </c>
      <c r="R44" s="41">
        <f t="shared" si="1"/>
        <v>9900</v>
      </c>
    </row>
    <row r="45" spans="1:18" x14ac:dyDescent="0.2">
      <c r="A45" s="4">
        <v>37</v>
      </c>
      <c r="B45" s="67">
        <v>46077</v>
      </c>
      <c r="C45" s="6"/>
      <c r="D45" s="6" t="s">
        <v>87</v>
      </c>
      <c r="E45" s="7">
        <v>26</v>
      </c>
      <c r="F45" s="41">
        <v>2600</v>
      </c>
      <c r="G45" s="46"/>
      <c r="H45" s="39"/>
      <c r="I45" s="41"/>
      <c r="J45" s="41"/>
      <c r="K45" s="41"/>
      <c r="L45" s="41"/>
      <c r="M45" s="41"/>
      <c r="N45" s="41"/>
      <c r="O45" s="6" t="s">
        <v>197</v>
      </c>
      <c r="P45" s="41"/>
      <c r="Q45" s="41">
        <f t="shared" si="0"/>
        <v>67600</v>
      </c>
      <c r="R45" s="41">
        <f t="shared" si="1"/>
        <v>67600</v>
      </c>
    </row>
    <row r="46" spans="1:18" x14ac:dyDescent="0.2">
      <c r="A46" s="4">
        <v>38</v>
      </c>
      <c r="B46" s="67">
        <v>46077</v>
      </c>
      <c r="C46" s="6"/>
      <c r="D46" s="6" t="s">
        <v>93</v>
      </c>
      <c r="E46" s="7">
        <v>6</v>
      </c>
      <c r="F46" s="41">
        <v>2400</v>
      </c>
      <c r="G46" s="46"/>
      <c r="H46" s="39"/>
      <c r="I46" s="41"/>
      <c r="J46" s="41"/>
      <c r="K46" s="41"/>
      <c r="L46" s="41"/>
      <c r="M46" s="41"/>
      <c r="N46" s="41"/>
      <c r="O46" s="6" t="s">
        <v>197</v>
      </c>
      <c r="P46" s="41"/>
      <c r="Q46" s="41">
        <f t="shared" si="0"/>
        <v>14400</v>
      </c>
      <c r="R46" s="41">
        <f t="shared" si="1"/>
        <v>14400</v>
      </c>
    </row>
    <row r="47" spans="1:18" x14ac:dyDescent="0.2">
      <c r="A47" s="4">
        <v>39</v>
      </c>
      <c r="B47" s="67">
        <v>46077</v>
      </c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 t="s">
        <v>198</v>
      </c>
      <c r="P47" s="41">
        <v>174600</v>
      </c>
      <c r="Q47" s="41">
        <f t="shared" si="0"/>
        <v>0</v>
      </c>
      <c r="R47" s="41">
        <f t="shared" si="1"/>
        <v>-174600</v>
      </c>
    </row>
    <row r="48" spans="1:18" x14ac:dyDescent="0.2">
      <c r="A48" s="4">
        <v>40</v>
      </c>
      <c r="B48" s="67">
        <v>46092</v>
      </c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 t="s">
        <v>198</v>
      </c>
      <c r="P48" s="41">
        <v>333500</v>
      </c>
      <c r="Q48" s="41">
        <f t="shared" si="0"/>
        <v>0</v>
      </c>
      <c r="R48" s="41">
        <f t="shared" si="1"/>
        <v>-333500</v>
      </c>
    </row>
    <row r="49" spans="1:18" x14ac:dyDescent="0.2">
      <c r="A49" s="4">
        <v>41</v>
      </c>
      <c r="B49" s="67">
        <v>46092</v>
      </c>
      <c r="C49" s="6" t="s">
        <v>0</v>
      </c>
      <c r="D49" s="6" t="s">
        <v>86</v>
      </c>
      <c r="E49" s="7">
        <v>6</v>
      </c>
      <c r="F49" s="41">
        <v>3600</v>
      </c>
      <c r="G49" s="46"/>
      <c r="H49" s="39"/>
      <c r="I49" s="41"/>
      <c r="J49" s="41"/>
      <c r="K49" s="41"/>
      <c r="L49" s="41"/>
      <c r="M49" s="41"/>
      <c r="N49" s="41"/>
      <c r="O49" s="6" t="s">
        <v>197</v>
      </c>
      <c r="P49" s="41"/>
      <c r="Q49" s="41">
        <f t="shared" si="0"/>
        <v>21600</v>
      </c>
      <c r="R49" s="41">
        <f t="shared" si="1"/>
        <v>21600</v>
      </c>
    </row>
    <row r="50" spans="1:18" x14ac:dyDescent="0.2">
      <c r="A50" s="4">
        <v>42</v>
      </c>
      <c r="B50" s="67">
        <v>46092</v>
      </c>
      <c r="C50" s="6" t="s">
        <v>0</v>
      </c>
      <c r="D50" s="6" t="s">
        <v>87</v>
      </c>
      <c r="E50" s="7">
        <v>6</v>
      </c>
      <c r="F50" s="41">
        <v>2600</v>
      </c>
      <c r="G50" s="46"/>
      <c r="H50" s="39"/>
      <c r="I50" s="41"/>
      <c r="J50" s="41"/>
      <c r="K50" s="41"/>
      <c r="L50" s="41"/>
      <c r="M50" s="41"/>
      <c r="N50" s="41"/>
      <c r="O50" s="6" t="s">
        <v>197</v>
      </c>
      <c r="P50" s="41"/>
      <c r="Q50" s="41">
        <f t="shared" si="0"/>
        <v>15600</v>
      </c>
      <c r="R50" s="41">
        <f t="shared" si="1"/>
        <v>15600</v>
      </c>
    </row>
    <row r="51" spans="1:18" x14ac:dyDescent="0.2">
      <c r="A51" s="4">
        <v>43</v>
      </c>
      <c r="B51" s="67">
        <v>46092</v>
      </c>
      <c r="C51" s="6" t="s">
        <v>0</v>
      </c>
      <c r="D51" s="6" t="s">
        <v>86</v>
      </c>
      <c r="E51" s="7">
        <v>4</v>
      </c>
      <c r="F51" s="41">
        <v>3600</v>
      </c>
      <c r="G51" s="46"/>
      <c r="H51" s="39"/>
      <c r="I51" s="41"/>
      <c r="J51" s="41"/>
      <c r="K51" s="41"/>
      <c r="L51" s="41"/>
      <c r="M51" s="41"/>
      <c r="N51" s="41"/>
      <c r="O51" s="6" t="s">
        <v>197</v>
      </c>
      <c r="P51" s="41"/>
      <c r="Q51" s="41">
        <f t="shared" si="0"/>
        <v>14400</v>
      </c>
      <c r="R51" s="41">
        <f t="shared" si="1"/>
        <v>14400</v>
      </c>
    </row>
    <row r="52" spans="1:18" x14ac:dyDescent="0.2">
      <c r="A52" s="4">
        <v>44</v>
      </c>
      <c r="B52" s="67">
        <v>46092</v>
      </c>
      <c r="C52" s="6" t="s">
        <v>0</v>
      </c>
      <c r="D52" s="6" t="s">
        <v>87</v>
      </c>
      <c r="E52" s="7">
        <v>24</v>
      </c>
      <c r="F52" s="41">
        <v>2600</v>
      </c>
      <c r="G52" s="46"/>
      <c r="H52" s="39"/>
      <c r="I52" s="41"/>
      <c r="J52" s="41"/>
      <c r="K52" s="41"/>
      <c r="L52" s="41"/>
      <c r="M52" s="41"/>
      <c r="N52" s="41"/>
      <c r="O52" s="6" t="s">
        <v>197</v>
      </c>
      <c r="P52" s="41"/>
      <c r="Q52" s="41">
        <f t="shared" si="0"/>
        <v>62400</v>
      </c>
      <c r="R52" s="41">
        <f t="shared" si="1"/>
        <v>62400</v>
      </c>
    </row>
    <row r="53" spans="1:18" x14ac:dyDescent="0.2">
      <c r="A53" s="4">
        <v>45</v>
      </c>
      <c r="B53" s="67">
        <v>46092</v>
      </c>
      <c r="C53" s="6" t="s">
        <v>0</v>
      </c>
      <c r="D53" s="6" t="s">
        <v>86</v>
      </c>
      <c r="E53" s="7">
        <v>7</v>
      </c>
      <c r="F53" s="41">
        <v>3600</v>
      </c>
      <c r="G53" s="46"/>
      <c r="H53" s="39"/>
      <c r="I53" s="41"/>
      <c r="J53" s="41"/>
      <c r="K53" s="41"/>
      <c r="L53" s="41"/>
      <c r="M53" s="41"/>
      <c r="N53" s="41"/>
      <c r="O53" s="6" t="s">
        <v>197</v>
      </c>
      <c r="P53" s="41"/>
      <c r="Q53" s="41">
        <f t="shared" si="0"/>
        <v>25200</v>
      </c>
      <c r="R53" s="41">
        <f t="shared" si="1"/>
        <v>25200</v>
      </c>
    </row>
    <row r="54" spans="1:18" x14ac:dyDescent="0.2">
      <c r="A54" s="4">
        <v>46</v>
      </c>
      <c r="B54" s="67">
        <v>46092</v>
      </c>
      <c r="C54" s="6" t="s">
        <v>0</v>
      </c>
      <c r="D54" s="6" t="s">
        <v>87</v>
      </c>
      <c r="E54" s="7">
        <v>25</v>
      </c>
      <c r="F54" s="41">
        <v>2600</v>
      </c>
      <c r="G54" s="46"/>
      <c r="H54" s="39"/>
      <c r="I54" s="41"/>
      <c r="J54" s="41"/>
      <c r="K54" s="41"/>
      <c r="L54" s="41"/>
      <c r="M54" s="41"/>
      <c r="N54" s="41"/>
      <c r="O54" s="6" t="s">
        <v>197</v>
      </c>
      <c r="P54" s="41"/>
      <c r="Q54" s="41">
        <f t="shared" si="0"/>
        <v>65000</v>
      </c>
      <c r="R54" s="41">
        <f t="shared" si="1"/>
        <v>65000</v>
      </c>
    </row>
    <row r="55" spans="1:18" x14ac:dyDescent="0.2">
      <c r="A55" s="4">
        <v>47</v>
      </c>
      <c r="B55" s="67">
        <v>46092</v>
      </c>
      <c r="C55" s="6" t="s">
        <v>0</v>
      </c>
      <c r="D55" s="6" t="s">
        <v>101</v>
      </c>
      <c r="E55" s="7">
        <v>290</v>
      </c>
      <c r="F55" s="41">
        <v>1450</v>
      </c>
      <c r="G55" s="46"/>
      <c r="H55" s="39"/>
      <c r="I55" s="41"/>
      <c r="J55" s="41">
        <v>40</v>
      </c>
      <c r="K55" s="41"/>
      <c r="L55" s="41"/>
      <c r="M55" s="41"/>
      <c r="N55" s="41"/>
      <c r="O55" s="6" t="s">
        <v>197</v>
      </c>
      <c r="P55" s="41"/>
      <c r="Q55" s="41">
        <f t="shared" si="0"/>
        <v>420500</v>
      </c>
      <c r="R55" s="41">
        <f t="shared" si="1"/>
        <v>432100</v>
      </c>
    </row>
    <row r="56" spans="1:18" x14ac:dyDescent="0.2">
      <c r="A56" s="4">
        <v>48</v>
      </c>
      <c r="B56" s="67">
        <v>46111</v>
      </c>
      <c r="C56" s="6"/>
      <c r="D56" s="6" t="s">
        <v>105</v>
      </c>
      <c r="E56" s="7">
        <v>8</v>
      </c>
      <c r="F56" s="41">
        <v>12500</v>
      </c>
      <c r="G56" s="46"/>
      <c r="H56" s="39"/>
      <c r="I56" s="41"/>
      <c r="J56" s="41"/>
      <c r="K56" s="41"/>
      <c r="L56" s="41"/>
      <c r="M56" s="41"/>
      <c r="N56" s="41"/>
      <c r="O56" s="6" t="s">
        <v>197</v>
      </c>
      <c r="P56" s="41"/>
      <c r="Q56" s="41">
        <f t="shared" si="0"/>
        <v>100000</v>
      </c>
      <c r="R56" s="41">
        <f t="shared" si="1"/>
        <v>100000</v>
      </c>
    </row>
    <row r="57" spans="1:18" x14ac:dyDescent="0.2">
      <c r="A57" s="4">
        <v>49</v>
      </c>
      <c r="B57" s="67">
        <v>46111</v>
      </c>
      <c r="C57" s="6" t="s">
        <v>0</v>
      </c>
      <c r="D57" s="6" t="s">
        <v>86</v>
      </c>
      <c r="E57" s="7">
        <v>16</v>
      </c>
      <c r="F57" s="41">
        <v>3600</v>
      </c>
      <c r="G57" s="46"/>
      <c r="H57" s="39"/>
      <c r="I57" s="41"/>
      <c r="J57" s="41"/>
      <c r="K57" s="41"/>
      <c r="L57" s="41"/>
      <c r="M57" s="41"/>
      <c r="N57" s="41"/>
      <c r="O57" s="6" t="s">
        <v>197</v>
      </c>
      <c r="P57" s="41"/>
      <c r="Q57" s="41">
        <f t="shared" si="0"/>
        <v>57600</v>
      </c>
      <c r="R57" s="41">
        <f t="shared" si="1"/>
        <v>57600</v>
      </c>
    </row>
    <row r="58" spans="1:18" x14ac:dyDescent="0.2">
      <c r="A58" s="4">
        <v>50</v>
      </c>
      <c r="B58" s="67">
        <v>46111</v>
      </c>
      <c r="C58" s="6"/>
      <c r="D58" s="6" t="s">
        <v>85</v>
      </c>
      <c r="E58" s="7">
        <v>5</v>
      </c>
      <c r="F58" s="41">
        <v>3450</v>
      </c>
      <c r="G58" s="46"/>
      <c r="H58" s="39"/>
      <c r="I58" s="41"/>
      <c r="J58" s="41"/>
      <c r="K58" s="41"/>
      <c r="L58" s="41"/>
      <c r="M58" s="41"/>
      <c r="N58" s="41"/>
      <c r="O58" s="6" t="s">
        <v>197</v>
      </c>
      <c r="P58" s="41"/>
      <c r="Q58" s="41">
        <f t="shared" si="0"/>
        <v>17250</v>
      </c>
      <c r="R58" s="41">
        <f t="shared" si="1"/>
        <v>17250</v>
      </c>
    </row>
    <row r="59" spans="1:18" x14ac:dyDescent="0.2">
      <c r="A59" s="4">
        <v>51</v>
      </c>
      <c r="B59" s="67">
        <v>46111</v>
      </c>
      <c r="C59" s="6"/>
      <c r="D59" s="6" t="s">
        <v>87</v>
      </c>
      <c r="E59" s="7">
        <v>22</v>
      </c>
      <c r="F59" s="41">
        <v>2600</v>
      </c>
      <c r="G59" s="46"/>
      <c r="H59" s="39"/>
      <c r="I59" s="41"/>
      <c r="J59" s="41"/>
      <c r="K59" s="41"/>
      <c r="L59" s="41"/>
      <c r="M59" s="41"/>
      <c r="N59" s="41"/>
      <c r="O59" s="6" t="s">
        <v>197</v>
      </c>
      <c r="P59" s="41"/>
      <c r="Q59" s="41">
        <f t="shared" si="0"/>
        <v>57200</v>
      </c>
      <c r="R59" s="41">
        <f t="shared" si="1"/>
        <v>57200</v>
      </c>
    </row>
    <row r="60" spans="1:18" x14ac:dyDescent="0.2">
      <c r="A60" s="4">
        <v>52</v>
      </c>
      <c r="B60" s="67">
        <v>46111</v>
      </c>
      <c r="C60" s="6"/>
      <c r="D60" s="6" t="s">
        <v>93</v>
      </c>
      <c r="E60" s="7">
        <v>4</v>
      </c>
      <c r="F60" s="41">
        <v>2400</v>
      </c>
      <c r="G60" s="46"/>
      <c r="H60" s="39"/>
      <c r="I60" s="41"/>
      <c r="J60" s="41"/>
      <c r="K60" s="41"/>
      <c r="L60" s="41"/>
      <c r="M60" s="41"/>
      <c r="N60" s="41"/>
      <c r="O60" s="6" t="s">
        <v>197</v>
      </c>
      <c r="P60" s="41"/>
      <c r="Q60" s="41">
        <f t="shared" si="0"/>
        <v>9600</v>
      </c>
      <c r="R60" s="41">
        <f t="shared" si="1"/>
        <v>9600</v>
      </c>
    </row>
    <row r="61" spans="1:18" x14ac:dyDescent="0.2">
      <c r="A61" s="4">
        <v>53</v>
      </c>
      <c r="B61" s="67">
        <v>46111</v>
      </c>
      <c r="C61" s="6"/>
      <c r="D61" s="6" t="s">
        <v>105</v>
      </c>
      <c r="E61" s="7">
        <v>14</v>
      </c>
      <c r="F61" s="41">
        <v>12500</v>
      </c>
      <c r="G61" s="46"/>
      <c r="H61" s="39"/>
      <c r="I61" s="41"/>
      <c r="J61" s="41"/>
      <c r="K61" s="41"/>
      <c r="L61" s="41"/>
      <c r="M61" s="41"/>
      <c r="N61" s="41"/>
      <c r="O61" s="6" t="s">
        <v>197</v>
      </c>
      <c r="P61" s="41"/>
      <c r="Q61" s="41">
        <f t="shared" si="0"/>
        <v>175000</v>
      </c>
      <c r="R61" s="41">
        <f t="shared" si="1"/>
        <v>175000</v>
      </c>
    </row>
    <row r="62" spans="1:18" x14ac:dyDescent="0.2">
      <c r="A62" s="4">
        <v>54</v>
      </c>
      <c r="B62" s="67">
        <v>46111</v>
      </c>
      <c r="C62" s="6"/>
      <c r="D62" s="6" t="s">
        <v>101</v>
      </c>
      <c r="E62" s="7">
        <v>111</v>
      </c>
      <c r="F62" s="41">
        <v>1450</v>
      </c>
      <c r="G62" s="46"/>
      <c r="H62" s="39"/>
      <c r="I62" s="41"/>
      <c r="J62" s="41">
        <v>40</v>
      </c>
      <c r="K62" s="41"/>
      <c r="L62" s="41"/>
      <c r="M62" s="41"/>
      <c r="N62" s="41"/>
      <c r="O62" s="6" t="s">
        <v>197</v>
      </c>
      <c r="P62" s="41"/>
      <c r="Q62" s="41">
        <f t="shared" si="0"/>
        <v>160950</v>
      </c>
      <c r="R62" s="41">
        <f t="shared" si="1"/>
        <v>165390</v>
      </c>
    </row>
    <row r="63" spans="1:18" x14ac:dyDescent="0.2">
      <c r="A63" s="4">
        <v>55</v>
      </c>
      <c r="B63" s="67">
        <v>46111</v>
      </c>
      <c r="C63" s="6"/>
      <c r="D63" s="6" t="s">
        <v>101</v>
      </c>
      <c r="E63" s="7">
        <v>190</v>
      </c>
      <c r="F63" s="41">
        <v>1450</v>
      </c>
      <c r="G63" s="46"/>
      <c r="H63" s="39"/>
      <c r="I63" s="41"/>
      <c r="J63" s="41">
        <v>40</v>
      </c>
      <c r="K63" s="41"/>
      <c r="L63" s="41"/>
      <c r="M63" s="41"/>
      <c r="N63" s="41"/>
      <c r="O63" s="6" t="s">
        <v>197</v>
      </c>
      <c r="P63" s="41"/>
      <c r="Q63" s="41">
        <f t="shared" si="0"/>
        <v>275500</v>
      </c>
      <c r="R63" s="41">
        <f t="shared" si="1"/>
        <v>283100</v>
      </c>
    </row>
    <row r="64" spans="1:18" x14ac:dyDescent="0.2">
      <c r="A64" s="4">
        <v>56</v>
      </c>
      <c r="B64" s="67">
        <v>46111</v>
      </c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 t="s">
        <v>198</v>
      </c>
      <c r="P64" s="41">
        <v>636300</v>
      </c>
      <c r="Q64" s="41">
        <f t="shared" si="0"/>
        <v>0</v>
      </c>
      <c r="R64" s="41">
        <f t="shared" si="1"/>
        <v>-636300</v>
      </c>
    </row>
    <row r="65" spans="1:18" x14ac:dyDescent="0.2">
      <c r="A65" s="4">
        <v>57</v>
      </c>
      <c r="B65" s="67">
        <v>46116</v>
      </c>
      <c r="C65" s="6"/>
      <c r="D65" s="6" t="s">
        <v>105</v>
      </c>
      <c r="E65" s="7">
        <v>-13</v>
      </c>
      <c r="F65" s="41">
        <v>12500</v>
      </c>
      <c r="G65" s="46"/>
      <c r="H65" s="39"/>
      <c r="I65" s="41"/>
      <c r="J65" s="41"/>
      <c r="K65" s="41"/>
      <c r="L65" s="41"/>
      <c r="M65" s="41"/>
      <c r="N65" s="41"/>
      <c r="O65" s="6" t="s">
        <v>197</v>
      </c>
      <c r="P65" s="41"/>
      <c r="Q65" s="41">
        <f t="shared" si="0"/>
        <v>-162500</v>
      </c>
      <c r="R65" s="41">
        <f t="shared" si="1"/>
        <v>-162500</v>
      </c>
    </row>
    <row r="66" spans="1:18" x14ac:dyDescent="0.2">
      <c r="A66" s="4">
        <v>58</v>
      </c>
      <c r="B66" s="67">
        <v>46116</v>
      </c>
      <c r="C66" s="6" t="s">
        <v>0</v>
      </c>
      <c r="D66" s="6" t="s">
        <v>86</v>
      </c>
      <c r="E66" s="7">
        <v>5</v>
      </c>
      <c r="F66" s="41">
        <v>3600</v>
      </c>
      <c r="G66" s="46"/>
      <c r="H66" s="39"/>
      <c r="I66" s="41"/>
      <c r="J66" s="41"/>
      <c r="K66" s="41"/>
      <c r="L66" s="41"/>
      <c r="M66" s="41"/>
      <c r="N66" s="41"/>
      <c r="O66" s="6" t="s">
        <v>197</v>
      </c>
      <c r="P66" s="41"/>
      <c r="Q66" s="41">
        <f t="shared" si="0"/>
        <v>18000</v>
      </c>
      <c r="R66" s="41">
        <f t="shared" si="1"/>
        <v>18000</v>
      </c>
    </row>
    <row r="67" spans="1:18" x14ac:dyDescent="0.2">
      <c r="A67" s="4">
        <v>59</v>
      </c>
      <c r="B67" s="67">
        <v>46116</v>
      </c>
      <c r="C67" s="6"/>
      <c r="D67" s="6" t="s">
        <v>87</v>
      </c>
      <c r="E67" s="7">
        <v>10</v>
      </c>
      <c r="F67" s="41">
        <v>2600</v>
      </c>
      <c r="G67" s="46"/>
      <c r="H67" s="39"/>
      <c r="I67" s="41"/>
      <c r="J67" s="41"/>
      <c r="K67" s="41"/>
      <c r="L67" s="41"/>
      <c r="M67" s="41"/>
      <c r="N67" s="41"/>
      <c r="O67" s="6" t="s">
        <v>197</v>
      </c>
      <c r="P67" s="41"/>
      <c r="Q67" s="41">
        <f t="shared" si="0"/>
        <v>26000</v>
      </c>
      <c r="R67" s="41">
        <f t="shared" si="1"/>
        <v>26000</v>
      </c>
    </row>
    <row r="68" spans="1:18" x14ac:dyDescent="0.2">
      <c r="A68" s="4">
        <v>60</v>
      </c>
      <c r="B68" s="67">
        <v>46116</v>
      </c>
      <c r="C68" s="6"/>
      <c r="D68" s="6" t="s">
        <v>85</v>
      </c>
      <c r="E68" s="7">
        <v>18</v>
      </c>
      <c r="F68" s="41">
        <v>3450</v>
      </c>
      <c r="G68" s="46"/>
      <c r="H68" s="39"/>
      <c r="I68" s="41"/>
      <c r="J68" s="41"/>
      <c r="K68" s="41"/>
      <c r="L68" s="41"/>
      <c r="M68" s="41"/>
      <c r="N68" s="41"/>
      <c r="O68" s="6" t="s">
        <v>197</v>
      </c>
      <c r="P68" s="41"/>
      <c r="Q68" s="41">
        <f t="shared" si="0"/>
        <v>62100</v>
      </c>
      <c r="R68" s="41">
        <f t="shared" si="1"/>
        <v>62100</v>
      </c>
    </row>
    <row r="69" spans="1:18" x14ac:dyDescent="0.2">
      <c r="A69" s="4">
        <v>61</v>
      </c>
      <c r="B69" s="67">
        <v>46116</v>
      </c>
      <c r="C69" s="6"/>
      <c r="D69" s="6" t="s">
        <v>91</v>
      </c>
      <c r="E69" s="7">
        <v>4</v>
      </c>
      <c r="F69" s="41">
        <v>3300</v>
      </c>
      <c r="G69" s="46"/>
      <c r="H69" s="39"/>
      <c r="I69" s="41"/>
      <c r="J69" s="41"/>
      <c r="K69" s="41"/>
      <c r="L69" s="41"/>
      <c r="M69" s="41"/>
      <c r="N69" s="41"/>
      <c r="O69" s="6" t="s">
        <v>197</v>
      </c>
      <c r="P69" s="41"/>
      <c r="Q69" s="41">
        <f t="shared" si="0"/>
        <v>13200</v>
      </c>
      <c r="R69" s="41">
        <f t="shared" si="1"/>
        <v>13200</v>
      </c>
    </row>
    <row r="70" spans="1:18" x14ac:dyDescent="0.2">
      <c r="A70" s="4">
        <v>62</v>
      </c>
      <c r="B70" s="67">
        <v>46116</v>
      </c>
      <c r="C70" s="6"/>
      <c r="D70" s="6" t="s">
        <v>87</v>
      </c>
      <c r="E70" s="7">
        <v>4</v>
      </c>
      <c r="F70" s="41">
        <v>2600</v>
      </c>
      <c r="G70" s="46"/>
      <c r="H70" s="39"/>
      <c r="I70" s="41"/>
      <c r="J70" s="41"/>
      <c r="K70" s="41"/>
      <c r="L70" s="41"/>
      <c r="M70" s="41"/>
      <c r="N70" s="41"/>
      <c r="O70" s="6" t="s">
        <v>197</v>
      </c>
      <c r="P70" s="41"/>
      <c r="Q70" s="41">
        <f t="shared" si="0"/>
        <v>10400</v>
      </c>
      <c r="R70" s="41">
        <f t="shared" si="1"/>
        <v>10400</v>
      </c>
    </row>
    <row r="71" spans="1:18" x14ac:dyDescent="0.2">
      <c r="A71" s="4">
        <v>63</v>
      </c>
      <c r="B71" s="67">
        <v>46116</v>
      </c>
      <c r="C71" s="6"/>
      <c r="D71" s="6" t="s">
        <v>101</v>
      </c>
      <c r="E71" s="7">
        <v>190</v>
      </c>
      <c r="F71" s="41">
        <v>1450</v>
      </c>
      <c r="G71" s="46"/>
      <c r="H71" s="39"/>
      <c r="I71" s="41"/>
      <c r="J71" s="41">
        <v>40</v>
      </c>
      <c r="K71" s="41"/>
      <c r="L71" s="41"/>
      <c r="M71" s="41"/>
      <c r="N71" s="41"/>
      <c r="O71" s="6" t="s">
        <v>197</v>
      </c>
      <c r="P71" s="41"/>
      <c r="Q71" s="41">
        <f t="shared" si="0"/>
        <v>275500</v>
      </c>
      <c r="R71" s="41">
        <f t="shared" si="1"/>
        <v>283100</v>
      </c>
    </row>
    <row r="72" spans="1:18" x14ac:dyDescent="0.2">
      <c r="A72" s="4">
        <v>64</v>
      </c>
      <c r="B72" s="67">
        <v>46121</v>
      </c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 t="s">
        <v>198</v>
      </c>
      <c r="P72" s="41">
        <v>400000</v>
      </c>
      <c r="Q72" s="41">
        <f t="shared" si="0"/>
        <v>0</v>
      </c>
      <c r="R72" s="41">
        <f t="shared" si="1"/>
        <v>-400000</v>
      </c>
    </row>
    <row r="73" spans="1:18" x14ac:dyDescent="0.2">
      <c r="A73" s="4">
        <v>65</v>
      </c>
      <c r="B73" s="67">
        <v>46122</v>
      </c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 t="s">
        <v>198</v>
      </c>
      <c r="P73" s="41">
        <v>346640</v>
      </c>
      <c r="Q73" s="41">
        <f t="shared" si="0"/>
        <v>0</v>
      </c>
      <c r="R73" s="41">
        <f t="shared" si="1"/>
        <v>-346640</v>
      </c>
    </row>
    <row r="74" spans="1:18" x14ac:dyDescent="0.2">
      <c r="A74" s="4">
        <v>66</v>
      </c>
      <c r="B74" s="67">
        <v>46129</v>
      </c>
      <c r="C74" s="6"/>
      <c r="D74" s="6" t="s">
        <v>85</v>
      </c>
      <c r="E74" s="7">
        <v>10</v>
      </c>
      <c r="F74" s="41">
        <v>3450</v>
      </c>
      <c r="G74" s="46"/>
      <c r="H74" s="39"/>
      <c r="I74" s="41"/>
      <c r="J74" s="41"/>
      <c r="K74" s="41"/>
      <c r="L74" s="41"/>
      <c r="M74" s="41"/>
      <c r="N74" s="41"/>
      <c r="O74" s="6" t="s">
        <v>197</v>
      </c>
      <c r="P74" s="41"/>
      <c r="Q74" s="41">
        <f t="shared" ref="Q74:Q137" si="2">E74*F74</f>
        <v>34500</v>
      </c>
      <c r="R74" s="41">
        <f t="shared" si="1"/>
        <v>34500</v>
      </c>
    </row>
    <row r="75" spans="1:18" x14ac:dyDescent="0.2">
      <c r="A75" s="4">
        <v>67</v>
      </c>
      <c r="B75" s="67">
        <v>46129</v>
      </c>
      <c r="C75" s="6"/>
      <c r="D75" s="6" t="s">
        <v>86</v>
      </c>
      <c r="E75" s="7">
        <v>10</v>
      </c>
      <c r="F75" s="41">
        <v>3600</v>
      </c>
      <c r="G75" s="46"/>
      <c r="H75" s="39"/>
      <c r="I75" s="41"/>
      <c r="J75" s="41"/>
      <c r="K75" s="41"/>
      <c r="L75" s="41"/>
      <c r="M75" s="41"/>
      <c r="N75" s="41"/>
      <c r="O75" s="6" t="s">
        <v>197</v>
      </c>
      <c r="P75" s="41"/>
      <c r="Q75" s="41">
        <f t="shared" si="2"/>
        <v>36000</v>
      </c>
      <c r="R75" s="41">
        <f t="shared" ref="R75:R138" si="3">IF(O75=$U$3,(Q75*G75)+(Q75*H75)+(E75*J75)+(L75)+I75+K75+M75+N75+Q75,IF(O75=$U$4,-P75,""))</f>
        <v>36000</v>
      </c>
    </row>
    <row r="76" spans="1:18" x14ac:dyDescent="0.2">
      <c r="A76" s="4">
        <v>68</v>
      </c>
      <c r="B76" s="67">
        <v>46129</v>
      </c>
      <c r="C76" s="6"/>
      <c r="D76" s="6" t="s">
        <v>87</v>
      </c>
      <c r="E76" s="7">
        <v>14</v>
      </c>
      <c r="F76" s="41">
        <v>2600</v>
      </c>
      <c r="G76" s="46"/>
      <c r="H76" s="39"/>
      <c r="I76" s="41"/>
      <c r="J76" s="41"/>
      <c r="K76" s="41"/>
      <c r="L76" s="41"/>
      <c r="M76" s="41"/>
      <c r="N76" s="41"/>
      <c r="O76" s="6" t="s">
        <v>197</v>
      </c>
      <c r="P76" s="41"/>
      <c r="Q76" s="41">
        <f t="shared" si="2"/>
        <v>36400</v>
      </c>
      <c r="R76" s="41">
        <f t="shared" si="3"/>
        <v>36400</v>
      </c>
    </row>
    <row r="77" spans="1:18" x14ac:dyDescent="0.2">
      <c r="A77" s="4">
        <v>69</v>
      </c>
      <c r="B77" s="67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67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67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67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67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67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67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67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67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67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67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67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67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67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67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67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67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67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67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67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67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67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67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67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67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67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67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67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67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67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67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67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67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67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67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67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67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67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67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67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67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67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67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67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67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67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67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67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67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67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67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67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67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67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67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67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67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67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67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67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67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67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67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67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67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67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67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67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67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67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67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67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67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67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67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67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67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67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67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67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67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67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67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67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67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67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67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67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67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67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67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67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67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67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67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67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67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67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67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67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67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67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67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67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67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67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67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67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67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67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67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67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67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67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67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67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67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67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67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67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67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67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67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67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67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67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67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67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67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67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67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67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91" priority="3" operator="equal">
      <formula>"ERROR"</formula>
    </cfRule>
  </conditionalFormatting>
  <conditionalFormatting sqref="D4">
    <cfRule type="cellIs" dxfId="190" priority="1" operator="lessThanOrEqual">
      <formula>0</formula>
    </cfRule>
    <cfRule type="cellIs" dxfId="189" priority="2" operator="greaterThan">
      <formula>0</formula>
    </cfRule>
  </conditionalFormatting>
  <dataValidations count="1">
    <dataValidation type="list" allowBlank="1" showInputMessage="1" showErrorMessage="1" sqref="O9:O1048576" xr:uid="{C3DBD3CC-392F-884A-A1B9-4F42EDF1814D}">
      <formula1>$U$3:$U$4</formula1>
    </dataValidation>
  </dataValidations>
  <hyperlinks>
    <hyperlink ref="E1:G1" location="'Master Sheet'!A1" display="GO BACK TO MASTER SHEET" xr:uid="{6282C71F-DD9F-C544-9870-0621F5579124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C12FB919-D6C5-E54E-B17E-8797DC98F8F6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C7F30E67-89A8-6B47-A640-0985254E0B06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57DF-5061-9A46-A656-7E7A9DBABB62}">
  <sheetPr codeName="Sheet27"/>
  <dimension ref="A1:V208"/>
  <sheetViews>
    <sheetView showGridLines="0" zoomScale="90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Tanveer drum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V020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>
        <v>46077</v>
      </c>
      <c r="C9" s="6" t="s">
        <v>0</v>
      </c>
      <c r="D9" s="6" t="s">
        <v>85</v>
      </c>
      <c r="E9" s="7">
        <v>10</v>
      </c>
      <c r="F9" s="41">
        <v>3600</v>
      </c>
      <c r="G9" s="46"/>
      <c r="H9" s="39"/>
      <c r="I9" s="41"/>
      <c r="J9" s="41"/>
      <c r="K9" s="41"/>
      <c r="L9" s="41"/>
      <c r="M9" s="41"/>
      <c r="N9" s="41"/>
      <c r="O9" s="6" t="s">
        <v>197</v>
      </c>
      <c r="P9" s="41"/>
      <c r="Q9" s="41">
        <f>E9*F9</f>
        <v>36000</v>
      </c>
      <c r="R9" s="41">
        <f>IF(O9=$U$3,(-Q9*G9)+(Q9*H9)+(E9*J9)+(L9)+I9+K9+M9+N9+Q9,IF(O9=$U$4,-P9,""))</f>
        <v>36000</v>
      </c>
    </row>
    <row r="10" spans="1:22" x14ac:dyDescent="0.2">
      <c r="A10" s="4">
        <v>2</v>
      </c>
      <c r="B10" s="5">
        <v>46077</v>
      </c>
      <c r="C10" s="6" t="s">
        <v>0</v>
      </c>
      <c r="D10" s="6" t="s">
        <v>90</v>
      </c>
      <c r="E10" s="7">
        <v>21</v>
      </c>
      <c r="F10" s="41">
        <v>3300</v>
      </c>
      <c r="G10" s="46"/>
      <c r="H10" s="39"/>
      <c r="I10" s="41"/>
      <c r="J10" s="41"/>
      <c r="K10" s="41"/>
      <c r="L10" s="41"/>
      <c r="M10" s="41"/>
      <c r="N10" s="41"/>
      <c r="O10" s="6" t="s">
        <v>197</v>
      </c>
      <c r="P10" s="41"/>
      <c r="Q10" s="41">
        <f t="shared" ref="Q10:Q73" si="0">E10*F10</f>
        <v>69300</v>
      </c>
      <c r="R10" s="41">
        <f>IF(O10=$U$3,(Q10*G10)+(Q10*H10)+(E10*J10)+(L10)+I10+K10+M10+N10+Q10,IF(O10=$U$4,-P10,""))</f>
        <v>69300</v>
      </c>
    </row>
    <row r="11" spans="1:22" x14ac:dyDescent="0.2">
      <c r="A11" s="4">
        <v>3</v>
      </c>
      <c r="B11" s="5">
        <v>46077</v>
      </c>
      <c r="C11" s="6" t="s">
        <v>0</v>
      </c>
      <c r="D11" s="6" t="s">
        <v>93</v>
      </c>
      <c r="E11" s="7">
        <v>2</v>
      </c>
      <c r="F11" s="41">
        <v>2500</v>
      </c>
      <c r="G11" s="46"/>
      <c r="H11" s="39"/>
      <c r="I11" s="41"/>
      <c r="J11" s="41"/>
      <c r="K11" s="41"/>
      <c r="L11" s="41"/>
      <c r="M11" s="41"/>
      <c r="N11" s="41"/>
      <c r="O11" s="6" t="s">
        <v>197</v>
      </c>
      <c r="P11" s="41"/>
      <c r="Q11" s="41">
        <f t="shared" si="0"/>
        <v>5000</v>
      </c>
      <c r="R11" s="41">
        <f t="shared" ref="R11:R74" si="1">IF(O11=$U$3,(Q11*G11)+(Q11*H11)+(E11*J11)+(L11)+I11+K11+M11+N11+Q11,IF(O11=$U$4,-P11,""))</f>
        <v>5000</v>
      </c>
    </row>
    <row r="12" spans="1:22" x14ac:dyDescent="0.2">
      <c r="A12" s="4">
        <v>4</v>
      </c>
      <c r="B12" s="5">
        <v>46077</v>
      </c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 t="s">
        <v>198</v>
      </c>
      <c r="P12" s="41">
        <v>110300</v>
      </c>
      <c r="Q12" s="41">
        <f t="shared" si="0"/>
        <v>0</v>
      </c>
      <c r="R12" s="41">
        <f t="shared" si="1"/>
        <v>-110300</v>
      </c>
    </row>
    <row r="13" spans="1:22" x14ac:dyDescent="0.2">
      <c r="A13" s="4">
        <v>5</v>
      </c>
      <c r="B13" s="5">
        <v>46084</v>
      </c>
      <c r="C13" s="6" t="s">
        <v>0</v>
      </c>
      <c r="D13" s="6" t="s">
        <v>86</v>
      </c>
      <c r="E13" s="7">
        <v>4</v>
      </c>
      <c r="F13" s="41">
        <v>3600</v>
      </c>
      <c r="G13" s="46"/>
      <c r="H13" s="39"/>
      <c r="I13" s="41"/>
      <c r="J13" s="41"/>
      <c r="K13" s="41"/>
      <c r="L13" s="41"/>
      <c r="M13" s="41"/>
      <c r="N13" s="41"/>
      <c r="O13" s="6" t="s">
        <v>197</v>
      </c>
      <c r="P13" s="41"/>
      <c r="Q13" s="41">
        <f t="shared" si="0"/>
        <v>14400</v>
      </c>
      <c r="R13" s="41">
        <f t="shared" si="1"/>
        <v>14400</v>
      </c>
    </row>
    <row r="14" spans="1:22" x14ac:dyDescent="0.2">
      <c r="A14" s="4">
        <v>6</v>
      </c>
      <c r="B14" s="5">
        <v>46084</v>
      </c>
      <c r="C14" s="70" t="s">
        <v>0</v>
      </c>
      <c r="D14" s="70" t="s">
        <v>85</v>
      </c>
      <c r="E14" s="71">
        <v>36</v>
      </c>
      <c r="F14" s="72">
        <v>3500</v>
      </c>
      <c r="G14" s="73"/>
      <c r="H14" s="74"/>
      <c r="I14" s="72"/>
      <c r="J14" s="72"/>
      <c r="K14" s="72"/>
      <c r="L14" s="72"/>
      <c r="M14" s="72"/>
      <c r="N14" s="72"/>
      <c r="O14" s="70" t="s">
        <v>197</v>
      </c>
      <c r="P14" s="72"/>
      <c r="Q14" s="41">
        <f t="shared" si="0"/>
        <v>126000</v>
      </c>
      <c r="R14" s="41">
        <f t="shared" si="1"/>
        <v>126000</v>
      </c>
    </row>
    <row r="15" spans="1:22" x14ac:dyDescent="0.2">
      <c r="A15" s="4">
        <v>7</v>
      </c>
      <c r="B15" s="5">
        <v>46084</v>
      </c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 t="s">
        <v>198</v>
      </c>
      <c r="P15" s="41">
        <v>140400</v>
      </c>
      <c r="Q15" s="41">
        <f t="shared" si="0"/>
        <v>0</v>
      </c>
      <c r="R15" s="41">
        <f t="shared" si="1"/>
        <v>-140400</v>
      </c>
    </row>
    <row r="16" spans="1:22" x14ac:dyDescent="0.2">
      <c r="A16" s="4">
        <v>8</v>
      </c>
      <c r="B16" s="5">
        <v>46093</v>
      </c>
      <c r="C16" s="6"/>
      <c r="D16" s="6" t="s">
        <v>86</v>
      </c>
      <c r="E16" s="7">
        <v>39</v>
      </c>
      <c r="F16" s="41">
        <v>3600</v>
      </c>
      <c r="G16" s="46"/>
      <c r="H16" s="39"/>
      <c r="I16" s="41"/>
      <c r="J16" s="41"/>
      <c r="K16" s="41"/>
      <c r="L16" s="41"/>
      <c r="M16" s="41"/>
      <c r="N16" s="41"/>
      <c r="O16" s="70" t="s">
        <v>197</v>
      </c>
      <c r="P16" s="41"/>
      <c r="Q16" s="41">
        <f t="shared" si="0"/>
        <v>140400</v>
      </c>
      <c r="R16" s="41">
        <f t="shared" si="1"/>
        <v>140400</v>
      </c>
    </row>
    <row r="17" spans="1:18" x14ac:dyDescent="0.2">
      <c r="A17" s="4">
        <v>9</v>
      </c>
      <c r="B17" s="5">
        <v>46093</v>
      </c>
      <c r="C17" s="6"/>
      <c r="D17" s="6" t="s">
        <v>90</v>
      </c>
      <c r="E17" s="7">
        <v>10</v>
      </c>
      <c r="F17" s="41">
        <v>3300</v>
      </c>
      <c r="G17" s="46"/>
      <c r="H17" s="39"/>
      <c r="I17" s="41"/>
      <c r="J17" s="41"/>
      <c r="K17" s="41"/>
      <c r="L17" s="41"/>
      <c r="M17" s="41"/>
      <c r="N17" s="41"/>
      <c r="O17" s="70" t="s">
        <v>197</v>
      </c>
      <c r="P17" s="41"/>
      <c r="Q17" s="41">
        <f t="shared" si="0"/>
        <v>33000</v>
      </c>
      <c r="R17" s="41">
        <f t="shared" si="1"/>
        <v>33000</v>
      </c>
    </row>
    <row r="18" spans="1:18" x14ac:dyDescent="0.2">
      <c r="A18" s="4">
        <v>10</v>
      </c>
      <c r="B18" s="5">
        <v>46093</v>
      </c>
      <c r="C18" s="6"/>
      <c r="D18" s="6" t="s">
        <v>86</v>
      </c>
      <c r="E18" s="7">
        <v>7</v>
      </c>
      <c r="F18" s="41">
        <v>3600</v>
      </c>
      <c r="G18" s="46"/>
      <c r="H18" s="39"/>
      <c r="I18" s="41"/>
      <c r="J18" s="41"/>
      <c r="K18" s="41"/>
      <c r="L18" s="41"/>
      <c r="M18" s="41"/>
      <c r="N18" s="41"/>
      <c r="O18" s="70" t="s">
        <v>197</v>
      </c>
      <c r="P18" s="41"/>
      <c r="Q18" s="41">
        <f t="shared" si="0"/>
        <v>25200</v>
      </c>
      <c r="R18" s="41">
        <f t="shared" si="1"/>
        <v>25200</v>
      </c>
    </row>
    <row r="19" spans="1:18" x14ac:dyDescent="0.2">
      <c r="A19" s="4">
        <v>11</v>
      </c>
      <c r="B19" s="5">
        <v>46093</v>
      </c>
      <c r="C19" s="6"/>
      <c r="D19" s="6" t="s">
        <v>85</v>
      </c>
      <c r="E19" s="7">
        <v>55</v>
      </c>
      <c r="F19" s="41">
        <v>3500</v>
      </c>
      <c r="G19" s="46"/>
      <c r="H19" s="39"/>
      <c r="I19" s="41"/>
      <c r="J19" s="41"/>
      <c r="K19" s="41"/>
      <c r="L19" s="41"/>
      <c r="M19" s="41"/>
      <c r="N19" s="41"/>
      <c r="O19" s="70" t="s">
        <v>197</v>
      </c>
      <c r="P19" s="41"/>
      <c r="Q19" s="41">
        <f t="shared" si="0"/>
        <v>192500</v>
      </c>
      <c r="R19" s="41">
        <f t="shared" si="1"/>
        <v>192500</v>
      </c>
    </row>
    <row r="20" spans="1:18" x14ac:dyDescent="0.2">
      <c r="A20" s="4">
        <v>12</v>
      </c>
      <c r="B20" s="5">
        <v>46093</v>
      </c>
      <c r="C20" s="6"/>
      <c r="D20" s="6" t="s">
        <v>93</v>
      </c>
      <c r="E20" s="7">
        <v>1</v>
      </c>
      <c r="F20" s="41">
        <v>2500</v>
      </c>
      <c r="G20" s="46"/>
      <c r="H20" s="39"/>
      <c r="I20" s="41"/>
      <c r="J20" s="41"/>
      <c r="K20" s="41"/>
      <c r="L20" s="41"/>
      <c r="M20" s="41"/>
      <c r="N20" s="41"/>
      <c r="O20" s="70" t="s">
        <v>197</v>
      </c>
      <c r="P20" s="41"/>
      <c r="Q20" s="41">
        <f t="shared" si="0"/>
        <v>2500</v>
      </c>
      <c r="R20" s="41">
        <f t="shared" si="1"/>
        <v>2500</v>
      </c>
    </row>
    <row r="21" spans="1:18" x14ac:dyDescent="0.2">
      <c r="A21" s="4">
        <v>13</v>
      </c>
      <c r="B21" s="5">
        <v>46093</v>
      </c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 t="s">
        <v>198</v>
      </c>
      <c r="P21" s="41">
        <v>150000</v>
      </c>
      <c r="Q21" s="41">
        <f t="shared" si="0"/>
        <v>0</v>
      </c>
      <c r="R21" s="41">
        <f t="shared" si="1"/>
        <v>-150000</v>
      </c>
    </row>
    <row r="22" spans="1:18" x14ac:dyDescent="0.2">
      <c r="A22" s="4">
        <v>14</v>
      </c>
      <c r="B22" s="5">
        <v>46093</v>
      </c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 t="s">
        <v>198</v>
      </c>
      <c r="P22" s="41">
        <v>243600</v>
      </c>
      <c r="Q22" s="41">
        <f t="shared" si="0"/>
        <v>0</v>
      </c>
      <c r="R22" s="41">
        <f t="shared" si="1"/>
        <v>-243600</v>
      </c>
    </row>
    <row r="23" spans="1:18" x14ac:dyDescent="0.2">
      <c r="A23" s="4">
        <v>15</v>
      </c>
      <c r="B23" s="5">
        <v>46126</v>
      </c>
      <c r="C23" s="6"/>
      <c r="D23" s="6" t="s">
        <v>86</v>
      </c>
      <c r="E23" s="7">
        <v>29</v>
      </c>
      <c r="F23" s="41">
        <v>3600</v>
      </c>
      <c r="G23" s="46"/>
      <c r="H23" s="39"/>
      <c r="I23" s="41"/>
      <c r="J23" s="41"/>
      <c r="K23" s="41"/>
      <c r="L23" s="41"/>
      <c r="M23" s="41"/>
      <c r="N23" s="41"/>
      <c r="O23" s="70" t="s">
        <v>197</v>
      </c>
      <c r="P23" s="41"/>
      <c r="Q23" s="41">
        <f t="shared" si="0"/>
        <v>104400</v>
      </c>
      <c r="R23" s="41">
        <f t="shared" si="1"/>
        <v>104400</v>
      </c>
    </row>
    <row r="24" spans="1:18" x14ac:dyDescent="0.2">
      <c r="A24" s="4">
        <v>16</v>
      </c>
      <c r="B24" s="5">
        <v>46126</v>
      </c>
      <c r="C24" s="6"/>
      <c r="D24" s="6" t="s">
        <v>86</v>
      </c>
      <c r="E24" s="7">
        <v>2</v>
      </c>
      <c r="F24" s="41">
        <v>3600</v>
      </c>
      <c r="G24" s="46"/>
      <c r="H24" s="39"/>
      <c r="I24" s="41"/>
      <c r="J24" s="41"/>
      <c r="K24" s="41"/>
      <c r="L24" s="41"/>
      <c r="M24" s="41"/>
      <c r="N24" s="41"/>
      <c r="O24" s="70" t="s">
        <v>197</v>
      </c>
      <c r="P24" s="41"/>
      <c r="Q24" s="41">
        <f t="shared" si="0"/>
        <v>7200</v>
      </c>
      <c r="R24" s="41">
        <f t="shared" si="1"/>
        <v>7200</v>
      </c>
    </row>
    <row r="25" spans="1:18" x14ac:dyDescent="0.2">
      <c r="A25" s="4">
        <v>17</v>
      </c>
      <c r="B25" s="5">
        <v>46126</v>
      </c>
      <c r="C25" s="6"/>
      <c r="D25" s="6" t="s">
        <v>85</v>
      </c>
      <c r="E25" s="7">
        <v>17</v>
      </c>
      <c r="F25" s="41">
        <v>3500</v>
      </c>
      <c r="G25" s="46"/>
      <c r="H25" s="39"/>
      <c r="I25" s="41"/>
      <c r="J25" s="41"/>
      <c r="K25" s="41"/>
      <c r="L25" s="41"/>
      <c r="M25" s="41"/>
      <c r="N25" s="41"/>
      <c r="O25" s="70" t="s">
        <v>197</v>
      </c>
      <c r="P25" s="41"/>
      <c r="Q25" s="41">
        <f t="shared" si="0"/>
        <v>59500</v>
      </c>
      <c r="R25" s="41">
        <f t="shared" si="1"/>
        <v>59500</v>
      </c>
    </row>
    <row r="26" spans="1:18" x14ac:dyDescent="0.2">
      <c r="A26" s="4">
        <v>18</v>
      </c>
      <c r="B26" s="5">
        <v>46126</v>
      </c>
      <c r="C26" s="6"/>
      <c r="D26" s="6" t="s">
        <v>93</v>
      </c>
      <c r="E26" s="7">
        <v>14</v>
      </c>
      <c r="F26" s="41">
        <v>2600</v>
      </c>
      <c r="G26" s="46"/>
      <c r="H26" s="39"/>
      <c r="I26" s="41"/>
      <c r="J26" s="41"/>
      <c r="K26" s="41"/>
      <c r="L26" s="41"/>
      <c r="M26" s="41"/>
      <c r="N26" s="41"/>
      <c r="O26" s="70" t="s">
        <v>197</v>
      </c>
      <c r="P26" s="41"/>
      <c r="Q26" s="41">
        <f t="shared" si="0"/>
        <v>36400</v>
      </c>
      <c r="R26" s="41">
        <f t="shared" si="1"/>
        <v>36400</v>
      </c>
    </row>
    <row r="27" spans="1:18" x14ac:dyDescent="0.2">
      <c r="A27" s="4">
        <v>19</v>
      </c>
      <c r="B27" s="5">
        <v>46126</v>
      </c>
      <c r="C27" s="6"/>
      <c r="D27" s="6" t="s">
        <v>90</v>
      </c>
      <c r="E27" s="7">
        <v>1</v>
      </c>
      <c r="F27" s="41">
        <v>3300</v>
      </c>
      <c r="G27" s="46"/>
      <c r="H27" s="39"/>
      <c r="I27" s="41"/>
      <c r="J27" s="41"/>
      <c r="K27" s="41"/>
      <c r="L27" s="41"/>
      <c r="M27" s="41"/>
      <c r="N27" s="41"/>
      <c r="O27" s="70" t="s">
        <v>197</v>
      </c>
      <c r="P27" s="41"/>
      <c r="Q27" s="41">
        <f t="shared" si="0"/>
        <v>3300</v>
      </c>
      <c r="R27" s="41">
        <f t="shared" si="1"/>
        <v>3300</v>
      </c>
    </row>
    <row r="28" spans="1:18" x14ac:dyDescent="0.2">
      <c r="A28" s="4">
        <v>20</v>
      </c>
      <c r="B28" s="5">
        <v>46126</v>
      </c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 t="s">
        <v>198</v>
      </c>
      <c r="P28" s="41">
        <v>210800</v>
      </c>
      <c r="Q28" s="41">
        <f t="shared" si="0"/>
        <v>0</v>
      </c>
      <c r="R28" s="41">
        <f t="shared" si="1"/>
        <v>-210800</v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02" priority="3" operator="equal">
      <formula>"ERROR"</formula>
    </cfRule>
  </conditionalFormatting>
  <conditionalFormatting sqref="D4">
    <cfRule type="cellIs" dxfId="101" priority="1" operator="lessThanOrEqual">
      <formula>0</formula>
    </cfRule>
    <cfRule type="cellIs" dxfId="100" priority="2" operator="greaterThan">
      <formula>0</formula>
    </cfRule>
  </conditionalFormatting>
  <dataValidations count="1">
    <dataValidation type="list" allowBlank="1" showInputMessage="1" showErrorMessage="1" sqref="O9:O13 O15 O21:O22 O28:O1048576" xr:uid="{4ECC6817-DB54-574C-B976-739E6015E258}">
      <formula1>$U$3:$U$4</formula1>
    </dataValidation>
  </dataValidations>
  <hyperlinks>
    <hyperlink ref="E1:G1" location="'Master Sheet'!A1" display="GO BACK TO MASTER SHEET" xr:uid="{5F48AFEE-EE3D-F34A-97C4-4AE0DA64FC70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61D32FE4-87EC-E345-80CC-66014F51BFD0}">
          <x14:formula1>
            <xm:f>'Master Sheet'!$AE$5:$AE$28</xm:f>
          </x14:formula1>
          <xm:sqref>D9:D13 D15:D1048576</xm:sqref>
        </x14:dataValidation>
        <x14:dataValidation type="list" allowBlank="1" errorTitle="Invalid selection" error="Select a value from the list." promptTitle="Selection" prompt="Pick from the dropdown list." xr:uid="{202774FD-A372-7247-B952-21030231F618}">
          <x14:formula1>
            <xm:f>'Master Sheet'!$AJ$5:$AJ$6</xm:f>
          </x14:formula1>
          <xm:sqref>C9:C13 C15:C1048576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A8F88-55FB-4B46-AC75-16286D210945}">
  <sheetPr codeName="Sheet28"/>
  <dimension ref="A1:V208"/>
  <sheetViews>
    <sheetView showGridLines="0" zoomScale="90" workbookViewId="0">
      <pane ySplit="8" topLeftCell="A9" activePane="bottomLeft" state="frozen"/>
      <selection pane="bottomLeft" activeCell="R10" sqref="R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Najam chor drum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V021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99" priority="3" operator="equal">
      <formula>"ERROR"</formula>
    </cfRule>
  </conditionalFormatting>
  <conditionalFormatting sqref="D4">
    <cfRule type="cellIs" dxfId="98" priority="1" operator="lessThanOrEqual">
      <formula>0</formula>
    </cfRule>
    <cfRule type="cellIs" dxfId="97" priority="2" operator="greaterThan">
      <formula>0</formula>
    </cfRule>
  </conditionalFormatting>
  <dataValidations count="1">
    <dataValidation type="list" allowBlank="1" showInputMessage="1" showErrorMessage="1" sqref="O9:O1048576" xr:uid="{CFFC14CD-DD55-C642-B259-5E9AA2A19E3A}">
      <formula1>$U$3:$U$4</formula1>
    </dataValidation>
  </dataValidations>
  <hyperlinks>
    <hyperlink ref="E1:G1" location="'Master Sheet'!A1" display="GO BACK TO MASTER SHEET" xr:uid="{F1E0CCB8-B015-ED43-A7AD-22B6F1C7673C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BBEC8F8A-BC88-5541-8B99-DF1EF5CC93DC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51DC9A52-2D84-E74B-99E0-03A999A3D15A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7A4EF-1B6A-FA40-854B-4C06C8430927}">
  <sheetPr codeName="Sheet29"/>
  <dimension ref="A1:V208"/>
  <sheetViews>
    <sheetView showGridLines="0" zoomScale="90" workbookViewId="0">
      <pane ySplit="8" topLeftCell="A9" activePane="bottomLeft" state="frozen"/>
      <selection pane="bottomLeft" activeCell="R10" sqref="R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Danish drum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V022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96" priority="3" operator="equal">
      <formula>"ERROR"</formula>
    </cfRule>
  </conditionalFormatting>
  <conditionalFormatting sqref="D4">
    <cfRule type="cellIs" dxfId="95" priority="1" operator="lessThanOrEqual">
      <formula>0</formula>
    </cfRule>
    <cfRule type="cellIs" dxfId="94" priority="2" operator="greaterThan">
      <formula>0</formula>
    </cfRule>
  </conditionalFormatting>
  <dataValidations count="1">
    <dataValidation type="list" allowBlank="1" showInputMessage="1" showErrorMessage="1" sqref="O9:O1048576" xr:uid="{F41AC1C8-3BE0-3F43-8333-85664A29F215}">
      <formula1>$U$3:$U$4</formula1>
    </dataValidation>
  </dataValidations>
  <hyperlinks>
    <hyperlink ref="E1:G1" location="'Master Sheet'!A1" display="GO BACK TO MASTER SHEET" xr:uid="{7A218F1E-C40E-8747-9694-312184E0ABE9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64F9828C-074B-814E-B546-58E9992DF488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A3F65200-5B8F-E041-8E01-251BB7C3AE42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CD60E-819B-6E43-AD73-7BA2397AB134}">
  <sheetPr codeName="Sheet30"/>
  <dimension ref="A1:V208"/>
  <sheetViews>
    <sheetView showGridLines="0" zoomScale="90" workbookViewId="0">
      <pane ySplit="8" topLeftCell="A9" activePane="bottomLeft" state="frozen"/>
      <selection pane="bottomLeft" activeCell="Q10" sqref="Q10"/>
    </sheetView>
  </sheetViews>
  <sheetFormatPr baseColWidth="10" defaultColWidth="8.83203125" defaultRowHeight="15" x14ac:dyDescent="0.2"/>
  <cols>
    <col min="1" max="1" width="10" customWidth="1"/>
    <col min="2" max="2" width="12" customWidth="1"/>
    <col min="3" max="3" width="13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Sheet'!E5:F27,2)</f>
        <v>M Ali Polymer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V023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197</v>
      </c>
      <c r="V3" s="44"/>
    </row>
    <row r="4" spans="1:22" ht="16" thickBot="1" x14ac:dyDescent="0.25">
      <c r="A4" s="3"/>
      <c r="C4" s="20" t="s">
        <v>201</v>
      </c>
      <c r="D4" s="51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73</v>
      </c>
      <c r="D8" s="1" t="s">
        <v>67</v>
      </c>
      <c r="E8" s="1" t="s">
        <v>74</v>
      </c>
      <c r="F8" s="1" t="s">
        <v>204</v>
      </c>
      <c r="G8" s="1" t="s">
        <v>199</v>
      </c>
      <c r="H8" s="1" t="s">
        <v>200</v>
      </c>
      <c r="I8" s="1" t="s">
        <v>189</v>
      </c>
      <c r="J8" s="1" t="s">
        <v>194</v>
      </c>
      <c r="K8" s="1" t="s">
        <v>190</v>
      </c>
      <c r="L8" s="1" t="s">
        <v>191</v>
      </c>
      <c r="M8" s="1" t="s">
        <v>192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93" priority="3" operator="equal">
      <formula>"ERROR"</formula>
    </cfRule>
  </conditionalFormatting>
  <conditionalFormatting sqref="D4">
    <cfRule type="cellIs" dxfId="92" priority="1" operator="lessThanOrEqual">
      <formula>0</formula>
    </cfRule>
    <cfRule type="cellIs" dxfId="91" priority="2" operator="greaterThan">
      <formula>0</formula>
    </cfRule>
  </conditionalFormatting>
  <dataValidations count="1">
    <dataValidation type="list" allowBlank="1" showInputMessage="1" showErrorMessage="1" sqref="O9:O1048576" xr:uid="{F26A1248-DC7B-9749-B933-5714FF7452E1}">
      <formula1>$U$3:$U$4</formula1>
    </dataValidation>
  </dataValidations>
  <hyperlinks>
    <hyperlink ref="E1:G1" location="'Master Sheet'!A1" display="GO BACK TO MASTER SHEET" xr:uid="{4B9FB154-A6B9-9E4F-83FA-B118E486E02E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C1CA9B68-27CB-0F40-BF1B-64D178EECFB9}">
          <x14:formula1>
            <xm:f>'Master Sheet'!$AE$5:$AE$28</xm:f>
          </x14:formula1>
          <xm:sqref>D9:D1048576</xm:sqref>
        </x14:dataValidation>
        <x14:dataValidation type="list" allowBlank="1" errorTitle="Invalid selection" error="Select a value from the list." promptTitle="Selection" prompt="Pick from the dropdown list." xr:uid="{D91F6226-2F80-BF49-9108-DBFF61CA48C6}">
          <x14:formula1>
            <xm:f>'Master Sheet'!$AJ$5:$AJ$6</xm:f>
          </x14:formula1>
          <xm:sqref>C9:C1048576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75444-D77A-2E4E-87C8-CE6D079F8CA8}">
  <sheetPr codeName="Sheet31"/>
  <dimension ref="A1:W208"/>
  <sheetViews>
    <sheetView showGridLines="0" zoomScale="90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8" width="16" customWidth="1"/>
    <col min="19" max="19" width="26" style="42" customWidth="1"/>
  </cols>
  <sheetData>
    <row r="1" spans="1:23" ht="24" customHeight="1" x14ac:dyDescent="0.2">
      <c r="A1" s="86" t="str">
        <f ca="1">VLOOKUP(A2,'Master Sheet'!J5:K39,2)</f>
        <v>Anjum Chemical - Pak styrene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S1"/>
    </row>
    <row r="2" spans="1:23" ht="20" thickBot="1" x14ac:dyDescent="0.3">
      <c r="A2" s="48" t="str" cm="1">
        <f t="array" aca="1" ref="A2" ca="1">MID(CELL("filename",A1),FIND("]",CELL("filename",A1))+1,99)</f>
        <v>C002</v>
      </c>
      <c r="F2"/>
      <c r="G2"/>
      <c r="H2"/>
      <c r="I2"/>
      <c r="J2"/>
      <c r="K2"/>
      <c r="L2"/>
      <c r="M2"/>
      <c r="N2"/>
      <c r="P2"/>
      <c r="S2"/>
    </row>
    <row r="3" spans="1:23" ht="16" thickBot="1" x14ac:dyDescent="0.25">
      <c r="A3" s="3"/>
      <c r="F3"/>
      <c r="G3"/>
      <c r="H3"/>
      <c r="I3"/>
      <c r="J3"/>
      <c r="K3"/>
      <c r="L3"/>
      <c r="M3"/>
      <c r="N3"/>
      <c r="P3"/>
      <c r="S3"/>
      <c r="V3" s="43" t="s">
        <v>83</v>
      </c>
      <c r="W3" s="44"/>
    </row>
    <row r="4" spans="1:23" ht="16" thickBot="1" x14ac:dyDescent="0.25">
      <c r="A4" s="3"/>
      <c r="C4" s="20" t="s">
        <v>201</v>
      </c>
      <c r="D4" s="50">
        <f>SUM(S9:S1048576)</f>
        <v>0</v>
      </c>
      <c r="F4"/>
      <c r="G4"/>
      <c r="H4"/>
      <c r="I4"/>
      <c r="J4"/>
      <c r="K4"/>
      <c r="L4"/>
      <c r="M4"/>
      <c r="N4"/>
      <c r="P4"/>
      <c r="S4"/>
      <c r="V4" s="30" t="s">
        <v>198</v>
      </c>
      <c r="W4" s="45"/>
    </row>
    <row r="5" spans="1:23" x14ac:dyDescent="0.2">
      <c r="A5" s="3"/>
      <c r="F5"/>
      <c r="G5"/>
      <c r="H5"/>
      <c r="I5"/>
      <c r="J5"/>
      <c r="K5"/>
      <c r="L5"/>
      <c r="M5"/>
      <c r="N5"/>
      <c r="P5"/>
      <c r="S5"/>
    </row>
    <row r="6" spans="1:23" x14ac:dyDescent="0.2">
      <c r="A6" s="3"/>
      <c r="F6"/>
      <c r="G6"/>
      <c r="H6"/>
      <c r="I6"/>
      <c r="J6"/>
      <c r="K6"/>
      <c r="L6"/>
      <c r="M6"/>
      <c r="N6"/>
      <c r="P6"/>
      <c r="S6"/>
    </row>
    <row r="7" spans="1:23" x14ac:dyDescent="0.2">
      <c r="A7" s="3"/>
      <c r="F7"/>
      <c r="G7"/>
      <c r="H7"/>
      <c r="I7"/>
      <c r="J7"/>
      <c r="K7"/>
      <c r="L7"/>
      <c r="M7"/>
      <c r="N7"/>
      <c r="P7"/>
      <c r="S7"/>
    </row>
    <row r="8" spans="1:23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226</v>
      </c>
      <c r="S8" s="1" t="s">
        <v>196</v>
      </c>
    </row>
    <row r="9" spans="1:23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>
        <f>Q9+(Q9*H9)</f>
        <v>0</v>
      </c>
      <c r="S9" s="41" t="str">
        <f>IF(O9=$V$3,R9-(R9*G9),IF(O9=$V$4,-P9,""))</f>
        <v/>
      </c>
    </row>
    <row r="10" spans="1:23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>
        <f t="shared" ref="R10:R73" si="1">Q10+(Q10*H10)</f>
        <v>0</v>
      </c>
      <c r="S10" s="41" t="str">
        <f t="shared" ref="S10:S73" si="2">IF(O10=$V$3,R10-(R10*G10),IF(O10=$V$4,-P10,""))</f>
        <v/>
      </c>
    </row>
    <row r="11" spans="1:23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>
        <f t="shared" si="1"/>
        <v>0</v>
      </c>
      <c r="S11" s="41" t="str">
        <f t="shared" si="2"/>
        <v/>
      </c>
    </row>
    <row r="12" spans="1:23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>
        <f t="shared" si="1"/>
        <v>0</v>
      </c>
      <c r="S12" s="41" t="str">
        <f t="shared" si="2"/>
        <v/>
      </c>
    </row>
    <row r="13" spans="1:23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>
        <f t="shared" si="1"/>
        <v>0</v>
      </c>
      <c r="S13" s="41" t="str">
        <f t="shared" si="2"/>
        <v/>
      </c>
    </row>
    <row r="14" spans="1:23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>
        <f t="shared" si="1"/>
        <v>0</v>
      </c>
      <c r="S14" s="41" t="str">
        <f t="shared" si="2"/>
        <v/>
      </c>
    </row>
    <row r="15" spans="1:23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>
        <f t="shared" si="1"/>
        <v>0</v>
      </c>
      <c r="S15" s="41" t="str">
        <f t="shared" si="2"/>
        <v/>
      </c>
    </row>
    <row r="16" spans="1:23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>
        <f t="shared" si="1"/>
        <v>0</v>
      </c>
      <c r="S16" s="41" t="str">
        <f t="shared" si="2"/>
        <v/>
      </c>
    </row>
    <row r="17" spans="1:19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>
        <f t="shared" si="1"/>
        <v>0</v>
      </c>
      <c r="S17" s="41" t="str">
        <f t="shared" si="2"/>
        <v/>
      </c>
    </row>
    <row r="18" spans="1:19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>
        <f t="shared" si="1"/>
        <v>0</v>
      </c>
      <c r="S18" s="41" t="str">
        <f t="shared" si="2"/>
        <v/>
      </c>
    </row>
    <row r="19" spans="1:19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>
        <f t="shared" si="1"/>
        <v>0</v>
      </c>
      <c r="S19" s="41" t="str">
        <f t="shared" si="2"/>
        <v/>
      </c>
    </row>
    <row r="20" spans="1:19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>
        <f t="shared" si="1"/>
        <v>0</v>
      </c>
      <c r="S20" s="41" t="str">
        <f t="shared" si="2"/>
        <v/>
      </c>
    </row>
    <row r="21" spans="1:19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>
        <f t="shared" si="1"/>
        <v>0</v>
      </c>
      <c r="S21" s="41" t="str">
        <f t="shared" si="2"/>
        <v/>
      </c>
    </row>
    <row r="22" spans="1:19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>
        <f t="shared" si="1"/>
        <v>0</v>
      </c>
      <c r="S22" s="41" t="str">
        <f t="shared" si="2"/>
        <v/>
      </c>
    </row>
    <row r="23" spans="1:19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>
        <f t="shared" si="1"/>
        <v>0</v>
      </c>
      <c r="S23" s="41" t="str">
        <f t="shared" si="2"/>
        <v/>
      </c>
    </row>
    <row r="24" spans="1:19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>
        <f t="shared" si="1"/>
        <v>0</v>
      </c>
      <c r="S24" s="41" t="str">
        <f t="shared" si="2"/>
        <v/>
      </c>
    </row>
    <row r="25" spans="1:19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>
        <f t="shared" si="1"/>
        <v>0</v>
      </c>
      <c r="S25" s="41" t="str">
        <f t="shared" si="2"/>
        <v/>
      </c>
    </row>
    <row r="26" spans="1:19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>
        <f t="shared" si="1"/>
        <v>0</v>
      </c>
      <c r="S26" s="41" t="str">
        <f t="shared" si="2"/>
        <v/>
      </c>
    </row>
    <row r="27" spans="1:19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>
        <f t="shared" si="1"/>
        <v>0</v>
      </c>
      <c r="S27" s="41" t="str">
        <f t="shared" si="2"/>
        <v/>
      </c>
    </row>
    <row r="28" spans="1:19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>
        <f t="shared" si="1"/>
        <v>0</v>
      </c>
      <c r="S28" s="41" t="str">
        <f t="shared" si="2"/>
        <v/>
      </c>
    </row>
    <row r="29" spans="1:19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>
        <f t="shared" si="1"/>
        <v>0</v>
      </c>
      <c r="S29" s="41" t="str">
        <f t="shared" si="2"/>
        <v/>
      </c>
    </row>
    <row r="30" spans="1:19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>
        <f t="shared" si="1"/>
        <v>0</v>
      </c>
      <c r="S30" s="41" t="str">
        <f t="shared" si="2"/>
        <v/>
      </c>
    </row>
    <row r="31" spans="1:19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>
        <f t="shared" si="1"/>
        <v>0</v>
      </c>
      <c r="S31" s="41" t="str">
        <f t="shared" si="2"/>
        <v/>
      </c>
    </row>
    <row r="32" spans="1:19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>
        <f t="shared" si="1"/>
        <v>0</v>
      </c>
      <c r="S32" s="41" t="str">
        <f t="shared" si="2"/>
        <v/>
      </c>
    </row>
    <row r="33" spans="1:19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>
        <f t="shared" si="1"/>
        <v>0</v>
      </c>
      <c r="S33" s="41" t="str">
        <f t="shared" si="2"/>
        <v/>
      </c>
    </row>
    <row r="34" spans="1:19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>
        <f t="shared" si="1"/>
        <v>0</v>
      </c>
      <c r="S34" s="41" t="str">
        <f t="shared" si="2"/>
        <v/>
      </c>
    </row>
    <row r="35" spans="1:19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>
        <f t="shared" si="1"/>
        <v>0</v>
      </c>
      <c r="S35" s="41" t="str">
        <f t="shared" si="2"/>
        <v/>
      </c>
    </row>
    <row r="36" spans="1:19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>
        <f t="shared" si="1"/>
        <v>0</v>
      </c>
      <c r="S36" s="41" t="str">
        <f t="shared" si="2"/>
        <v/>
      </c>
    </row>
    <row r="37" spans="1:19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>
        <f t="shared" si="1"/>
        <v>0</v>
      </c>
      <c r="S37" s="41" t="str">
        <f t="shared" si="2"/>
        <v/>
      </c>
    </row>
    <row r="38" spans="1:19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>
        <f t="shared" si="1"/>
        <v>0</v>
      </c>
      <c r="S38" s="41" t="str">
        <f t="shared" si="2"/>
        <v/>
      </c>
    </row>
    <row r="39" spans="1:19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>
        <f t="shared" si="1"/>
        <v>0</v>
      </c>
      <c r="S39" s="41" t="str">
        <f t="shared" si="2"/>
        <v/>
      </c>
    </row>
    <row r="40" spans="1:19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>
        <f t="shared" si="1"/>
        <v>0</v>
      </c>
      <c r="S40" s="41" t="str">
        <f t="shared" si="2"/>
        <v/>
      </c>
    </row>
    <row r="41" spans="1:19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>
        <f t="shared" si="1"/>
        <v>0</v>
      </c>
      <c r="S41" s="41" t="str">
        <f t="shared" si="2"/>
        <v/>
      </c>
    </row>
    <row r="42" spans="1:19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>
        <f t="shared" si="1"/>
        <v>0</v>
      </c>
      <c r="S42" s="41" t="str">
        <f t="shared" si="2"/>
        <v/>
      </c>
    </row>
    <row r="43" spans="1:19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>
        <f t="shared" si="1"/>
        <v>0</v>
      </c>
      <c r="S43" s="41" t="str">
        <f t="shared" si="2"/>
        <v/>
      </c>
    </row>
    <row r="44" spans="1:19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>
        <f t="shared" si="1"/>
        <v>0</v>
      </c>
      <c r="S44" s="41" t="str">
        <f t="shared" si="2"/>
        <v/>
      </c>
    </row>
    <row r="45" spans="1:19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>
        <f t="shared" si="1"/>
        <v>0</v>
      </c>
      <c r="S45" s="41" t="str">
        <f t="shared" si="2"/>
        <v/>
      </c>
    </row>
    <row r="46" spans="1:19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>
        <f t="shared" si="1"/>
        <v>0</v>
      </c>
      <c r="S46" s="41" t="str">
        <f t="shared" si="2"/>
        <v/>
      </c>
    </row>
    <row r="47" spans="1:19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>
        <f t="shared" si="1"/>
        <v>0</v>
      </c>
      <c r="S47" s="41" t="str">
        <f t="shared" si="2"/>
        <v/>
      </c>
    </row>
    <row r="48" spans="1:19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>
        <f t="shared" si="1"/>
        <v>0</v>
      </c>
      <c r="S48" s="41" t="str">
        <f t="shared" si="2"/>
        <v/>
      </c>
    </row>
    <row r="49" spans="1:19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>
        <f t="shared" si="1"/>
        <v>0</v>
      </c>
      <c r="S49" s="41" t="str">
        <f t="shared" si="2"/>
        <v/>
      </c>
    </row>
    <row r="50" spans="1:19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>
        <f t="shared" si="1"/>
        <v>0</v>
      </c>
      <c r="S50" s="41" t="str">
        <f t="shared" si="2"/>
        <v/>
      </c>
    </row>
    <row r="51" spans="1:19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>
        <f t="shared" si="1"/>
        <v>0</v>
      </c>
      <c r="S51" s="41" t="str">
        <f t="shared" si="2"/>
        <v/>
      </c>
    </row>
    <row r="52" spans="1:19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>
        <f t="shared" si="1"/>
        <v>0</v>
      </c>
      <c r="S52" s="41" t="str">
        <f t="shared" si="2"/>
        <v/>
      </c>
    </row>
    <row r="53" spans="1:19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>
        <f t="shared" si="1"/>
        <v>0</v>
      </c>
      <c r="S53" s="41" t="str">
        <f t="shared" si="2"/>
        <v/>
      </c>
    </row>
    <row r="54" spans="1:19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>
        <f t="shared" si="1"/>
        <v>0</v>
      </c>
      <c r="S54" s="41" t="str">
        <f t="shared" si="2"/>
        <v/>
      </c>
    </row>
    <row r="55" spans="1:19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>
        <f t="shared" si="1"/>
        <v>0</v>
      </c>
      <c r="S55" s="41" t="str">
        <f t="shared" si="2"/>
        <v/>
      </c>
    </row>
    <row r="56" spans="1:19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>
        <f t="shared" si="1"/>
        <v>0</v>
      </c>
      <c r="S56" s="41" t="str">
        <f t="shared" si="2"/>
        <v/>
      </c>
    </row>
    <row r="57" spans="1:19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>
        <f t="shared" si="1"/>
        <v>0</v>
      </c>
      <c r="S57" s="41" t="str">
        <f t="shared" si="2"/>
        <v/>
      </c>
    </row>
    <row r="58" spans="1:19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>
        <f t="shared" si="1"/>
        <v>0</v>
      </c>
      <c r="S58" s="41" t="str">
        <f t="shared" si="2"/>
        <v/>
      </c>
    </row>
    <row r="59" spans="1:19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>
        <f t="shared" si="1"/>
        <v>0</v>
      </c>
      <c r="S59" s="41" t="str">
        <f t="shared" si="2"/>
        <v/>
      </c>
    </row>
    <row r="60" spans="1:19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>
        <f t="shared" si="1"/>
        <v>0</v>
      </c>
      <c r="S60" s="41" t="str">
        <f t="shared" si="2"/>
        <v/>
      </c>
    </row>
    <row r="61" spans="1:19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>
        <f t="shared" si="1"/>
        <v>0</v>
      </c>
      <c r="S61" s="41" t="str">
        <f t="shared" si="2"/>
        <v/>
      </c>
    </row>
    <row r="62" spans="1:19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>
        <f t="shared" si="1"/>
        <v>0</v>
      </c>
      <c r="S62" s="41" t="str">
        <f t="shared" si="2"/>
        <v/>
      </c>
    </row>
    <row r="63" spans="1:19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>
        <f t="shared" si="1"/>
        <v>0</v>
      </c>
      <c r="S63" s="41" t="str">
        <f t="shared" si="2"/>
        <v/>
      </c>
    </row>
    <row r="64" spans="1:19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>
        <f t="shared" si="1"/>
        <v>0</v>
      </c>
      <c r="S64" s="41" t="str">
        <f t="shared" si="2"/>
        <v/>
      </c>
    </row>
    <row r="65" spans="1:19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>
        <f t="shared" si="1"/>
        <v>0</v>
      </c>
      <c r="S65" s="41" t="str">
        <f t="shared" si="2"/>
        <v/>
      </c>
    </row>
    <row r="66" spans="1:19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>
        <f t="shared" si="1"/>
        <v>0</v>
      </c>
      <c r="S66" s="41" t="str">
        <f t="shared" si="2"/>
        <v/>
      </c>
    </row>
    <row r="67" spans="1:19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>
        <f t="shared" si="1"/>
        <v>0</v>
      </c>
      <c r="S67" s="41" t="str">
        <f t="shared" si="2"/>
        <v/>
      </c>
    </row>
    <row r="68" spans="1:19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>
        <f t="shared" si="1"/>
        <v>0</v>
      </c>
      <c r="S68" s="41" t="str">
        <f t="shared" si="2"/>
        <v/>
      </c>
    </row>
    <row r="69" spans="1:19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>
        <f t="shared" si="1"/>
        <v>0</v>
      </c>
      <c r="S69" s="41" t="str">
        <f t="shared" si="2"/>
        <v/>
      </c>
    </row>
    <row r="70" spans="1:19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>
        <f t="shared" si="1"/>
        <v>0</v>
      </c>
      <c r="S70" s="41" t="str">
        <f t="shared" si="2"/>
        <v/>
      </c>
    </row>
    <row r="71" spans="1:19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>
        <f t="shared" si="1"/>
        <v>0</v>
      </c>
      <c r="S71" s="41" t="str">
        <f t="shared" si="2"/>
        <v/>
      </c>
    </row>
    <row r="72" spans="1:19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>
        <f t="shared" si="1"/>
        <v>0</v>
      </c>
      <c r="S72" s="41" t="str">
        <f t="shared" si="2"/>
        <v/>
      </c>
    </row>
    <row r="73" spans="1:19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>
        <f t="shared" si="1"/>
        <v>0</v>
      </c>
      <c r="S73" s="41" t="str">
        <f t="shared" si="2"/>
        <v/>
      </c>
    </row>
    <row r="74" spans="1:19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3">E74*F74</f>
        <v>0</v>
      </c>
      <c r="R74" s="41">
        <f t="shared" ref="R74:R137" si="4">Q74+(Q74*H74)</f>
        <v>0</v>
      </c>
      <c r="S74" s="41" t="str">
        <f t="shared" ref="S74:S137" si="5">IF(O74=$V$3,R74-(R74*G74),IF(O74=$V$4,-P74,""))</f>
        <v/>
      </c>
    </row>
    <row r="75" spans="1:19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3"/>
        <v>0</v>
      </c>
      <c r="R75" s="41">
        <f t="shared" si="4"/>
        <v>0</v>
      </c>
      <c r="S75" s="41" t="str">
        <f t="shared" si="5"/>
        <v/>
      </c>
    </row>
    <row r="76" spans="1:19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3"/>
        <v>0</v>
      </c>
      <c r="R76" s="41">
        <f t="shared" si="4"/>
        <v>0</v>
      </c>
      <c r="S76" s="41" t="str">
        <f t="shared" si="5"/>
        <v/>
      </c>
    </row>
    <row r="77" spans="1:19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3"/>
        <v>0</v>
      </c>
      <c r="R77" s="41">
        <f t="shared" si="4"/>
        <v>0</v>
      </c>
      <c r="S77" s="41" t="str">
        <f t="shared" si="5"/>
        <v/>
      </c>
    </row>
    <row r="78" spans="1:19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3"/>
        <v>0</v>
      </c>
      <c r="R78" s="41">
        <f t="shared" si="4"/>
        <v>0</v>
      </c>
      <c r="S78" s="41" t="str">
        <f t="shared" si="5"/>
        <v/>
      </c>
    </row>
    <row r="79" spans="1:19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3"/>
        <v>0</v>
      </c>
      <c r="R79" s="41">
        <f t="shared" si="4"/>
        <v>0</v>
      </c>
      <c r="S79" s="41" t="str">
        <f t="shared" si="5"/>
        <v/>
      </c>
    </row>
    <row r="80" spans="1:19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3"/>
        <v>0</v>
      </c>
      <c r="R80" s="41">
        <f t="shared" si="4"/>
        <v>0</v>
      </c>
      <c r="S80" s="41" t="str">
        <f t="shared" si="5"/>
        <v/>
      </c>
    </row>
    <row r="81" spans="1:19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3"/>
        <v>0</v>
      </c>
      <c r="R81" s="41">
        <f t="shared" si="4"/>
        <v>0</v>
      </c>
      <c r="S81" s="41" t="str">
        <f t="shared" si="5"/>
        <v/>
      </c>
    </row>
    <row r="82" spans="1:19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3"/>
        <v>0</v>
      </c>
      <c r="R82" s="41">
        <f t="shared" si="4"/>
        <v>0</v>
      </c>
      <c r="S82" s="41" t="str">
        <f t="shared" si="5"/>
        <v/>
      </c>
    </row>
    <row r="83" spans="1:19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3"/>
        <v>0</v>
      </c>
      <c r="R83" s="41">
        <f t="shared" si="4"/>
        <v>0</v>
      </c>
      <c r="S83" s="41" t="str">
        <f t="shared" si="5"/>
        <v/>
      </c>
    </row>
    <row r="84" spans="1:19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3"/>
        <v>0</v>
      </c>
      <c r="R84" s="41">
        <f t="shared" si="4"/>
        <v>0</v>
      </c>
      <c r="S84" s="41" t="str">
        <f t="shared" si="5"/>
        <v/>
      </c>
    </row>
    <row r="85" spans="1:19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3"/>
        <v>0</v>
      </c>
      <c r="R85" s="41">
        <f t="shared" si="4"/>
        <v>0</v>
      </c>
      <c r="S85" s="41" t="str">
        <f t="shared" si="5"/>
        <v/>
      </c>
    </row>
    <row r="86" spans="1:19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3"/>
        <v>0</v>
      </c>
      <c r="R86" s="41">
        <f t="shared" si="4"/>
        <v>0</v>
      </c>
      <c r="S86" s="41" t="str">
        <f t="shared" si="5"/>
        <v/>
      </c>
    </row>
    <row r="87" spans="1:19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3"/>
        <v>0</v>
      </c>
      <c r="R87" s="41">
        <f t="shared" si="4"/>
        <v>0</v>
      </c>
      <c r="S87" s="41" t="str">
        <f t="shared" si="5"/>
        <v/>
      </c>
    </row>
    <row r="88" spans="1:19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3"/>
        <v>0</v>
      </c>
      <c r="R88" s="41">
        <f t="shared" si="4"/>
        <v>0</v>
      </c>
      <c r="S88" s="41" t="str">
        <f t="shared" si="5"/>
        <v/>
      </c>
    </row>
    <row r="89" spans="1:19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3"/>
        <v>0</v>
      </c>
      <c r="R89" s="41">
        <f t="shared" si="4"/>
        <v>0</v>
      </c>
      <c r="S89" s="41" t="str">
        <f t="shared" si="5"/>
        <v/>
      </c>
    </row>
    <row r="90" spans="1:19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3"/>
        <v>0</v>
      </c>
      <c r="R90" s="41">
        <f t="shared" si="4"/>
        <v>0</v>
      </c>
      <c r="S90" s="41" t="str">
        <f t="shared" si="5"/>
        <v/>
      </c>
    </row>
    <row r="91" spans="1:19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3"/>
        <v>0</v>
      </c>
      <c r="R91" s="41">
        <f t="shared" si="4"/>
        <v>0</v>
      </c>
      <c r="S91" s="41" t="str">
        <f t="shared" si="5"/>
        <v/>
      </c>
    </row>
    <row r="92" spans="1:19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3"/>
        <v>0</v>
      </c>
      <c r="R92" s="41">
        <f t="shared" si="4"/>
        <v>0</v>
      </c>
      <c r="S92" s="41" t="str">
        <f t="shared" si="5"/>
        <v/>
      </c>
    </row>
    <row r="93" spans="1:19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3"/>
        <v>0</v>
      </c>
      <c r="R93" s="41">
        <f t="shared" si="4"/>
        <v>0</v>
      </c>
      <c r="S93" s="41" t="str">
        <f t="shared" si="5"/>
        <v/>
      </c>
    </row>
    <row r="94" spans="1:19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3"/>
        <v>0</v>
      </c>
      <c r="R94" s="41">
        <f t="shared" si="4"/>
        <v>0</v>
      </c>
      <c r="S94" s="41" t="str">
        <f t="shared" si="5"/>
        <v/>
      </c>
    </row>
    <row r="95" spans="1:19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3"/>
        <v>0</v>
      </c>
      <c r="R95" s="41">
        <f t="shared" si="4"/>
        <v>0</v>
      </c>
      <c r="S95" s="41" t="str">
        <f t="shared" si="5"/>
        <v/>
      </c>
    </row>
    <row r="96" spans="1:19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3"/>
        <v>0</v>
      </c>
      <c r="R96" s="41">
        <f t="shared" si="4"/>
        <v>0</v>
      </c>
      <c r="S96" s="41" t="str">
        <f t="shared" si="5"/>
        <v/>
      </c>
    </row>
    <row r="97" spans="1:19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3"/>
        <v>0</v>
      </c>
      <c r="R97" s="41">
        <f t="shared" si="4"/>
        <v>0</v>
      </c>
      <c r="S97" s="41" t="str">
        <f t="shared" si="5"/>
        <v/>
      </c>
    </row>
    <row r="98" spans="1:19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3"/>
        <v>0</v>
      </c>
      <c r="R98" s="41">
        <f t="shared" si="4"/>
        <v>0</v>
      </c>
      <c r="S98" s="41" t="str">
        <f t="shared" si="5"/>
        <v/>
      </c>
    </row>
    <row r="99" spans="1:19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3"/>
        <v>0</v>
      </c>
      <c r="R99" s="41">
        <f t="shared" si="4"/>
        <v>0</v>
      </c>
      <c r="S99" s="41" t="str">
        <f t="shared" si="5"/>
        <v/>
      </c>
    </row>
    <row r="100" spans="1:19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3"/>
        <v>0</v>
      </c>
      <c r="R100" s="41">
        <f t="shared" si="4"/>
        <v>0</v>
      </c>
      <c r="S100" s="41" t="str">
        <f t="shared" si="5"/>
        <v/>
      </c>
    </row>
    <row r="101" spans="1:19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3"/>
        <v>0</v>
      </c>
      <c r="R101" s="41">
        <f t="shared" si="4"/>
        <v>0</v>
      </c>
      <c r="S101" s="41" t="str">
        <f t="shared" si="5"/>
        <v/>
      </c>
    </row>
    <row r="102" spans="1:19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3"/>
        <v>0</v>
      </c>
      <c r="R102" s="41">
        <f t="shared" si="4"/>
        <v>0</v>
      </c>
      <c r="S102" s="41" t="str">
        <f t="shared" si="5"/>
        <v/>
      </c>
    </row>
    <row r="103" spans="1:19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3"/>
        <v>0</v>
      </c>
      <c r="R103" s="41">
        <f t="shared" si="4"/>
        <v>0</v>
      </c>
      <c r="S103" s="41" t="str">
        <f t="shared" si="5"/>
        <v/>
      </c>
    </row>
    <row r="104" spans="1:19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3"/>
        <v>0</v>
      </c>
      <c r="R104" s="41">
        <f t="shared" si="4"/>
        <v>0</v>
      </c>
      <c r="S104" s="41" t="str">
        <f t="shared" si="5"/>
        <v/>
      </c>
    </row>
    <row r="105" spans="1:19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3"/>
        <v>0</v>
      </c>
      <c r="R105" s="41">
        <f t="shared" si="4"/>
        <v>0</v>
      </c>
      <c r="S105" s="41" t="str">
        <f t="shared" si="5"/>
        <v/>
      </c>
    </row>
    <row r="106" spans="1:19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3"/>
        <v>0</v>
      </c>
      <c r="R106" s="41">
        <f t="shared" si="4"/>
        <v>0</v>
      </c>
      <c r="S106" s="41" t="str">
        <f t="shared" si="5"/>
        <v/>
      </c>
    </row>
    <row r="107" spans="1:19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3"/>
        <v>0</v>
      </c>
      <c r="R107" s="41">
        <f t="shared" si="4"/>
        <v>0</v>
      </c>
      <c r="S107" s="41" t="str">
        <f t="shared" si="5"/>
        <v/>
      </c>
    </row>
    <row r="108" spans="1:19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3"/>
        <v>0</v>
      </c>
      <c r="R108" s="41">
        <f t="shared" si="4"/>
        <v>0</v>
      </c>
      <c r="S108" s="41" t="str">
        <f t="shared" si="5"/>
        <v/>
      </c>
    </row>
    <row r="109" spans="1:19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3"/>
        <v>0</v>
      </c>
      <c r="R109" s="41">
        <f t="shared" si="4"/>
        <v>0</v>
      </c>
      <c r="S109" s="41" t="str">
        <f t="shared" si="5"/>
        <v/>
      </c>
    </row>
    <row r="110" spans="1:19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3"/>
        <v>0</v>
      </c>
      <c r="R110" s="41">
        <f t="shared" si="4"/>
        <v>0</v>
      </c>
      <c r="S110" s="41" t="str">
        <f t="shared" si="5"/>
        <v/>
      </c>
    </row>
    <row r="111" spans="1:19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3"/>
        <v>0</v>
      </c>
      <c r="R111" s="41">
        <f t="shared" si="4"/>
        <v>0</v>
      </c>
      <c r="S111" s="41" t="str">
        <f t="shared" si="5"/>
        <v/>
      </c>
    </row>
    <row r="112" spans="1:19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3"/>
        <v>0</v>
      </c>
      <c r="R112" s="41">
        <f t="shared" si="4"/>
        <v>0</v>
      </c>
      <c r="S112" s="41" t="str">
        <f t="shared" si="5"/>
        <v/>
      </c>
    </row>
    <row r="113" spans="1:19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3"/>
        <v>0</v>
      </c>
      <c r="R113" s="41">
        <f t="shared" si="4"/>
        <v>0</v>
      </c>
      <c r="S113" s="41" t="str">
        <f t="shared" si="5"/>
        <v/>
      </c>
    </row>
    <row r="114" spans="1:19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3"/>
        <v>0</v>
      </c>
      <c r="R114" s="41">
        <f t="shared" si="4"/>
        <v>0</v>
      </c>
      <c r="S114" s="41" t="str">
        <f t="shared" si="5"/>
        <v/>
      </c>
    </row>
    <row r="115" spans="1:19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3"/>
        <v>0</v>
      </c>
      <c r="R115" s="41">
        <f t="shared" si="4"/>
        <v>0</v>
      </c>
      <c r="S115" s="41" t="str">
        <f t="shared" si="5"/>
        <v/>
      </c>
    </row>
    <row r="116" spans="1:19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3"/>
        <v>0</v>
      </c>
      <c r="R116" s="41">
        <f t="shared" si="4"/>
        <v>0</v>
      </c>
      <c r="S116" s="41" t="str">
        <f t="shared" si="5"/>
        <v/>
      </c>
    </row>
    <row r="117" spans="1:19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3"/>
        <v>0</v>
      </c>
      <c r="R117" s="41">
        <f t="shared" si="4"/>
        <v>0</v>
      </c>
      <c r="S117" s="41" t="str">
        <f t="shared" si="5"/>
        <v/>
      </c>
    </row>
    <row r="118" spans="1:19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3"/>
        <v>0</v>
      </c>
      <c r="R118" s="41">
        <f t="shared" si="4"/>
        <v>0</v>
      </c>
      <c r="S118" s="41" t="str">
        <f t="shared" si="5"/>
        <v/>
      </c>
    </row>
    <row r="119" spans="1:19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3"/>
        <v>0</v>
      </c>
      <c r="R119" s="41">
        <f t="shared" si="4"/>
        <v>0</v>
      </c>
      <c r="S119" s="41" t="str">
        <f t="shared" si="5"/>
        <v/>
      </c>
    </row>
    <row r="120" spans="1:19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3"/>
        <v>0</v>
      </c>
      <c r="R120" s="41">
        <f t="shared" si="4"/>
        <v>0</v>
      </c>
      <c r="S120" s="41" t="str">
        <f t="shared" si="5"/>
        <v/>
      </c>
    </row>
    <row r="121" spans="1:19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3"/>
        <v>0</v>
      </c>
      <c r="R121" s="41">
        <f t="shared" si="4"/>
        <v>0</v>
      </c>
      <c r="S121" s="41" t="str">
        <f t="shared" si="5"/>
        <v/>
      </c>
    </row>
    <row r="122" spans="1:19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3"/>
        <v>0</v>
      </c>
      <c r="R122" s="41">
        <f t="shared" si="4"/>
        <v>0</v>
      </c>
      <c r="S122" s="41" t="str">
        <f t="shared" si="5"/>
        <v/>
      </c>
    </row>
    <row r="123" spans="1:19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3"/>
        <v>0</v>
      </c>
      <c r="R123" s="41">
        <f t="shared" si="4"/>
        <v>0</v>
      </c>
      <c r="S123" s="41" t="str">
        <f t="shared" si="5"/>
        <v/>
      </c>
    </row>
    <row r="124" spans="1:19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3"/>
        <v>0</v>
      </c>
      <c r="R124" s="41">
        <f t="shared" si="4"/>
        <v>0</v>
      </c>
      <c r="S124" s="41" t="str">
        <f t="shared" si="5"/>
        <v/>
      </c>
    </row>
    <row r="125" spans="1:19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3"/>
        <v>0</v>
      </c>
      <c r="R125" s="41">
        <f t="shared" si="4"/>
        <v>0</v>
      </c>
      <c r="S125" s="41" t="str">
        <f t="shared" si="5"/>
        <v/>
      </c>
    </row>
    <row r="126" spans="1:19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3"/>
        <v>0</v>
      </c>
      <c r="R126" s="41">
        <f t="shared" si="4"/>
        <v>0</v>
      </c>
      <c r="S126" s="41" t="str">
        <f t="shared" si="5"/>
        <v/>
      </c>
    </row>
    <row r="127" spans="1:19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3"/>
        <v>0</v>
      </c>
      <c r="R127" s="41">
        <f t="shared" si="4"/>
        <v>0</v>
      </c>
      <c r="S127" s="41" t="str">
        <f t="shared" si="5"/>
        <v/>
      </c>
    </row>
    <row r="128" spans="1:19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3"/>
        <v>0</v>
      </c>
      <c r="R128" s="41">
        <f t="shared" si="4"/>
        <v>0</v>
      </c>
      <c r="S128" s="41" t="str">
        <f t="shared" si="5"/>
        <v/>
      </c>
    </row>
    <row r="129" spans="1:19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3"/>
        <v>0</v>
      </c>
      <c r="R129" s="41">
        <f t="shared" si="4"/>
        <v>0</v>
      </c>
      <c r="S129" s="41" t="str">
        <f t="shared" si="5"/>
        <v/>
      </c>
    </row>
    <row r="130" spans="1:19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3"/>
        <v>0</v>
      </c>
      <c r="R130" s="41">
        <f t="shared" si="4"/>
        <v>0</v>
      </c>
      <c r="S130" s="41" t="str">
        <f t="shared" si="5"/>
        <v/>
      </c>
    </row>
    <row r="131" spans="1:19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3"/>
        <v>0</v>
      </c>
      <c r="R131" s="41">
        <f t="shared" si="4"/>
        <v>0</v>
      </c>
      <c r="S131" s="41" t="str">
        <f t="shared" si="5"/>
        <v/>
      </c>
    </row>
    <row r="132" spans="1:19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3"/>
        <v>0</v>
      </c>
      <c r="R132" s="41">
        <f t="shared" si="4"/>
        <v>0</v>
      </c>
      <c r="S132" s="41" t="str">
        <f t="shared" si="5"/>
        <v/>
      </c>
    </row>
    <row r="133" spans="1:19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3"/>
        <v>0</v>
      </c>
      <c r="R133" s="41">
        <f t="shared" si="4"/>
        <v>0</v>
      </c>
      <c r="S133" s="41" t="str">
        <f t="shared" si="5"/>
        <v/>
      </c>
    </row>
    <row r="134" spans="1:19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3"/>
        <v>0</v>
      </c>
      <c r="R134" s="41">
        <f t="shared" si="4"/>
        <v>0</v>
      </c>
      <c r="S134" s="41" t="str">
        <f t="shared" si="5"/>
        <v/>
      </c>
    </row>
    <row r="135" spans="1:19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3"/>
        <v>0</v>
      </c>
      <c r="R135" s="41">
        <f t="shared" si="4"/>
        <v>0</v>
      </c>
      <c r="S135" s="41" t="str">
        <f t="shared" si="5"/>
        <v/>
      </c>
    </row>
    <row r="136" spans="1:19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3"/>
        <v>0</v>
      </c>
      <c r="R136" s="41">
        <f t="shared" si="4"/>
        <v>0</v>
      </c>
      <c r="S136" s="41" t="str">
        <f t="shared" si="5"/>
        <v/>
      </c>
    </row>
    <row r="137" spans="1:19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3"/>
        <v>0</v>
      </c>
      <c r="R137" s="41">
        <f t="shared" si="4"/>
        <v>0</v>
      </c>
      <c r="S137" s="41" t="str">
        <f t="shared" si="5"/>
        <v/>
      </c>
    </row>
    <row r="138" spans="1:19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6">E138*F138</f>
        <v>0</v>
      </c>
      <c r="R138" s="41">
        <f t="shared" ref="R138:R201" si="7">Q138+(Q138*H138)</f>
        <v>0</v>
      </c>
      <c r="S138" s="41" t="str">
        <f t="shared" ref="S138:S201" si="8">IF(O138=$V$3,R138-(R138*G138),IF(O138=$V$4,-P138,""))</f>
        <v/>
      </c>
    </row>
    <row r="139" spans="1:19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6"/>
        <v>0</v>
      </c>
      <c r="R139" s="41">
        <f t="shared" si="7"/>
        <v>0</v>
      </c>
      <c r="S139" s="41" t="str">
        <f t="shared" si="8"/>
        <v/>
      </c>
    </row>
    <row r="140" spans="1:19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6"/>
        <v>0</v>
      </c>
      <c r="R140" s="41">
        <f t="shared" si="7"/>
        <v>0</v>
      </c>
      <c r="S140" s="41" t="str">
        <f t="shared" si="8"/>
        <v/>
      </c>
    </row>
    <row r="141" spans="1:19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6"/>
        <v>0</v>
      </c>
      <c r="R141" s="41">
        <f t="shared" si="7"/>
        <v>0</v>
      </c>
      <c r="S141" s="41" t="str">
        <f t="shared" si="8"/>
        <v/>
      </c>
    </row>
    <row r="142" spans="1:19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6"/>
        <v>0</v>
      </c>
      <c r="R142" s="41">
        <f t="shared" si="7"/>
        <v>0</v>
      </c>
      <c r="S142" s="41" t="str">
        <f t="shared" si="8"/>
        <v/>
      </c>
    </row>
    <row r="143" spans="1:19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6"/>
        <v>0</v>
      </c>
      <c r="R143" s="41">
        <f t="shared" si="7"/>
        <v>0</v>
      </c>
      <c r="S143" s="41" t="str">
        <f t="shared" si="8"/>
        <v/>
      </c>
    </row>
    <row r="144" spans="1:19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6"/>
        <v>0</v>
      </c>
      <c r="R144" s="41">
        <f t="shared" si="7"/>
        <v>0</v>
      </c>
      <c r="S144" s="41" t="str">
        <f t="shared" si="8"/>
        <v/>
      </c>
    </row>
    <row r="145" spans="1:19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6"/>
        <v>0</v>
      </c>
      <c r="R145" s="41">
        <f t="shared" si="7"/>
        <v>0</v>
      </c>
      <c r="S145" s="41" t="str">
        <f t="shared" si="8"/>
        <v/>
      </c>
    </row>
    <row r="146" spans="1:19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6"/>
        <v>0</v>
      </c>
      <c r="R146" s="41">
        <f t="shared" si="7"/>
        <v>0</v>
      </c>
      <c r="S146" s="41" t="str">
        <f t="shared" si="8"/>
        <v/>
      </c>
    </row>
    <row r="147" spans="1:19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6"/>
        <v>0</v>
      </c>
      <c r="R147" s="41">
        <f t="shared" si="7"/>
        <v>0</v>
      </c>
      <c r="S147" s="41" t="str">
        <f t="shared" si="8"/>
        <v/>
      </c>
    </row>
    <row r="148" spans="1:19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6"/>
        <v>0</v>
      </c>
      <c r="R148" s="41">
        <f t="shared" si="7"/>
        <v>0</v>
      </c>
      <c r="S148" s="41" t="str">
        <f t="shared" si="8"/>
        <v/>
      </c>
    </row>
    <row r="149" spans="1:19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6"/>
        <v>0</v>
      </c>
      <c r="R149" s="41">
        <f t="shared" si="7"/>
        <v>0</v>
      </c>
      <c r="S149" s="41" t="str">
        <f t="shared" si="8"/>
        <v/>
      </c>
    </row>
    <row r="150" spans="1:19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6"/>
        <v>0</v>
      </c>
      <c r="R150" s="41">
        <f t="shared" si="7"/>
        <v>0</v>
      </c>
      <c r="S150" s="41" t="str">
        <f t="shared" si="8"/>
        <v/>
      </c>
    </row>
    <row r="151" spans="1:19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6"/>
        <v>0</v>
      </c>
      <c r="R151" s="41">
        <f t="shared" si="7"/>
        <v>0</v>
      </c>
      <c r="S151" s="41" t="str">
        <f t="shared" si="8"/>
        <v/>
      </c>
    </row>
    <row r="152" spans="1:19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6"/>
        <v>0</v>
      </c>
      <c r="R152" s="41">
        <f t="shared" si="7"/>
        <v>0</v>
      </c>
      <c r="S152" s="41" t="str">
        <f t="shared" si="8"/>
        <v/>
      </c>
    </row>
    <row r="153" spans="1:19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6"/>
        <v>0</v>
      </c>
      <c r="R153" s="41">
        <f t="shared" si="7"/>
        <v>0</v>
      </c>
      <c r="S153" s="41" t="str">
        <f t="shared" si="8"/>
        <v/>
      </c>
    </row>
    <row r="154" spans="1:19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6"/>
        <v>0</v>
      </c>
      <c r="R154" s="41">
        <f t="shared" si="7"/>
        <v>0</v>
      </c>
      <c r="S154" s="41" t="str">
        <f t="shared" si="8"/>
        <v/>
      </c>
    </row>
    <row r="155" spans="1:19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6"/>
        <v>0</v>
      </c>
      <c r="R155" s="41">
        <f t="shared" si="7"/>
        <v>0</v>
      </c>
      <c r="S155" s="41" t="str">
        <f t="shared" si="8"/>
        <v/>
      </c>
    </row>
    <row r="156" spans="1:19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6"/>
        <v>0</v>
      </c>
      <c r="R156" s="41">
        <f t="shared" si="7"/>
        <v>0</v>
      </c>
      <c r="S156" s="41" t="str">
        <f t="shared" si="8"/>
        <v/>
      </c>
    </row>
    <row r="157" spans="1:19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6"/>
        <v>0</v>
      </c>
      <c r="R157" s="41">
        <f t="shared" si="7"/>
        <v>0</v>
      </c>
      <c r="S157" s="41" t="str">
        <f t="shared" si="8"/>
        <v/>
      </c>
    </row>
    <row r="158" spans="1:19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6"/>
        <v>0</v>
      </c>
      <c r="R158" s="41">
        <f t="shared" si="7"/>
        <v>0</v>
      </c>
      <c r="S158" s="41" t="str">
        <f t="shared" si="8"/>
        <v/>
      </c>
    </row>
    <row r="159" spans="1:19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6"/>
        <v>0</v>
      </c>
      <c r="R159" s="41">
        <f t="shared" si="7"/>
        <v>0</v>
      </c>
      <c r="S159" s="41" t="str">
        <f t="shared" si="8"/>
        <v/>
      </c>
    </row>
    <row r="160" spans="1:19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6"/>
        <v>0</v>
      </c>
      <c r="R160" s="41">
        <f t="shared" si="7"/>
        <v>0</v>
      </c>
      <c r="S160" s="41" t="str">
        <f t="shared" si="8"/>
        <v/>
      </c>
    </row>
    <row r="161" spans="1:19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6"/>
        <v>0</v>
      </c>
      <c r="R161" s="41">
        <f t="shared" si="7"/>
        <v>0</v>
      </c>
      <c r="S161" s="41" t="str">
        <f t="shared" si="8"/>
        <v/>
      </c>
    </row>
    <row r="162" spans="1:19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6"/>
        <v>0</v>
      </c>
      <c r="R162" s="41">
        <f t="shared" si="7"/>
        <v>0</v>
      </c>
      <c r="S162" s="41" t="str">
        <f t="shared" si="8"/>
        <v/>
      </c>
    </row>
    <row r="163" spans="1:19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6"/>
        <v>0</v>
      </c>
      <c r="R163" s="41">
        <f t="shared" si="7"/>
        <v>0</v>
      </c>
      <c r="S163" s="41" t="str">
        <f t="shared" si="8"/>
        <v/>
      </c>
    </row>
    <row r="164" spans="1:19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6"/>
        <v>0</v>
      </c>
      <c r="R164" s="41">
        <f t="shared" si="7"/>
        <v>0</v>
      </c>
      <c r="S164" s="41" t="str">
        <f t="shared" si="8"/>
        <v/>
      </c>
    </row>
    <row r="165" spans="1:19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6"/>
        <v>0</v>
      </c>
      <c r="R165" s="41">
        <f t="shared" si="7"/>
        <v>0</v>
      </c>
      <c r="S165" s="41" t="str">
        <f t="shared" si="8"/>
        <v/>
      </c>
    </row>
    <row r="166" spans="1:19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6"/>
        <v>0</v>
      </c>
      <c r="R166" s="41">
        <f t="shared" si="7"/>
        <v>0</v>
      </c>
      <c r="S166" s="41" t="str">
        <f t="shared" si="8"/>
        <v/>
      </c>
    </row>
    <row r="167" spans="1:19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6"/>
        <v>0</v>
      </c>
      <c r="R167" s="41">
        <f t="shared" si="7"/>
        <v>0</v>
      </c>
      <c r="S167" s="41" t="str">
        <f t="shared" si="8"/>
        <v/>
      </c>
    </row>
    <row r="168" spans="1:19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6"/>
        <v>0</v>
      </c>
      <c r="R168" s="41">
        <f t="shared" si="7"/>
        <v>0</v>
      </c>
      <c r="S168" s="41" t="str">
        <f t="shared" si="8"/>
        <v/>
      </c>
    </row>
    <row r="169" spans="1:19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6"/>
        <v>0</v>
      </c>
      <c r="R169" s="41">
        <f t="shared" si="7"/>
        <v>0</v>
      </c>
      <c r="S169" s="41" t="str">
        <f t="shared" si="8"/>
        <v/>
      </c>
    </row>
    <row r="170" spans="1:19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6"/>
        <v>0</v>
      </c>
      <c r="R170" s="41">
        <f t="shared" si="7"/>
        <v>0</v>
      </c>
      <c r="S170" s="41" t="str">
        <f t="shared" si="8"/>
        <v/>
      </c>
    </row>
    <row r="171" spans="1:19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6"/>
        <v>0</v>
      </c>
      <c r="R171" s="41">
        <f t="shared" si="7"/>
        <v>0</v>
      </c>
      <c r="S171" s="41" t="str">
        <f t="shared" si="8"/>
        <v/>
      </c>
    </row>
    <row r="172" spans="1:19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6"/>
        <v>0</v>
      </c>
      <c r="R172" s="41">
        <f t="shared" si="7"/>
        <v>0</v>
      </c>
      <c r="S172" s="41" t="str">
        <f t="shared" si="8"/>
        <v/>
      </c>
    </row>
    <row r="173" spans="1:19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6"/>
        <v>0</v>
      </c>
      <c r="R173" s="41">
        <f t="shared" si="7"/>
        <v>0</v>
      </c>
      <c r="S173" s="41" t="str">
        <f t="shared" si="8"/>
        <v/>
      </c>
    </row>
    <row r="174" spans="1:19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6"/>
        <v>0</v>
      </c>
      <c r="R174" s="41">
        <f t="shared" si="7"/>
        <v>0</v>
      </c>
      <c r="S174" s="41" t="str">
        <f t="shared" si="8"/>
        <v/>
      </c>
    </row>
    <row r="175" spans="1:19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6"/>
        <v>0</v>
      </c>
      <c r="R175" s="41">
        <f t="shared" si="7"/>
        <v>0</v>
      </c>
      <c r="S175" s="41" t="str">
        <f t="shared" si="8"/>
        <v/>
      </c>
    </row>
    <row r="176" spans="1:19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6"/>
        <v>0</v>
      </c>
      <c r="R176" s="41">
        <f t="shared" si="7"/>
        <v>0</v>
      </c>
      <c r="S176" s="41" t="str">
        <f t="shared" si="8"/>
        <v/>
      </c>
    </row>
    <row r="177" spans="1:19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6"/>
        <v>0</v>
      </c>
      <c r="R177" s="41">
        <f t="shared" si="7"/>
        <v>0</v>
      </c>
      <c r="S177" s="41" t="str">
        <f t="shared" si="8"/>
        <v/>
      </c>
    </row>
    <row r="178" spans="1:19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6"/>
        <v>0</v>
      </c>
      <c r="R178" s="41">
        <f t="shared" si="7"/>
        <v>0</v>
      </c>
      <c r="S178" s="41" t="str">
        <f t="shared" si="8"/>
        <v/>
      </c>
    </row>
    <row r="179" spans="1:19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6"/>
        <v>0</v>
      </c>
      <c r="R179" s="41">
        <f t="shared" si="7"/>
        <v>0</v>
      </c>
      <c r="S179" s="41" t="str">
        <f t="shared" si="8"/>
        <v/>
      </c>
    </row>
    <row r="180" spans="1:19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6"/>
        <v>0</v>
      </c>
      <c r="R180" s="41">
        <f t="shared" si="7"/>
        <v>0</v>
      </c>
      <c r="S180" s="41" t="str">
        <f t="shared" si="8"/>
        <v/>
      </c>
    </row>
    <row r="181" spans="1:19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6"/>
        <v>0</v>
      </c>
      <c r="R181" s="41">
        <f t="shared" si="7"/>
        <v>0</v>
      </c>
      <c r="S181" s="41" t="str">
        <f t="shared" si="8"/>
        <v/>
      </c>
    </row>
    <row r="182" spans="1:19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6"/>
        <v>0</v>
      </c>
      <c r="R182" s="41">
        <f t="shared" si="7"/>
        <v>0</v>
      </c>
      <c r="S182" s="41" t="str">
        <f t="shared" si="8"/>
        <v/>
      </c>
    </row>
    <row r="183" spans="1:19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6"/>
        <v>0</v>
      </c>
      <c r="R183" s="41">
        <f t="shared" si="7"/>
        <v>0</v>
      </c>
      <c r="S183" s="41" t="str">
        <f t="shared" si="8"/>
        <v/>
      </c>
    </row>
    <row r="184" spans="1:19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6"/>
        <v>0</v>
      </c>
      <c r="R184" s="41">
        <f t="shared" si="7"/>
        <v>0</v>
      </c>
      <c r="S184" s="41" t="str">
        <f t="shared" si="8"/>
        <v/>
      </c>
    </row>
    <row r="185" spans="1:19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6"/>
        <v>0</v>
      </c>
      <c r="R185" s="41">
        <f t="shared" si="7"/>
        <v>0</v>
      </c>
      <c r="S185" s="41" t="str">
        <f t="shared" si="8"/>
        <v/>
      </c>
    </row>
    <row r="186" spans="1:19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6"/>
        <v>0</v>
      </c>
      <c r="R186" s="41">
        <f t="shared" si="7"/>
        <v>0</v>
      </c>
      <c r="S186" s="41" t="str">
        <f t="shared" si="8"/>
        <v/>
      </c>
    </row>
    <row r="187" spans="1:19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6"/>
        <v>0</v>
      </c>
      <c r="R187" s="41">
        <f t="shared" si="7"/>
        <v>0</v>
      </c>
      <c r="S187" s="41" t="str">
        <f t="shared" si="8"/>
        <v/>
      </c>
    </row>
    <row r="188" spans="1:19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6"/>
        <v>0</v>
      </c>
      <c r="R188" s="41">
        <f t="shared" si="7"/>
        <v>0</v>
      </c>
      <c r="S188" s="41" t="str">
        <f t="shared" si="8"/>
        <v/>
      </c>
    </row>
    <row r="189" spans="1:19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6"/>
        <v>0</v>
      </c>
      <c r="R189" s="41">
        <f t="shared" si="7"/>
        <v>0</v>
      </c>
      <c r="S189" s="41" t="str">
        <f t="shared" si="8"/>
        <v/>
      </c>
    </row>
    <row r="190" spans="1:19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6"/>
        <v>0</v>
      </c>
      <c r="R190" s="41">
        <f t="shared" si="7"/>
        <v>0</v>
      </c>
      <c r="S190" s="41" t="str">
        <f t="shared" si="8"/>
        <v/>
      </c>
    </row>
    <row r="191" spans="1:19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6"/>
        <v>0</v>
      </c>
      <c r="R191" s="41">
        <f t="shared" si="7"/>
        <v>0</v>
      </c>
      <c r="S191" s="41" t="str">
        <f t="shared" si="8"/>
        <v/>
      </c>
    </row>
    <row r="192" spans="1:19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6"/>
        <v>0</v>
      </c>
      <c r="R192" s="41">
        <f t="shared" si="7"/>
        <v>0</v>
      </c>
      <c r="S192" s="41" t="str">
        <f t="shared" si="8"/>
        <v/>
      </c>
    </row>
    <row r="193" spans="1:19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6"/>
        <v>0</v>
      </c>
      <c r="R193" s="41">
        <f t="shared" si="7"/>
        <v>0</v>
      </c>
      <c r="S193" s="41" t="str">
        <f t="shared" si="8"/>
        <v/>
      </c>
    </row>
    <row r="194" spans="1:19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6"/>
        <v>0</v>
      </c>
      <c r="R194" s="41">
        <f t="shared" si="7"/>
        <v>0</v>
      </c>
      <c r="S194" s="41" t="str">
        <f t="shared" si="8"/>
        <v/>
      </c>
    </row>
    <row r="195" spans="1:19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6"/>
        <v>0</v>
      </c>
      <c r="R195" s="41">
        <f t="shared" si="7"/>
        <v>0</v>
      </c>
      <c r="S195" s="41" t="str">
        <f t="shared" si="8"/>
        <v/>
      </c>
    </row>
    <row r="196" spans="1:19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6"/>
        <v>0</v>
      </c>
      <c r="R196" s="41">
        <f t="shared" si="7"/>
        <v>0</v>
      </c>
      <c r="S196" s="41" t="str">
        <f t="shared" si="8"/>
        <v/>
      </c>
    </row>
    <row r="197" spans="1:19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6"/>
        <v>0</v>
      </c>
      <c r="R197" s="41">
        <f t="shared" si="7"/>
        <v>0</v>
      </c>
      <c r="S197" s="41" t="str">
        <f t="shared" si="8"/>
        <v/>
      </c>
    </row>
    <row r="198" spans="1:19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6"/>
        <v>0</v>
      </c>
      <c r="R198" s="41">
        <f t="shared" si="7"/>
        <v>0</v>
      </c>
      <c r="S198" s="41" t="str">
        <f t="shared" si="8"/>
        <v/>
      </c>
    </row>
    <row r="199" spans="1:19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6"/>
        <v>0</v>
      </c>
      <c r="R199" s="41">
        <f t="shared" si="7"/>
        <v>0</v>
      </c>
      <c r="S199" s="41" t="str">
        <f t="shared" si="8"/>
        <v/>
      </c>
    </row>
    <row r="200" spans="1:19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6"/>
        <v>0</v>
      </c>
      <c r="R200" s="41">
        <f t="shared" si="7"/>
        <v>0</v>
      </c>
      <c r="S200" s="41" t="str">
        <f t="shared" si="8"/>
        <v/>
      </c>
    </row>
    <row r="201" spans="1:19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6"/>
        <v>0</v>
      </c>
      <c r="R201" s="41">
        <f t="shared" si="7"/>
        <v>0</v>
      </c>
      <c r="S201" s="41" t="str">
        <f t="shared" si="8"/>
        <v/>
      </c>
    </row>
    <row r="202" spans="1:19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9">E202*F202</f>
        <v>0</v>
      </c>
      <c r="R202" s="41">
        <f t="shared" ref="R202:R208" si="10">Q202+(Q202*H202)</f>
        <v>0</v>
      </c>
      <c r="S202" s="41" t="str">
        <f t="shared" ref="S202:S208" si="11">IF(O202=$V$3,R202-(R202*G202),IF(O202=$V$4,-P202,""))</f>
        <v/>
      </c>
    </row>
    <row r="203" spans="1:19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9"/>
        <v>0</v>
      </c>
      <c r="R203" s="41">
        <f t="shared" si="10"/>
        <v>0</v>
      </c>
      <c r="S203" s="41" t="str">
        <f t="shared" si="11"/>
        <v/>
      </c>
    </row>
    <row r="204" spans="1:19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9"/>
        <v>0</v>
      </c>
      <c r="R204" s="41">
        <f t="shared" si="10"/>
        <v>0</v>
      </c>
      <c r="S204" s="41" t="str">
        <f t="shared" si="11"/>
        <v/>
      </c>
    </row>
    <row r="205" spans="1:19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9"/>
        <v>0</v>
      </c>
      <c r="R205" s="41">
        <f t="shared" si="10"/>
        <v>0</v>
      </c>
      <c r="S205" s="41" t="str">
        <f t="shared" si="11"/>
        <v/>
      </c>
    </row>
    <row r="206" spans="1:19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9"/>
        <v>0</v>
      </c>
      <c r="R206" s="41">
        <f t="shared" si="10"/>
        <v>0</v>
      </c>
      <c r="S206" s="41" t="str">
        <f t="shared" si="11"/>
        <v/>
      </c>
    </row>
    <row r="207" spans="1:19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9"/>
        <v>0</v>
      </c>
      <c r="R207" s="41">
        <f t="shared" si="10"/>
        <v>0</v>
      </c>
      <c r="S207" s="41" t="str">
        <f t="shared" si="11"/>
        <v/>
      </c>
    </row>
    <row r="208" spans="1:19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9"/>
        <v>0</v>
      </c>
      <c r="R208" s="41">
        <f t="shared" si="10"/>
        <v>0</v>
      </c>
      <c r="S208" s="41" t="str">
        <f t="shared" si="11"/>
        <v/>
      </c>
    </row>
  </sheetData>
  <autoFilter ref="A8:S208" xr:uid="{00000000-0009-0000-0000-000009000000}"/>
  <mergeCells count="2">
    <mergeCell ref="A1:C1"/>
    <mergeCell ref="E1:G1"/>
  </mergeCells>
  <conditionalFormatting sqref="S1:S1048576">
    <cfRule type="cellIs" dxfId="90" priority="3" operator="equal">
      <formula>"ERROR"</formula>
    </cfRule>
  </conditionalFormatting>
  <conditionalFormatting sqref="D4">
    <cfRule type="cellIs" dxfId="89" priority="1" operator="greaterThan">
      <formula>0</formula>
    </cfRule>
    <cfRule type="cellIs" dxfId="88" priority="2" operator="lessThanOrEqual">
      <formula>0</formula>
    </cfRule>
  </conditionalFormatting>
  <dataValidations count="1">
    <dataValidation type="list" allowBlank="1" showInputMessage="1" showErrorMessage="1" sqref="O9:O1048576" xr:uid="{B258D847-DA4D-8346-B1C3-15D79F25CE5B}">
      <formula1>$V$3:$V$4</formula1>
    </dataValidation>
  </dataValidations>
  <hyperlinks>
    <hyperlink ref="E1:G1" location="'Master Sheet'!A1" display="GO BACK TO MASTER SHEET" xr:uid="{B725C675-8404-9247-ADCD-3A9414DEA7C5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C2735464-C930-2447-9395-3B729475BDBF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3FEF42FC-0ABD-A04C-A04D-8764E2F6948C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88E00-DB33-FA43-AB54-61F378535A2E}">
  <sheetPr codeName="Sheet32"/>
  <dimension ref="A1:AC208"/>
  <sheetViews>
    <sheetView showGridLines="0" zoomScale="91" workbookViewId="0">
      <pane ySplit="8" topLeftCell="A9" activePane="bottomLeft" state="frozen"/>
      <selection activeCell="T1" sqref="T1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0.33203125" style="83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8" width="16" customWidth="1"/>
    <col min="19" max="19" width="26" style="42" customWidth="1"/>
    <col min="20" max="20" width="7.6640625" bestFit="1" customWidth="1"/>
    <col min="21" max="21" width="24.83203125" bestFit="1" customWidth="1"/>
    <col min="22" max="23" width="17.6640625" customWidth="1"/>
  </cols>
  <sheetData>
    <row r="1" spans="1:23" ht="24" customHeight="1" x14ac:dyDescent="0.2">
      <c r="A1" s="86" t="str">
        <f ca="1">VLOOKUP(A2,'Master Sheet'!J5:K39,2)</f>
        <v>Polymer international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S1"/>
    </row>
    <row r="2" spans="1:23" ht="20" thickBot="1" x14ac:dyDescent="0.3">
      <c r="A2" s="48" t="str" cm="1">
        <f t="array" aca="1" ref="A2" ca="1">MID(CELL("filename",A1),FIND("]",CELL("filename",A1))+1,99)</f>
        <v>C003</v>
      </c>
      <c r="F2"/>
      <c r="G2"/>
      <c r="H2"/>
      <c r="I2"/>
      <c r="J2"/>
      <c r="K2"/>
      <c r="L2"/>
      <c r="M2"/>
      <c r="N2"/>
      <c r="P2"/>
      <c r="S2"/>
    </row>
    <row r="3" spans="1:23" ht="16" thickBot="1" x14ac:dyDescent="0.25">
      <c r="A3" s="3"/>
      <c r="F3"/>
      <c r="G3"/>
      <c r="H3"/>
      <c r="I3"/>
      <c r="J3"/>
      <c r="K3"/>
      <c r="L3"/>
      <c r="M3"/>
      <c r="N3"/>
      <c r="P3"/>
      <c r="S3"/>
      <c r="V3" s="43" t="s">
        <v>83</v>
      </c>
      <c r="W3" s="44"/>
    </row>
    <row r="4" spans="1:23" ht="16" thickBot="1" x14ac:dyDescent="0.25">
      <c r="A4" s="3"/>
      <c r="C4" s="20" t="s">
        <v>286</v>
      </c>
      <c r="D4" s="50">
        <f>SUM(S9:S1048576)</f>
        <v>5497024.5099999998</v>
      </c>
      <c r="F4"/>
      <c r="G4"/>
      <c r="H4"/>
      <c r="I4"/>
      <c r="J4"/>
      <c r="K4"/>
      <c r="L4"/>
      <c r="M4"/>
      <c r="N4"/>
      <c r="P4"/>
      <c r="S4"/>
      <c r="V4" s="30" t="s">
        <v>198</v>
      </c>
      <c r="W4" s="45"/>
    </row>
    <row r="5" spans="1:23" x14ac:dyDescent="0.2">
      <c r="A5" s="3"/>
      <c r="F5"/>
      <c r="G5"/>
      <c r="H5"/>
      <c r="I5"/>
      <c r="J5"/>
      <c r="K5"/>
      <c r="L5"/>
      <c r="M5"/>
      <c r="N5"/>
      <c r="P5"/>
      <c r="S5"/>
    </row>
    <row r="6" spans="1:23" x14ac:dyDescent="0.2">
      <c r="A6" s="3"/>
      <c r="F6"/>
      <c r="G6"/>
      <c r="H6"/>
      <c r="I6"/>
      <c r="J6"/>
      <c r="K6"/>
      <c r="L6"/>
      <c r="M6"/>
      <c r="N6"/>
      <c r="P6"/>
      <c r="S6"/>
    </row>
    <row r="7" spans="1:23" x14ac:dyDescent="0.2">
      <c r="A7" s="3"/>
      <c r="F7"/>
      <c r="G7"/>
      <c r="H7"/>
      <c r="I7"/>
      <c r="J7"/>
      <c r="K7"/>
      <c r="L7"/>
      <c r="M7"/>
      <c r="N7"/>
      <c r="P7"/>
      <c r="S7"/>
    </row>
    <row r="8" spans="1:23" ht="36" customHeight="1" x14ac:dyDescent="0.2">
      <c r="A8" s="1" t="s">
        <v>70</v>
      </c>
      <c r="B8" s="84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226</v>
      </c>
      <c r="S8" s="1" t="s">
        <v>196</v>
      </c>
      <c r="T8" s="1" t="s">
        <v>284</v>
      </c>
      <c r="U8" s="68" t="s">
        <v>201</v>
      </c>
    </row>
    <row r="9" spans="1:23" x14ac:dyDescent="0.2">
      <c r="A9" s="4">
        <v>1</v>
      </c>
      <c r="B9" s="85">
        <v>45974</v>
      </c>
      <c r="C9" s="6"/>
      <c r="D9" s="6" t="s">
        <v>105</v>
      </c>
      <c r="E9" s="7">
        <v>20</v>
      </c>
      <c r="F9" s="41">
        <v>16000</v>
      </c>
      <c r="G9" s="46">
        <v>0.01</v>
      </c>
      <c r="H9" s="39">
        <v>0.18</v>
      </c>
      <c r="I9" s="41"/>
      <c r="J9" s="41"/>
      <c r="K9" s="41"/>
      <c r="L9" s="41"/>
      <c r="M9" s="41"/>
      <c r="N9" s="41"/>
      <c r="O9" s="6" t="s">
        <v>83</v>
      </c>
      <c r="P9" s="41"/>
      <c r="Q9" s="41">
        <f>E9*F9</f>
        <v>320000</v>
      </c>
      <c r="R9" s="41">
        <f>Q9+(Q9*H9)</f>
        <v>377600</v>
      </c>
      <c r="S9" s="41">
        <f>IF(O9=$V$3,R9-(R9*G9),IF(O9=$V$4,-P9,""))</f>
        <v>373824</v>
      </c>
      <c r="T9">
        <v>150</v>
      </c>
      <c r="U9" s="42">
        <f>SUM(S9)</f>
        <v>373824</v>
      </c>
    </row>
    <row r="10" spans="1:23" x14ac:dyDescent="0.2">
      <c r="A10" s="4">
        <v>2</v>
      </c>
      <c r="B10" s="85">
        <v>45997</v>
      </c>
      <c r="C10" s="6"/>
      <c r="D10" s="6" t="s">
        <v>105</v>
      </c>
      <c r="E10" s="7">
        <v>20</v>
      </c>
      <c r="F10" s="41">
        <v>16000</v>
      </c>
      <c r="G10" s="46">
        <v>0.01</v>
      </c>
      <c r="H10" s="39">
        <v>0.18</v>
      </c>
      <c r="I10" s="41"/>
      <c r="J10" s="41"/>
      <c r="K10" s="41"/>
      <c r="L10" s="41"/>
      <c r="M10" s="41"/>
      <c r="N10" s="41"/>
      <c r="O10" s="6" t="s">
        <v>83</v>
      </c>
      <c r="P10" s="41"/>
      <c r="Q10" s="41">
        <f t="shared" ref="Q10:Q73" si="0">E10*F10</f>
        <v>320000</v>
      </c>
      <c r="R10" s="41">
        <f t="shared" ref="R10:R73" si="1">Q10+(Q10*H10)</f>
        <v>377600</v>
      </c>
      <c r="S10" s="41">
        <f t="shared" ref="S10:S73" si="2">IF(O10=$V$3,R10-(R10*G10),IF(O10=$V$4,-P10,""))</f>
        <v>373824</v>
      </c>
      <c r="T10">
        <v>181</v>
      </c>
      <c r="U10" s="42">
        <f>SUM(S9:S10)</f>
        <v>747648</v>
      </c>
    </row>
    <row r="11" spans="1:23" x14ac:dyDescent="0.2">
      <c r="A11" s="4">
        <v>3</v>
      </c>
      <c r="B11" s="85">
        <v>46001</v>
      </c>
      <c r="C11" s="6"/>
      <c r="D11" s="6" t="s">
        <v>101</v>
      </c>
      <c r="E11" s="7">
        <v>200</v>
      </c>
      <c r="F11" s="41">
        <v>2125</v>
      </c>
      <c r="G11" s="46">
        <v>0.01</v>
      </c>
      <c r="H11" s="39">
        <v>0.18</v>
      </c>
      <c r="I11" s="41"/>
      <c r="J11" s="41"/>
      <c r="K11" s="41"/>
      <c r="L11" s="41"/>
      <c r="M11" s="41"/>
      <c r="N11" s="41"/>
      <c r="O11" s="6" t="s">
        <v>83</v>
      </c>
      <c r="P11" s="41"/>
      <c r="Q11" s="41">
        <f t="shared" si="0"/>
        <v>425000</v>
      </c>
      <c r="R11" s="41">
        <f t="shared" si="1"/>
        <v>501500</v>
      </c>
      <c r="S11" s="41">
        <f t="shared" si="2"/>
        <v>496485</v>
      </c>
      <c r="T11">
        <v>185</v>
      </c>
      <c r="U11" s="42">
        <f>SUM(S9:S11)</f>
        <v>1244133</v>
      </c>
    </row>
    <row r="12" spans="1:23" x14ac:dyDescent="0.2">
      <c r="A12" s="4">
        <v>4</v>
      </c>
      <c r="B12" s="85">
        <v>46009</v>
      </c>
      <c r="C12" s="6"/>
      <c r="D12" s="6" t="s">
        <v>101</v>
      </c>
      <c r="E12" s="7">
        <v>200</v>
      </c>
      <c r="F12" s="41">
        <v>2125</v>
      </c>
      <c r="G12" s="46">
        <v>0.01</v>
      </c>
      <c r="H12" s="39">
        <v>0.18</v>
      </c>
      <c r="I12" s="41"/>
      <c r="J12" s="41"/>
      <c r="K12" s="41"/>
      <c r="L12" s="41"/>
      <c r="M12" s="41"/>
      <c r="N12" s="41"/>
      <c r="O12" s="6" t="s">
        <v>83</v>
      </c>
      <c r="P12" s="41"/>
      <c r="Q12" s="41">
        <f t="shared" si="0"/>
        <v>425000</v>
      </c>
      <c r="R12" s="41">
        <f t="shared" si="1"/>
        <v>501500</v>
      </c>
      <c r="S12" s="41">
        <f t="shared" si="2"/>
        <v>496485</v>
      </c>
      <c r="T12">
        <v>195</v>
      </c>
      <c r="U12" s="42">
        <f>SUM(S9:S12)</f>
        <v>1740618</v>
      </c>
    </row>
    <row r="13" spans="1:23" x14ac:dyDescent="0.2">
      <c r="A13" s="4">
        <v>5</v>
      </c>
      <c r="B13" s="85">
        <v>46014</v>
      </c>
      <c r="C13" s="6"/>
      <c r="D13" s="6" t="s">
        <v>105</v>
      </c>
      <c r="E13" s="7">
        <v>20</v>
      </c>
      <c r="F13" s="41">
        <v>16000</v>
      </c>
      <c r="G13" s="46">
        <v>0.01</v>
      </c>
      <c r="H13" s="39">
        <v>0.18</v>
      </c>
      <c r="I13" s="41"/>
      <c r="J13" s="41"/>
      <c r="K13" s="41"/>
      <c r="L13" s="41"/>
      <c r="M13" s="41"/>
      <c r="N13" s="41"/>
      <c r="O13" s="6" t="s">
        <v>83</v>
      </c>
      <c r="P13" s="41"/>
      <c r="Q13" s="41">
        <f t="shared" si="0"/>
        <v>320000</v>
      </c>
      <c r="R13" s="41">
        <f t="shared" si="1"/>
        <v>377600</v>
      </c>
      <c r="S13" s="41">
        <f t="shared" si="2"/>
        <v>373824</v>
      </c>
      <c r="T13">
        <v>199</v>
      </c>
      <c r="U13" s="42">
        <f>SUM(S9:S13)</f>
        <v>2114442</v>
      </c>
    </row>
    <row r="14" spans="1:23" x14ac:dyDescent="0.2">
      <c r="A14" s="4">
        <v>6</v>
      </c>
      <c r="B14" s="85">
        <v>46029</v>
      </c>
      <c r="C14" s="6"/>
      <c r="D14" s="6" t="s">
        <v>101</v>
      </c>
      <c r="E14" s="7">
        <v>200</v>
      </c>
      <c r="F14" s="41">
        <v>2125</v>
      </c>
      <c r="G14" s="46">
        <v>0.01</v>
      </c>
      <c r="H14" s="39">
        <v>0.18</v>
      </c>
      <c r="I14" s="41"/>
      <c r="J14" s="41"/>
      <c r="K14" s="41"/>
      <c r="L14" s="41"/>
      <c r="M14" s="41"/>
      <c r="N14" s="41"/>
      <c r="O14" s="6" t="s">
        <v>83</v>
      </c>
      <c r="P14" s="41"/>
      <c r="Q14" s="41">
        <f t="shared" si="0"/>
        <v>425000</v>
      </c>
      <c r="R14" s="41">
        <f t="shared" si="1"/>
        <v>501500</v>
      </c>
      <c r="S14" s="41">
        <f t="shared" si="2"/>
        <v>496485</v>
      </c>
      <c r="T14">
        <v>209</v>
      </c>
      <c r="U14" s="42">
        <f>SUM(S9:S14)</f>
        <v>2610927</v>
      </c>
    </row>
    <row r="15" spans="1:23" x14ac:dyDescent="0.2">
      <c r="A15" s="4">
        <v>7</v>
      </c>
      <c r="B15" s="85">
        <v>46044</v>
      </c>
      <c r="C15" s="6"/>
      <c r="D15" s="6" t="s">
        <v>105</v>
      </c>
      <c r="E15" s="7">
        <v>20</v>
      </c>
      <c r="F15" s="41">
        <v>16000</v>
      </c>
      <c r="G15" s="46">
        <v>0.01</v>
      </c>
      <c r="H15" s="39">
        <v>0.18</v>
      </c>
      <c r="I15" s="41"/>
      <c r="J15" s="41"/>
      <c r="K15" s="41"/>
      <c r="L15" s="41"/>
      <c r="M15" s="41"/>
      <c r="N15" s="41"/>
      <c r="O15" s="6" t="s">
        <v>83</v>
      </c>
      <c r="P15" s="41"/>
      <c r="Q15" s="41">
        <f t="shared" si="0"/>
        <v>320000</v>
      </c>
      <c r="R15" s="41">
        <f t="shared" si="1"/>
        <v>377600</v>
      </c>
      <c r="S15" s="41">
        <f t="shared" si="2"/>
        <v>373824</v>
      </c>
      <c r="T15">
        <v>234</v>
      </c>
      <c r="U15" s="42">
        <f>SUM(S9:S15)</f>
        <v>2984751</v>
      </c>
    </row>
    <row r="16" spans="1:23" x14ac:dyDescent="0.2">
      <c r="A16" s="4">
        <v>8</v>
      </c>
      <c r="B16" s="85">
        <v>46056</v>
      </c>
      <c r="C16" s="6"/>
      <c r="D16" s="6" t="s">
        <v>101</v>
      </c>
      <c r="E16" s="7">
        <v>200</v>
      </c>
      <c r="F16" s="41">
        <v>2125</v>
      </c>
      <c r="G16" s="46">
        <v>0.01</v>
      </c>
      <c r="H16" s="39">
        <v>0.18</v>
      </c>
      <c r="I16" s="41"/>
      <c r="J16" s="41"/>
      <c r="K16" s="41"/>
      <c r="L16" s="41"/>
      <c r="M16" s="41"/>
      <c r="N16" s="41"/>
      <c r="O16" s="6" t="s">
        <v>83</v>
      </c>
      <c r="P16" s="41"/>
      <c r="Q16" s="41">
        <f t="shared" si="0"/>
        <v>425000</v>
      </c>
      <c r="R16" s="41">
        <f t="shared" si="1"/>
        <v>501500</v>
      </c>
      <c r="S16" s="41">
        <f t="shared" si="2"/>
        <v>496485</v>
      </c>
      <c r="T16">
        <v>252</v>
      </c>
      <c r="U16" s="42">
        <f>SUM(S9:S16)</f>
        <v>3481236</v>
      </c>
    </row>
    <row r="17" spans="1:29" x14ac:dyDescent="0.2">
      <c r="A17" s="4">
        <v>9</v>
      </c>
      <c r="B17" s="85">
        <v>46070</v>
      </c>
      <c r="C17" s="6"/>
      <c r="D17" s="6" t="s">
        <v>101</v>
      </c>
      <c r="E17" s="7">
        <v>200</v>
      </c>
      <c r="F17" s="41">
        <v>2125</v>
      </c>
      <c r="G17" s="46">
        <v>0.01</v>
      </c>
      <c r="H17" s="39">
        <v>0.18</v>
      </c>
      <c r="I17" s="41"/>
      <c r="J17" s="41"/>
      <c r="K17" s="41"/>
      <c r="L17" s="41"/>
      <c r="M17" s="41"/>
      <c r="N17" s="41"/>
      <c r="O17" s="6" t="s">
        <v>83</v>
      </c>
      <c r="P17" s="41"/>
      <c r="Q17" s="41">
        <f t="shared" si="0"/>
        <v>425000</v>
      </c>
      <c r="R17" s="41">
        <f t="shared" si="1"/>
        <v>501500</v>
      </c>
      <c r="S17" s="41">
        <f t="shared" si="2"/>
        <v>496485</v>
      </c>
      <c r="T17">
        <v>269</v>
      </c>
      <c r="U17" s="42">
        <f>SUM(S9:S17)</f>
        <v>3977721</v>
      </c>
    </row>
    <row r="18" spans="1:29" x14ac:dyDescent="0.2">
      <c r="A18" s="4">
        <v>10</v>
      </c>
      <c r="B18" s="85">
        <v>46070</v>
      </c>
      <c r="C18" s="6"/>
      <c r="D18" s="6" t="s">
        <v>101</v>
      </c>
      <c r="E18" s="7">
        <v>200</v>
      </c>
      <c r="F18" s="41">
        <v>2125</v>
      </c>
      <c r="G18" s="46">
        <v>0.01</v>
      </c>
      <c r="H18" s="39">
        <v>0.18</v>
      </c>
      <c r="I18" s="41"/>
      <c r="J18" s="41"/>
      <c r="K18" s="41"/>
      <c r="L18" s="41"/>
      <c r="M18" s="41"/>
      <c r="N18" s="41"/>
      <c r="O18" s="6" t="s">
        <v>83</v>
      </c>
      <c r="P18" s="41"/>
      <c r="Q18" s="41">
        <f t="shared" si="0"/>
        <v>425000</v>
      </c>
      <c r="R18" s="41">
        <f t="shared" si="1"/>
        <v>501500</v>
      </c>
      <c r="S18" s="41">
        <f t="shared" si="2"/>
        <v>496485</v>
      </c>
      <c r="T18">
        <v>272</v>
      </c>
      <c r="U18" s="42">
        <f>SUM(S9:S18)</f>
        <v>4474206</v>
      </c>
    </row>
    <row r="19" spans="1:29" x14ac:dyDescent="0.2">
      <c r="A19" s="4">
        <v>11</v>
      </c>
      <c r="B19" s="8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/>
      <c r="R19" s="41"/>
      <c r="S19" s="41"/>
      <c r="U19" s="42">
        <f>SUM(S9:S19)</f>
        <v>4474206</v>
      </c>
    </row>
    <row r="20" spans="1:29" x14ac:dyDescent="0.2">
      <c r="A20" s="4">
        <v>12</v>
      </c>
      <c r="B20" s="85">
        <v>46083</v>
      </c>
      <c r="C20" s="6"/>
      <c r="D20" s="6" t="s">
        <v>105</v>
      </c>
      <c r="E20" s="7">
        <v>20</v>
      </c>
      <c r="F20" s="41">
        <v>16000</v>
      </c>
      <c r="G20" s="46">
        <v>0.01</v>
      </c>
      <c r="H20" s="39">
        <v>0.18</v>
      </c>
      <c r="I20" s="41"/>
      <c r="J20" s="41"/>
      <c r="K20" s="41"/>
      <c r="L20" s="41"/>
      <c r="M20" s="41"/>
      <c r="N20" s="41"/>
      <c r="O20" s="6" t="s">
        <v>83</v>
      </c>
      <c r="P20" s="41"/>
      <c r="Q20" s="41">
        <f>E20*F20</f>
        <v>320000</v>
      </c>
      <c r="R20" s="41">
        <f t="shared" ref="R20" si="3">Q20+(Q20*H20)</f>
        <v>377600</v>
      </c>
      <c r="S20" s="41">
        <f t="shared" ref="S20" si="4">IF(O20=$V$3,R20-(R20*G20),IF(O20=$V$4,-P20,""))</f>
        <v>373824</v>
      </c>
      <c r="T20">
        <v>286</v>
      </c>
      <c r="U20" s="42">
        <f>SUM(S9:S20)</f>
        <v>4848030</v>
      </c>
      <c r="V20" s="42"/>
    </row>
    <row r="21" spans="1:29" x14ac:dyDescent="0.2">
      <c r="A21" s="4">
        <v>13</v>
      </c>
      <c r="B21" s="85">
        <v>46088</v>
      </c>
      <c r="C21" s="6"/>
      <c r="D21" s="6" t="s">
        <v>105</v>
      </c>
      <c r="E21" s="7">
        <v>20</v>
      </c>
      <c r="F21" s="41">
        <v>16000</v>
      </c>
      <c r="G21" s="46">
        <v>0.01</v>
      </c>
      <c r="H21" s="39">
        <v>0.18</v>
      </c>
      <c r="I21" s="41"/>
      <c r="J21" s="41"/>
      <c r="K21" s="41"/>
      <c r="L21" s="41"/>
      <c r="M21" s="41"/>
      <c r="N21" s="41"/>
      <c r="O21" s="6" t="s">
        <v>83</v>
      </c>
      <c r="P21" s="41"/>
      <c r="Q21" s="41">
        <f t="shared" si="0"/>
        <v>320000</v>
      </c>
      <c r="R21" s="41">
        <f t="shared" si="1"/>
        <v>377600</v>
      </c>
      <c r="S21" s="41">
        <f t="shared" si="2"/>
        <v>373824</v>
      </c>
      <c r="T21">
        <v>288</v>
      </c>
      <c r="U21" s="42">
        <f>SUM(S9:S21)</f>
        <v>5221854</v>
      </c>
    </row>
    <row r="22" spans="1:29" x14ac:dyDescent="0.2">
      <c r="A22" s="4">
        <v>14</v>
      </c>
      <c r="B22" s="85">
        <v>46091</v>
      </c>
      <c r="C22" s="6"/>
      <c r="D22" s="6" t="s">
        <v>86</v>
      </c>
      <c r="E22" s="7">
        <v>100</v>
      </c>
      <c r="F22" s="41">
        <v>4100</v>
      </c>
      <c r="G22" s="46">
        <v>0.01</v>
      </c>
      <c r="H22" s="39">
        <v>0.18</v>
      </c>
      <c r="I22" s="41"/>
      <c r="J22" s="41"/>
      <c r="K22" s="41"/>
      <c r="L22" s="41"/>
      <c r="M22" s="41"/>
      <c r="N22" s="41"/>
      <c r="O22" s="6" t="s">
        <v>83</v>
      </c>
      <c r="P22" s="41"/>
      <c r="Q22" s="41">
        <f t="shared" si="0"/>
        <v>410000</v>
      </c>
      <c r="R22" s="41">
        <f t="shared" si="1"/>
        <v>483800</v>
      </c>
      <c r="S22" s="41">
        <f t="shared" si="2"/>
        <v>478962</v>
      </c>
      <c r="T22">
        <v>291</v>
      </c>
      <c r="U22" s="42">
        <f>SUM(S9:S22)</f>
        <v>5700816</v>
      </c>
    </row>
    <row r="23" spans="1:29" x14ac:dyDescent="0.2">
      <c r="A23" s="4">
        <v>15</v>
      </c>
      <c r="B23" s="85">
        <v>46094</v>
      </c>
      <c r="C23" s="6"/>
      <c r="D23" s="6" t="s">
        <v>101</v>
      </c>
      <c r="E23" s="7">
        <v>200</v>
      </c>
      <c r="F23" s="41">
        <v>2125</v>
      </c>
      <c r="G23" s="46">
        <v>0.01</v>
      </c>
      <c r="H23" s="39">
        <v>0.18</v>
      </c>
      <c r="I23" s="41"/>
      <c r="J23" s="41"/>
      <c r="K23" s="41"/>
      <c r="L23" s="41"/>
      <c r="M23" s="41"/>
      <c r="N23" s="41"/>
      <c r="O23" s="6" t="s">
        <v>83</v>
      </c>
      <c r="P23" s="41"/>
      <c r="Q23" s="41">
        <f t="shared" si="0"/>
        <v>425000</v>
      </c>
      <c r="R23" s="41">
        <f t="shared" si="1"/>
        <v>501500</v>
      </c>
      <c r="S23" s="41">
        <f t="shared" si="2"/>
        <v>496485</v>
      </c>
      <c r="T23">
        <v>298</v>
      </c>
      <c r="U23" s="42">
        <f>SUM(S9:S23)</f>
        <v>6197301</v>
      </c>
    </row>
    <row r="24" spans="1:29" ht="16" thickBot="1" x14ac:dyDescent="0.25">
      <c r="A24" s="4">
        <v>16</v>
      </c>
      <c r="B24" s="85">
        <v>46108</v>
      </c>
      <c r="C24" s="6"/>
      <c r="D24" s="6" t="s">
        <v>101</v>
      </c>
      <c r="E24" s="7">
        <v>230</v>
      </c>
      <c r="F24" s="41">
        <v>2125</v>
      </c>
      <c r="G24" s="46">
        <v>0.01</v>
      </c>
      <c r="H24" s="39">
        <v>0.18</v>
      </c>
      <c r="I24" s="41"/>
      <c r="J24" s="41"/>
      <c r="K24" s="41"/>
      <c r="L24" s="41"/>
      <c r="M24" s="41"/>
      <c r="N24" s="41"/>
      <c r="O24" s="6" t="s">
        <v>83</v>
      </c>
      <c r="P24" s="41"/>
      <c r="Q24" s="41">
        <f t="shared" si="0"/>
        <v>488750</v>
      </c>
      <c r="R24" s="41">
        <f t="shared" si="1"/>
        <v>576725</v>
      </c>
      <c r="S24" s="41">
        <f t="shared" si="2"/>
        <v>570957.75</v>
      </c>
      <c r="T24">
        <v>314</v>
      </c>
      <c r="U24" s="42">
        <f>SUM(S9:S24)</f>
        <v>6768258.75</v>
      </c>
      <c r="V24" s="42"/>
    </row>
    <row r="25" spans="1:29" x14ac:dyDescent="0.2">
      <c r="A25" s="4">
        <v>17</v>
      </c>
      <c r="B25" s="85">
        <v>46100</v>
      </c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 t="s">
        <v>198</v>
      </c>
      <c r="P25" s="41">
        <v>1121471</v>
      </c>
      <c r="Q25" s="41">
        <f t="shared" si="0"/>
        <v>0</v>
      </c>
      <c r="R25" s="41">
        <f t="shared" si="1"/>
        <v>0</v>
      </c>
      <c r="S25" s="41">
        <f t="shared" si="2"/>
        <v>-1121471</v>
      </c>
      <c r="U25" s="42">
        <f>SUM(S9:S25)</f>
        <v>5646787.75</v>
      </c>
      <c r="V25" s="99" t="s">
        <v>285</v>
      </c>
      <c r="W25" s="100"/>
    </row>
    <row r="26" spans="1:29" x14ac:dyDescent="0.2">
      <c r="A26" s="4">
        <v>18</v>
      </c>
      <c r="B26" s="85">
        <v>46100</v>
      </c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 t="s">
        <v>198</v>
      </c>
      <c r="P26" s="41">
        <v>870309</v>
      </c>
      <c r="Q26" s="41">
        <f t="shared" si="0"/>
        <v>0</v>
      </c>
      <c r="R26" s="41">
        <f t="shared" si="1"/>
        <v>0</v>
      </c>
      <c r="S26" s="41">
        <f t="shared" si="2"/>
        <v>-870309</v>
      </c>
      <c r="U26" s="42">
        <f>SUM(S9:S26)</f>
        <v>4776478.75</v>
      </c>
      <c r="V26" s="101"/>
      <c r="W26" s="102"/>
    </row>
    <row r="27" spans="1:29" ht="16" thickBot="1" x14ac:dyDescent="0.25">
      <c r="A27" s="4">
        <v>19</v>
      </c>
      <c r="B27" s="85">
        <v>46100</v>
      </c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 t="s">
        <v>198</v>
      </c>
      <c r="P27" s="41">
        <v>1489455</v>
      </c>
      <c r="Q27" s="41">
        <f t="shared" si="0"/>
        <v>0</v>
      </c>
      <c r="R27" s="41">
        <f t="shared" si="1"/>
        <v>0</v>
      </c>
      <c r="S27" s="41">
        <f t="shared" si="2"/>
        <v>-1489455</v>
      </c>
      <c r="T27">
        <v>326</v>
      </c>
      <c r="U27" s="42">
        <f>SUM(S9:S27)</f>
        <v>3287023.75</v>
      </c>
      <c r="V27" s="103"/>
      <c r="W27" s="104"/>
      <c r="Z27" t="s">
        <v>273</v>
      </c>
      <c r="AA27" t="s">
        <v>274</v>
      </c>
    </row>
    <row r="28" spans="1:29" x14ac:dyDescent="0.2">
      <c r="A28" s="4">
        <v>20</v>
      </c>
      <c r="B28" s="85">
        <v>46116</v>
      </c>
      <c r="C28" s="6"/>
      <c r="D28" s="6" t="s">
        <v>105</v>
      </c>
      <c r="E28" s="7">
        <v>20</v>
      </c>
      <c r="F28" s="41">
        <v>16000</v>
      </c>
      <c r="G28" s="46">
        <v>0.01</v>
      </c>
      <c r="H28" s="39">
        <v>0.18</v>
      </c>
      <c r="I28" s="41"/>
      <c r="J28" s="41"/>
      <c r="K28" s="41"/>
      <c r="L28" s="41"/>
      <c r="M28" s="41"/>
      <c r="N28" s="41"/>
      <c r="O28" s="6" t="s">
        <v>83</v>
      </c>
      <c r="P28" s="41"/>
      <c r="Q28" s="41">
        <f t="shared" si="0"/>
        <v>320000</v>
      </c>
      <c r="R28" s="41">
        <f t="shared" si="1"/>
        <v>377600</v>
      </c>
      <c r="S28" s="41">
        <f t="shared" si="2"/>
        <v>373824</v>
      </c>
      <c r="U28" s="42">
        <f>SUM(S9:S28)</f>
        <v>3660847.75</v>
      </c>
      <c r="Y28" t="s">
        <v>272</v>
      </c>
      <c r="Z28">
        <v>500</v>
      </c>
      <c r="AA28">
        <v>20</v>
      </c>
      <c r="AB28">
        <f>AA28*Z28</f>
        <v>10000</v>
      </c>
      <c r="AC28" t="s">
        <v>275</v>
      </c>
    </row>
    <row r="29" spans="1:29" x14ac:dyDescent="0.2">
      <c r="A29" s="4">
        <v>21</v>
      </c>
      <c r="B29" s="85">
        <v>46125</v>
      </c>
      <c r="C29" s="6"/>
      <c r="D29" s="6" t="s">
        <v>105</v>
      </c>
      <c r="E29" s="7">
        <v>20</v>
      </c>
      <c r="F29" s="41">
        <v>16000</v>
      </c>
      <c r="G29" s="46">
        <v>0.01</v>
      </c>
      <c r="H29" s="39">
        <v>0.18</v>
      </c>
      <c r="I29" s="41"/>
      <c r="J29" s="41"/>
      <c r="K29" s="41"/>
      <c r="L29" s="41"/>
      <c r="M29" s="41"/>
      <c r="N29" s="41"/>
      <c r="O29" s="6" t="s">
        <v>83</v>
      </c>
      <c r="P29" s="41"/>
      <c r="Q29" s="41">
        <f t="shared" si="0"/>
        <v>320000</v>
      </c>
      <c r="R29" s="41">
        <f t="shared" si="1"/>
        <v>377600</v>
      </c>
      <c r="S29" s="41">
        <f t="shared" si="2"/>
        <v>373824</v>
      </c>
      <c r="T29">
        <v>331</v>
      </c>
      <c r="U29" s="42">
        <f>SUM(S10:S29)</f>
        <v>3660847.75</v>
      </c>
    </row>
    <row r="30" spans="1:29" x14ac:dyDescent="0.2">
      <c r="A30" s="4">
        <v>22</v>
      </c>
      <c r="B30" s="85">
        <v>46125</v>
      </c>
      <c r="C30" s="6"/>
      <c r="D30" s="6" t="s">
        <v>101</v>
      </c>
      <c r="E30" s="7">
        <v>200</v>
      </c>
      <c r="F30" s="41">
        <v>2125</v>
      </c>
      <c r="G30" s="46">
        <v>0.01</v>
      </c>
      <c r="H30" s="39">
        <v>0.18</v>
      </c>
      <c r="I30" s="41"/>
      <c r="J30" s="41"/>
      <c r="K30" s="41"/>
      <c r="L30" s="41"/>
      <c r="M30" s="41"/>
      <c r="N30" s="41"/>
      <c r="O30" s="6" t="s">
        <v>83</v>
      </c>
      <c r="P30" s="41"/>
      <c r="Q30" s="41">
        <f t="shared" si="0"/>
        <v>425000</v>
      </c>
      <c r="R30" s="41">
        <f t="shared" si="1"/>
        <v>501500</v>
      </c>
      <c r="S30" s="41">
        <f t="shared" si="2"/>
        <v>496485</v>
      </c>
      <c r="T30">
        <v>332</v>
      </c>
      <c r="U30" s="42">
        <f>SUM(S9:S30)</f>
        <v>4531156.75</v>
      </c>
    </row>
    <row r="31" spans="1:29" x14ac:dyDescent="0.2">
      <c r="A31" s="4">
        <v>23</v>
      </c>
      <c r="B31" s="85">
        <v>46127</v>
      </c>
      <c r="C31" s="6"/>
      <c r="D31" s="6" t="s">
        <v>86</v>
      </c>
      <c r="E31" s="7">
        <v>98</v>
      </c>
      <c r="F31" s="41">
        <v>4100</v>
      </c>
      <c r="G31" s="46">
        <v>0.01</v>
      </c>
      <c r="H31" s="39">
        <v>0.18</v>
      </c>
      <c r="I31" s="41"/>
      <c r="J31" s="41"/>
      <c r="K31" s="41"/>
      <c r="L31" s="41"/>
      <c r="M31" s="41"/>
      <c r="N31" s="41"/>
      <c r="O31" s="6" t="s">
        <v>83</v>
      </c>
      <c r="P31" s="41"/>
      <c r="Q31" s="41">
        <f t="shared" si="0"/>
        <v>401800</v>
      </c>
      <c r="R31" s="41">
        <f t="shared" si="1"/>
        <v>474124</v>
      </c>
      <c r="S31" s="41">
        <f t="shared" si="2"/>
        <v>469382.76</v>
      </c>
      <c r="T31">
        <v>334</v>
      </c>
      <c r="V31" s="42"/>
    </row>
    <row r="32" spans="1:29" x14ac:dyDescent="0.2">
      <c r="A32" s="4">
        <v>24</v>
      </c>
      <c r="B32" s="85">
        <v>46130</v>
      </c>
      <c r="C32" s="6"/>
      <c r="D32" s="6" t="s">
        <v>101</v>
      </c>
      <c r="E32" s="7">
        <v>200</v>
      </c>
      <c r="F32" s="41">
        <v>2125</v>
      </c>
      <c r="G32" s="46">
        <v>0.01</v>
      </c>
      <c r="H32" s="39">
        <v>0.18</v>
      </c>
      <c r="I32" s="41"/>
      <c r="J32" s="41"/>
      <c r="K32" s="41"/>
      <c r="L32" s="41"/>
      <c r="M32" s="41"/>
      <c r="N32" s="41"/>
      <c r="O32" s="6" t="s">
        <v>83</v>
      </c>
      <c r="P32" s="41"/>
      <c r="Q32" s="41">
        <f t="shared" si="0"/>
        <v>425000</v>
      </c>
      <c r="R32" s="41">
        <f t="shared" si="1"/>
        <v>501500</v>
      </c>
      <c r="S32" s="41">
        <f t="shared" si="2"/>
        <v>496485</v>
      </c>
      <c r="T32">
        <v>340</v>
      </c>
    </row>
    <row r="33" spans="1:19" x14ac:dyDescent="0.2">
      <c r="A33" s="4">
        <v>25</v>
      </c>
      <c r="B33" s="8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>
        <f t="shared" si="1"/>
        <v>0</v>
      </c>
      <c r="S33" s="41" t="str">
        <f t="shared" si="2"/>
        <v/>
      </c>
    </row>
    <row r="34" spans="1:19" x14ac:dyDescent="0.2">
      <c r="A34" s="4">
        <v>26</v>
      </c>
      <c r="B34" s="8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>
        <f t="shared" si="1"/>
        <v>0</v>
      </c>
      <c r="S34" s="41" t="str">
        <f t="shared" si="2"/>
        <v/>
      </c>
    </row>
    <row r="35" spans="1:19" x14ac:dyDescent="0.2">
      <c r="A35" s="4">
        <v>27</v>
      </c>
      <c r="B35" s="8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>
        <f t="shared" si="1"/>
        <v>0</v>
      </c>
      <c r="S35" s="41" t="str">
        <f t="shared" si="2"/>
        <v/>
      </c>
    </row>
    <row r="36" spans="1:19" x14ac:dyDescent="0.2">
      <c r="A36" s="4">
        <v>28</v>
      </c>
      <c r="B36" s="8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>
        <f t="shared" si="1"/>
        <v>0</v>
      </c>
      <c r="S36" s="41" t="str">
        <f t="shared" si="2"/>
        <v/>
      </c>
    </row>
    <row r="37" spans="1:19" x14ac:dyDescent="0.2">
      <c r="A37" s="4">
        <v>29</v>
      </c>
      <c r="B37" s="8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>
        <f t="shared" si="1"/>
        <v>0</v>
      </c>
      <c r="S37" s="41" t="str">
        <f t="shared" si="2"/>
        <v/>
      </c>
    </row>
    <row r="38" spans="1:19" x14ac:dyDescent="0.2">
      <c r="A38" s="4">
        <v>30</v>
      </c>
      <c r="B38" s="8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>
        <f t="shared" si="1"/>
        <v>0</v>
      </c>
      <c r="S38" s="41" t="str">
        <f t="shared" si="2"/>
        <v/>
      </c>
    </row>
    <row r="39" spans="1:19" x14ac:dyDescent="0.2">
      <c r="A39" s="4">
        <v>31</v>
      </c>
      <c r="B39" s="8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>
        <f t="shared" si="1"/>
        <v>0</v>
      </c>
      <c r="S39" s="41" t="str">
        <f t="shared" si="2"/>
        <v/>
      </c>
    </row>
    <row r="40" spans="1:19" x14ac:dyDescent="0.2">
      <c r="A40" s="4">
        <v>32</v>
      </c>
      <c r="B40" s="8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>
        <f t="shared" si="1"/>
        <v>0</v>
      </c>
      <c r="S40" s="41" t="str">
        <f t="shared" si="2"/>
        <v/>
      </c>
    </row>
    <row r="41" spans="1:19" x14ac:dyDescent="0.2">
      <c r="A41" s="4">
        <v>33</v>
      </c>
      <c r="B41" s="8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>
        <f t="shared" si="1"/>
        <v>0</v>
      </c>
      <c r="S41" s="41" t="str">
        <f t="shared" si="2"/>
        <v/>
      </c>
    </row>
    <row r="42" spans="1:19" x14ac:dyDescent="0.2">
      <c r="A42" s="4">
        <v>34</v>
      </c>
      <c r="B42" s="8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>
        <f t="shared" si="1"/>
        <v>0</v>
      </c>
      <c r="S42" s="41" t="str">
        <f t="shared" si="2"/>
        <v/>
      </c>
    </row>
    <row r="43" spans="1:19" x14ac:dyDescent="0.2">
      <c r="A43" s="4">
        <v>35</v>
      </c>
      <c r="B43" s="8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>
        <f t="shared" si="1"/>
        <v>0</v>
      </c>
      <c r="S43" s="41" t="str">
        <f t="shared" si="2"/>
        <v/>
      </c>
    </row>
    <row r="44" spans="1:19" x14ac:dyDescent="0.2">
      <c r="A44" s="4">
        <v>36</v>
      </c>
      <c r="B44" s="8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>
        <f t="shared" si="1"/>
        <v>0</v>
      </c>
      <c r="S44" s="41" t="str">
        <f t="shared" si="2"/>
        <v/>
      </c>
    </row>
    <row r="45" spans="1:19" x14ac:dyDescent="0.2">
      <c r="A45" s="4">
        <v>37</v>
      </c>
      <c r="B45" s="8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>
        <f t="shared" si="1"/>
        <v>0</v>
      </c>
      <c r="S45" s="41" t="str">
        <f t="shared" si="2"/>
        <v/>
      </c>
    </row>
    <row r="46" spans="1:19" x14ac:dyDescent="0.2">
      <c r="A46" s="4">
        <v>38</v>
      </c>
      <c r="B46" s="8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>
        <f t="shared" si="1"/>
        <v>0</v>
      </c>
      <c r="S46" s="41" t="str">
        <f t="shared" si="2"/>
        <v/>
      </c>
    </row>
    <row r="47" spans="1:19" x14ac:dyDescent="0.2">
      <c r="A47" s="4">
        <v>39</v>
      </c>
      <c r="B47" s="8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>
        <f t="shared" si="1"/>
        <v>0</v>
      </c>
      <c r="S47" s="41" t="str">
        <f t="shared" si="2"/>
        <v/>
      </c>
    </row>
    <row r="48" spans="1:19" x14ac:dyDescent="0.2">
      <c r="A48" s="4">
        <v>40</v>
      </c>
      <c r="B48" s="8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>
        <f t="shared" si="1"/>
        <v>0</v>
      </c>
      <c r="S48" s="41" t="str">
        <f t="shared" si="2"/>
        <v/>
      </c>
    </row>
    <row r="49" spans="1:19" x14ac:dyDescent="0.2">
      <c r="A49" s="4">
        <v>41</v>
      </c>
      <c r="B49" s="8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>
        <f t="shared" si="1"/>
        <v>0</v>
      </c>
      <c r="S49" s="41" t="str">
        <f t="shared" si="2"/>
        <v/>
      </c>
    </row>
    <row r="50" spans="1:19" x14ac:dyDescent="0.2">
      <c r="A50" s="4">
        <v>42</v>
      </c>
      <c r="B50" s="8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>
        <f t="shared" si="1"/>
        <v>0</v>
      </c>
      <c r="S50" s="41" t="str">
        <f t="shared" si="2"/>
        <v/>
      </c>
    </row>
    <row r="51" spans="1:19" x14ac:dyDescent="0.2">
      <c r="A51" s="4">
        <v>43</v>
      </c>
      <c r="B51" s="8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>
        <f t="shared" si="1"/>
        <v>0</v>
      </c>
      <c r="S51" s="41" t="str">
        <f t="shared" si="2"/>
        <v/>
      </c>
    </row>
    <row r="52" spans="1:19" x14ac:dyDescent="0.2">
      <c r="A52" s="4">
        <v>44</v>
      </c>
      <c r="B52" s="8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>
        <f t="shared" si="1"/>
        <v>0</v>
      </c>
      <c r="S52" s="41" t="str">
        <f t="shared" si="2"/>
        <v/>
      </c>
    </row>
    <row r="53" spans="1:19" x14ac:dyDescent="0.2">
      <c r="A53" s="4">
        <v>45</v>
      </c>
      <c r="B53" s="8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>
        <f t="shared" si="1"/>
        <v>0</v>
      </c>
      <c r="S53" s="41" t="str">
        <f t="shared" si="2"/>
        <v/>
      </c>
    </row>
    <row r="54" spans="1:19" x14ac:dyDescent="0.2">
      <c r="A54" s="4">
        <v>46</v>
      </c>
      <c r="B54" s="8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>
        <f t="shared" si="1"/>
        <v>0</v>
      </c>
      <c r="S54" s="41" t="str">
        <f t="shared" si="2"/>
        <v/>
      </c>
    </row>
    <row r="55" spans="1:19" x14ac:dyDescent="0.2">
      <c r="A55" s="4">
        <v>47</v>
      </c>
      <c r="B55" s="8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>
        <f t="shared" si="1"/>
        <v>0</v>
      </c>
      <c r="S55" s="41" t="str">
        <f t="shared" si="2"/>
        <v/>
      </c>
    </row>
    <row r="56" spans="1:19" x14ac:dyDescent="0.2">
      <c r="A56" s="4">
        <v>48</v>
      </c>
      <c r="B56" s="8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>
        <f t="shared" si="1"/>
        <v>0</v>
      </c>
      <c r="S56" s="41" t="str">
        <f t="shared" si="2"/>
        <v/>
      </c>
    </row>
    <row r="57" spans="1:19" x14ac:dyDescent="0.2">
      <c r="A57" s="4">
        <v>49</v>
      </c>
      <c r="B57" s="8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>
        <f t="shared" si="1"/>
        <v>0</v>
      </c>
      <c r="S57" s="41" t="str">
        <f t="shared" si="2"/>
        <v/>
      </c>
    </row>
    <row r="58" spans="1:19" x14ac:dyDescent="0.2">
      <c r="A58" s="4">
        <v>50</v>
      </c>
      <c r="B58" s="8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>
        <f t="shared" si="1"/>
        <v>0</v>
      </c>
      <c r="S58" s="41" t="str">
        <f t="shared" si="2"/>
        <v/>
      </c>
    </row>
    <row r="59" spans="1:19" x14ac:dyDescent="0.2">
      <c r="A59" s="4">
        <v>51</v>
      </c>
      <c r="B59" s="8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>
        <f t="shared" si="1"/>
        <v>0</v>
      </c>
      <c r="S59" s="41" t="str">
        <f t="shared" si="2"/>
        <v/>
      </c>
    </row>
    <row r="60" spans="1:19" x14ac:dyDescent="0.2">
      <c r="A60" s="4">
        <v>52</v>
      </c>
      <c r="B60" s="8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>
        <f t="shared" si="1"/>
        <v>0</v>
      </c>
      <c r="S60" s="41" t="str">
        <f t="shared" si="2"/>
        <v/>
      </c>
    </row>
    <row r="61" spans="1:19" x14ac:dyDescent="0.2">
      <c r="A61" s="4">
        <v>53</v>
      </c>
      <c r="B61" s="8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>
        <f t="shared" si="1"/>
        <v>0</v>
      </c>
      <c r="S61" s="41" t="str">
        <f t="shared" si="2"/>
        <v/>
      </c>
    </row>
    <row r="62" spans="1:19" x14ac:dyDescent="0.2">
      <c r="A62" s="4">
        <v>54</v>
      </c>
      <c r="B62" s="8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>
        <f t="shared" si="1"/>
        <v>0</v>
      </c>
      <c r="S62" s="41" t="str">
        <f t="shared" si="2"/>
        <v/>
      </c>
    </row>
    <row r="63" spans="1:19" x14ac:dyDescent="0.2">
      <c r="A63" s="4">
        <v>55</v>
      </c>
      <c r="B63" s="8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>
        <f t="shared" si="1"/>
        <v>0</v>
      </c>
      <c r="S63" s="41" t="str">
        <f t="shared" si="2"/>
        <v/>
      </c>
    </row>
    <row r="64" spans="1:19" x14ac:dyDescent="0.2">
      <c r="A64" s="4">
        <v>56</v>
      </c>
      <c r="B64" s="8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>
        <f t="shared" si="1"/>
        <v>0</v>
      </c>
      <c r="S64" s="41" t="str">
        <f t="shared" si="2"/>
        <v/>
      </c>
    </row>
    <row r="65" spans="1:19" x14ac:dyDescent="0.2">
      <c r="A65" s="4">
        <v>57</v>
      </c>
      <c r="B65" s="8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>
        <f t="shared" si="1"/>
        <v>0</v>
      </c>
      <c r="S65" s="41" t="str">
        <f t="shared" si="2"/>
        <v/>
      </c>
    </row>
    <row r="66" spans="1:19" x14ac:dyDescent="0.2">
      <c r="A66" s="4">
        <v>58</v>
      </c>
      <c r="B66" s="8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>
        <f t="shared" si="1"/>
        <v>0</v>
      </c>
      <c r="S66" s="41" t="str">
        <f t="shared" si="2"/>
        <v/>
      </c>
    </row>
    <row r="67" spans="1:19" x14ac:dyDescent="0.2">
      <c r="A67" s="4">
        <v>59</v>
      </c>
      <c r="B67" s="8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>
        <f t="shared" si="1"/>
        <v>0</v>
      </c>
      <c r="S67" s="41" t="str">
        <f t="shared" si="2"/>
        <v/>
      </c>
    </row>
    <row r="68" spans="1:19" x14ac:dyDescent="0.2">
      <c r="A68" s="4">
        <v>60</v>
      </c>
      <c r="B68" s="8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>
        <f t="shared" si="1"/>
        <v>0</v>
      </c>
      <c r="S68" s="41" t="str">
        <f t="shared" si="2"/>
        <v/>
      </c>
    </row>
    <row r="69" spans="1:19" x14ac:dyDescent="0.2">
      <c r="A69" s="4">
        <v>61</v>
      </c>
      <c r="B69" s="8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>
        <f t="shared" si="1"/>
        <v>0</v>
      </c>
      <c r="S69" s="41" t="str">
        <f t="shared" si="2"/>
        <v/>
      </c>
    </row>
    <row r="70" spans="1:19" x14ac:dyDescent="0.2">
      <c r="A70" s="4">
        <v>62</v>
      </c>
      <c r="B70" s="8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>
        <f t="shared" si="1"/>
        <v>0</v>
      </c>
      <c r="S70" s="41" t="str">
        <f t="shared" si="2"/>
        <v/>
      </c>
    </row>
    <row r="71" spans="1:19" x14ac:dyDescent="0.2">
      <c r="A71" s="4">
        <v>63</v>
      </c>
      <c r="B71" s="8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>
        <f t="shared" si="1"/>
        <v>0</v>
      </c>
      <c r="S71" s="41" t="str">
        <f t="shared" si="2"/>
        <v/>
      </c>
    </row>
    <row r="72" spans="1:19" x14ac:dyDescent="0.2">
      <c r="A72" s="4">
        <v>64</v>
      </c>
      <c r="B72" s="8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>
        <f t="shared" si="1"/>
        <v>0</v>
      </c>
      <c r="S72" s="41" t="str">
        <f t="shared" si="2"/>
        <v/>
      </c>
    </row>
    <row r="73" spans="1:19" x14ac:dyDescent="0.2">
      <c r="A73" s="4">
        <v>65</v>
      </c>
      <c r="B73" s="8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>
        <f t="shared" si="1"/>
        <v>0</v>
      </c>
      <c r="S73" s="41" t="str">
        <f t="shared" si="2"/>
        <v/>
      </c>
    </row>
    <row r="74" spans="1:19" x14ac:dyDescent="0.2">
      <c r="A74" s="4">
        <v>66</v>
      </c>
      <c r="B74" s="8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5">E74*F74</f>
        <v>0</v>
      </c>
      <c r="R74" s="41">
        <f t="shared" ref="R74:R137" si="6">Q74+(Q74*H74)</f>
        <v>0</v>
      </c>
      <c r="S74" s="41" t="str">
        <f t="shared" ref="S74:S137" si="7">IF(O74=$V$3,R74-(R74*G74),IF(O74=$V$4,-P74,""))</f>
        <v/>
      </c>
    </row>
    <row r="75" spans="1:19" x14ac:dyDescent="0.2">
      <c r="A75" s="4">
        <v>67</v>
      </c>
      <c r="B75" s="8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5"/>
        <v>0</v>
      </c>
      <c r="R75" s="41">
        <f t="shared" si="6"/>
        <v>0</v>
      </c>
      <c r="S75" s="41" t="str">
        <f t="shared" si="7"/>
        <v/>
      </c>
    </row>
    <row r="76" spans="1:19" x14ac:dyDescent="0.2">
      <c r="A76" s="4">
        <v>68</v>
      </c>
      <c r="B76" s="8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5"/>
        <v>0</v>
      </c>
      <c r="R76" s="41">
        <f t="shared" si="6"/>
        <v>0</v>
      </c>
      <c r="S76" s="41" t="str">
        <f t="shared" si="7"/>
        <v/>
      </c>
    </row>
    <row r="77" spans="1:19" x14ac:dyDescent="0.2">
      <c r="A77" s="4">
        <v>69</v>
      </c>
      <c r="B77" s="8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5"/>
        <v>0</v>
      </c>
      <c r="R77" s="41">
        <f t="shared" si="6"/>
        <v>0</v>
      </c>
      <c r="S77" s="41" t="str">
        <f t="shared" si="7"/>
        <v/>
      </c>
    </row>
    <row r="78" spans="1:19" x14ac:dyDescent="0.2">
      <c r="A78" s="4">
        <v>70</v>
      </c>
      <c r="B78" s="8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5"/>
        <v>0</v>
      </c>
      <c r="R78" s="41">
        <f t="shared" si="6"/>
        <v>0</v>
      </c>
      <c r="S78" s="41" t="str">
        <f t="shared" si="7"/>
        <v/>
      </c>
    </row>
    <row r="79" spans="1:19" x14ac:dyDescent="0.2">
      <c r="A79" s="4">
        <v>71</v>
      </c>
      <c r="B79" s="8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5"/>
        <v>0</v>
      </c>
      <c r="R79" s="41">
        <f t="shared" si="6"/>
        <v>0</v>
      </c>
      <c r="S79" s="41" t="str">
        <f t="shared" si="7"/>
        <v/>
      </c>
    </row>
    <row r="80" spans="1:19" x14ac:dyDescent="0.2">
      <c r="A80" s="4">
        <v>72</v>
      </c>
      <c r="B80" s="8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5"/>
        <v>0</v>
      </c>
      <c r="R80" s="41">
        <f t="shared" si="6"/>
        <v>0</v>
      </c>
      <c r="S80" s="41" t="str">
        <f t="shared" si="7"/>
        <v/>
      </c>
    </row>
    <row r="81" spans="1:19" x14ac:dyDescent="0.2">
      <c r="A81" s="4">
        <v>73</v>
      </c>
      <c r="B81" s="8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5"/>
        <v>0</v>
      </c>
      <c r="R81" s="41">
        <f t="shared" si="6"/>
        <v>0</v>
      </c>
      <c r="S81" s="41" t="str">
        <f t="shared" si="7"/>
        <v/>
      </c>
    </row>
    <row r="82" spans="1:19" x14ac:dyDescent="0.2">
      <c r="A82" s="4">
        <v>74</v>
      </c>
      <c r="B82" s="8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5"/>
        <v>0</v>
      </c>
      <c r="R82" s="41">
        <f t="shared" si="6"/>
        <v>0</v>
      </c>
      <c r="S82" s="41" t="str">
        <f t="shared" si="7"/>
        <v/>
      </c>
    </row>
    <row r="83" spans="1:19" x14ac:dyDescent="0.2">
      <c r="A83" s="4">
        <v>75</v>
      </c>
      <c r="B83" s="8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5"/>
        <v>0</v>
      </c>
      <c r="R83" s="41">
        <f t="shared" si="6"/>
        <v>0</v>
      </c>
      <c r="S83" s="41" t="str">
        <f t="shared" si="7"/>
        <v/>
      </c>
    </row>
    <row r="84" spans="1:19" x14ac:dyDescent="0.2">
      <c r="A84" s="4">
        <v>76</v>
      </c>
      <c r="B84" s="8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5"/>
        <v>0</v>
      </c>
      <c r="R84" s="41">
        <f t="shared" si="6"/>
        <v>0</v>
      </c>
      <c r="S84" s="41" t="str">
        <f t="shared" si="7"/>
        <v/>
      </c>
    </row>
    <row r="85" spans="1:19" x14ac:dyDescent="0.2">
      <c r="A85" s="4">
        <v>77</v>
      </c>
      <c r="B85" s="8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5"/>
        <v>0</v>
      </c>
      <c r="R85" s="41">
        <f t="shared" si="6"/>
        <v>0</v>
      </c>
      <c r="S85" s="41" t="str">
        <f t="shared" si="7"/>
        <v/>
      </c>
    </row>
    <row r="86" spans="1:19" x14ac:dyDescent="0.2">
      <c r="A86" s="4">
        <v>78</v>
      </c>
      <c r="B86" s="8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5"/>
        <v>0</v>
      </c>
      <c r="R86" s="41">
        <f t="shared" si="6"/>
        <v>0</v>
      </c>
      <c r="S86" s="41" t="str">
        <f t="shared" si="7"/>
        <v/>
      </c>
    </row>
    <row r="87" spans="1:19" x14ac:dyDescent="0.2">
      <c r="A87" s="4">
        <v>79</v>
      </c>
      <c r="B87" s="8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5"/>
        <v>0</v>
      </c>
      <c r="R87" s="41">
        <f t="shared" si="6"/>
        <v>0</v>
      </c>
      <c r="S87" s="41" t="str">
        <f t="shared" si="7"/>
        <v/>
      </c>
    </row>
    <row r="88" spans="1:19" x14ac:dyDescent="0.2">
      <c r="A88" s="4">
        <v>80</v>
      </c>
      <c r="B88" s="8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5"/>
        <v>0</v>
      </c>
      <c r="R88" s="41">
        <f t="shared" si="6"/>
        <v>0</v>
      </c>
      <c r="S88" s="41" t="str">
        <f t="shared" si="7"/>
        <v/>
      </c>
    </row>
    <row r="89" spans="1:19" x14ac:dyDescent="0.2">
      <c r="A89" s="4">
        <v>81</v>
      </c>
      <c r="B89" s="8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5"/>
        <v>0</v>
      </c>
      <c r="R89" s="41">
        <f t="shared" si="6"/>
        <v>0</v>
      </c>
      <c r="S89" s="41" t="str">
        <f t="shared" si="7"/>
        <v/>
      </c>
    </row>
    <row r="90" spans="1:19" x14ac:dyDescent="0.2">
      <c r="A90" s="4">
        <v>82</v>
      </c>
      <c r="B90" s="8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5"/>
        <v>0</v>
      </c>
      <c r="R90" s="41">
        <f t="shared" si="6"/>
        <v>0</v>
      </c>
      <c r="S90" s="41" t="str">
        <f t="shared" si="7"/>
        <v/>
      </c>
    </row>
    <row r="91" spans="1:19" x14ac:dyDescent="0.2">
      <c r="A91" s="4">
        <v>83</v>
      </c>
      <c r="B91" s="8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5"/>
        <v>0</v>
      </c>
      <c r="R91" s="41">
        <f t="shared" si="6"/>
        <v>0</v>
      </c>
      <c r="S91" s="41" t="str">
        <f t="shared" si="7"/>
        <v/>
      </c>
    </row>
    <row r="92" spans="1:19" x14ac:dyDescent="0.2">
      <c r="A92" s="4">
        <v>84</v>
      </c>
      <c r="B92" s="8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5"/>
        <v>0</v>
      </c>
      <c r="R92" s="41">
        <f t="shared" si="6"/>
        <v>0</v>
      </c>
      <c r="S92" s="41" t="str">
        <f t="shared" si="7"/>
        <v/>
      </c>
    </row>
    <row r="93" spans="1:19" x14ac:dyDescent="0.2">
      <c r="A93" s="4">
        <v>85</v>
      </c>
      <c r="B93" s="8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5"/>
        <v>0</v>
      </c>
      <c r="R93" s="41">
        <f t="shared" si="6"/>
        <v>0</v>
      </c>
      <c r="S93" s="41" t="str">
        <f t="shared" si="7"/>
        <v/>
      </c>
    </row>
    <row r="94" spans="1:19" x14ac:dyDescent="0.2">
      <c r="A94" s="4">
        <v>86</v>
      </c>
      <c r="B94" s="8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5"/>
        <v>0</v>
      </c>
      <c r="R94" s="41">
        <f t="shared" si="6"/>
        <v>0</v>
      </c>
      <c r="S94" s="41" t="str">
        <f t="shared" si="7"/>
        <v/>
      </c>
    </row>
    <row r="95" spans="1:19" x14ac:dyDescent="0.2">
      <c r="A95" s="4">
        <v>87</v>
      </c>
      <c r="B95" s="8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5"/>
        <v>0</v>
      </c>
      <c r="R95" s="41">
        <f t="shared" si="6"/>
        <v>0</v>
      </c>
      <c r="S95" s="41" t="str">
        <f t="shared" si="7"/>
        <v/>
      </c>
    </row>
    <row r="96" spans="1:19" x14ac:dyDescent="0.2">
      <c r="A96" s="4">
        <v>88</v>
      </c>
      <c r="B96" s="8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5"/>
        <v>0</v>
      </c>
      <c r="R96" s="41">
        <f t="shared" si="6"/>
        <v>0</v>
      </c>
      <c r="S96" s="41" t="str">
        <f t="shared" si="7"/>
        <v/>
      </c>
    </row>
    <row r="97" spans="1:19" x14ac:dyDescent="0.2">
      <c r="A97" s="4">
        <v>89</v>
      </c>
      <c r="B97" s="8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5"/>
        <v>0</v>
      </c>
      <c r="R97" s="41">
        <f t="shared" si="6"/>
        <v>0</v>
      </c>
      <c r="S97" s="41" t="str">
        <f t="shared" si="7"/>
        <v/>
      </c>
    </row>
    <row r="98" spans="1:19" x14ac:dyDescent="0.2">
      <c r="A98" s="4">
        <v>90</v>
      </c>
      <c r="B98" s="8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5"/>
        <v>0</v>
      </c>
      <c r="R98" s="41">
        <f t="shared" si="6"/>
        <v>0</v>
      </c>
      <c r="S98" s="41" t="str">
        <f t="shared" si="7"/>
        <v/>
      </c>
    </row>
    <row r="99" spans="1:19" x14ac:dyDescent="0.2">
      <c r="A99" s="4">
        <v>91</v>
      </c>
      <c r="B99" s="8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5"/>
        <v>0</v>
      </c>
      <c r="R99" s="41">
        <f t="shared" si="6"/>
        <v>0</v>
      </c>
      <c r="S99" s="41" t="str">
        <f t="shared" si="7"/>
        <v/>
      </c>
    </row>
    <row r="100" spans="1:19" x14ac:dyDescent="0.2">
      <c r="A100" s="4">
        <v>92</v>
      </c>
      <c r="B100" s="8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5"/>
        <v>0</v>
      </c>
      <c r="R100" s="41">
        <f t="shared" si="6"/>
        <v>0</v>
      </c>
      <c r="S100" s="41" t="str">
        <f t="shared" si="7"/>
        <v/>
      </c>
    </row>
    <row r="101" spans="1:19" x14ac:dyDescent="0.2">
      <c r="A101" s="4">
        <v>93</v>
      </c>
      <c r="B101" s="8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5"/>
        <v>0</v>
      </c>
      <c r="R101" s="41">
        <f t="shared" si="6"/>
        <v>0</v>
      </c>
      <c r="S101" s="41" t="str">
        <f t="shared" si="7"/>
        <v/>
      </c>
    </row>
    <row r="102" spans="1:19" x14ac:dyDescent="0.2">
      <c r="A102" s="4">
        <v>94</v>
      </c>
      <c r="B102" s="8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5"/>
        <v>0</v>
      </c>
      <c r="R102" s="41">
        <f t="shared" si="6"/>
        <v>0</v>
      </c>
      <c r="S102" s="41" t="str">
        <f t="shared" si="7"/>
        <v/>
      </c>
    </row>
    <row r="103" spans="1:19" x14ac:dyDescent="0.2">
      <c r="A103" s="4">
        <v>95</v>
      </c>
      <c r="B103" s="8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5"/>
        <v>0</v>
      </c>
      <c r="R103" s="41">
        <f t="shared" si="6"/>
        <v>0</v>
      </c>
      <c r="S103" s="41" t="str">
        <f t="shared" si="7"/>
        <v/>
      </c>
    </row>
    <row r="104" spans="1:19" x14ac:dyDescent="0.2">
      <c r="A104" s="4">
        <v>96</v>
      </c>
      <c r="B104" s="8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5"/>
        <v>0</v>
      </c>
      <c r="R104" s="41">
        <f t="shared" si="6"/>
        <v>0</v>
      </c>
      <c r="S104" s="41" t="str">
        <f t="shared" si="7"/>
        <v/>
      </c>
    </row>
    <row r="105" spans="1:19" x14ac:dyDescent="0.2">
      <c r="A105" s="4">
        <v>97</v>
      </c>
      <c r="B105" s="8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5"/>
        <v>0</v>
      </c>
      <c r="R105" s="41">
        <f t="shared" si="6"/>
        <v>0</v>
      </c>
      <c r="S105" s="41" t="str">
        <f t="shared" si="7"/>
        <v/>
      </c>
    </row>
    <row r="106" spans="1:19" x14ac:dyDescent="0.2">
      <c r="A106" s="4">
        <v>98</v>
      </c>
      <c r="B106" s="8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5"/>
        <v>0</v>
      </c>
      <c r="R106" s="41">
        <f t="shared" si="6"/>
        <v>0</v>
      </c>
      <c r="S106" s="41" t="str">
        <f t="shared" si="7"/>
        <v/>
      </c>
    </row>
    <row r="107" spans="1:19" x14ac:dyDescent="0.2">
      <c r="A107" s="4">
        <v>99</v>
      </c>
      <c r="B107" s="8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5"/>
        <v>0</v>
      </c>
      <c r="R107" s="41">
        <f t="shared" si="6"/>
        <v>0</v>
      </c>
      <c r="S107" s="41" t="str">
        <f t="shared" si="7"/>
        <v/>
      </c>
    </row>
    <row r="108" spans="1:19" x14ac:dyDescent="0.2">
      <c r="A108" s="4">
        <v>100</v>
      </c>
      <c r="B108" s="8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5"/>
        <v>0</v>
      </c>
      <c r="R108" s="41">
        <f t="shared" si="6"/>
        <v>0</v>
      </c>
      <c r="S108" s="41" t="str">
        <f t="shared" si="7"/>
        <v/>
      </c>
    </row>
    <row r="109" spans="1:19" x14ac:dyDescent="0.2">
      <c r="A109" s="4">
        <v>101</v>
      </c>
      <c r="B109" s="8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5"/>
        <v>0</v>
      </c>
      <c r="R109" s="41">
        <f t="shared" si="6"/>
        <v>0</v>
      </c>
      <c r="S109" s="41" t="str">
        <f t="shared" si="7"/>
        <v/>
      </c>
    </row>
    <row r="110" spans="1:19" x14ac:dyDescent="0.2">
      <c r="A110" s="4">
        <v>102</v>
      </c>
      <c r="B110" s="8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5"/>
        <v>0</v>
      </c>
      <c r="R110" s="41">
        <f t="shared" si="6"/>
        <v>0</v>
      </c>
      <c r="S110" s="41" t="str">
        <f t="shared" si="7"/>
        <v/>
      </c>
    </row>
    <row r="111" spans="1:19" x14ac:dyDescent="0.2">
      <c r="A111" s="4">
        <v>103</v>
      </c>
      <c r="B111" s="8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5"/>
        <v>0</v>
      </c>
      <c r="R111" s="41">
        <f t="shared" si="6"/>
        <v>0</v>
      </c>
      <c r="S111" s="41" t="str">
        <f t="shared" si="7"/>
        <v/>
      </c>
    </row>
    <row r="112" spans="1:19" x14ac:dyDescent="0.2">
      <c r="A112" s="4">
        <v>104</v>
      </c>
      <c r="B112" s="8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5"/>
        <v>0</v>
      </c>
      <c r="R112" s="41">
        <f t="shared" si="6"/>
        <v>0</v>
      </c>
      <c r="S112" s="41" t="str">
        <f t="shared" si="7"/>
        <v/>
      </c>
    </row>
    <row r="113" spans="1:19" x14ac:dyDescent="0.2">
      <c r="A113" s="4">
        <v>105</v>
      </c>
      <c r="B113" s="8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5"/>
        <v>0</v>
      </c>
      <c r="R113" s="41">
        <f t="shared" si="6"/>
        <v>0</v>
      </c>
      <c r="S113" s="41" t="str">
        <f t="shared" si="7"/>
        <v/>
      </c>
    </row>
    <row r="114" spans="1:19" x14ac:dyDescent="0.2">
      <c r="A114" s="4">
        <v>106</v>
      </c>
      <c r="B114" s="8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5"/>
        <v>0</v>
      </c>
      <c r="R114" s="41">
        <f t="shared" si="6"/>
        <v>0</v>
      </c>
      <c r="S114" s="41" t="str">
        <f t="shared" si="7"/>
        <v/>
      </c>
    </row>
    <row r="115" spans="1:19" x14ac:dyDescent="0.2">
      <c r="A115" s="4">
        <v>107</v>
      </c>
      <c r="B115" s="8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5"/>
        <v>0</v>
      </c>
      <c r="R115" s="41">
        <f t="shared" si="6"/>
        <v>0</v>
      </c>
      <c r="S115" s="41" t="str">
        <f t="shared" si="7"/>
        <v/>
      </c>
    </row>
    <row r="116" spans="1:19" x14ac:dyDescent="0.2">
      <c r="A116" s="4">
        <v>108</v>
      </c>
      <c r="B116" s="8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5"/>
        <v>0</v>
      </c>
      <c r="R116" s="41">
        <f t="shared" si="6"/>
        <v>0</v>
      </c>
      <c r="S116" s="41" t="str">
        <f t="shared" si="7"/>
        <v/>
      </c>
    </row>
    <row r="117" spans="1:19" x14ac:dyDescent="0.2">
      <c r="A117" s="4">
        <v>109</v>
      </c>
      <c r="B117" s="8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5"/>
        <v>0</v>
      </c>
      <c r="R117" s="41">
        <f t="shared" si="6"/>
        <v>0</v>
      </c>
      <c r="S117" s="41" t="str">
        <f t="shared" si="7"/>
        <v/>
      </c>
    </row>
    <row r="118" spans="1:19" x14ac:dyDescent="0.2">
      <c r="A118" s="4">
        <v>110</v>
      </c>
      <c r="B118" s="8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5"/>
        <v>0</v>
      </c>
      <c r="R118" s="41">
        <f t="shared" si="6"/>
        <v>0</v>
      </c>
      <c r="S118" s="41" t="str">
        <f t="shared" si="7"/>
        <v/>
      </c>
    </row>
    <row r="119" spans="1:19" x14ac:dyDescent="0.2">
      <c r="A119" s="4">
        <v>111</v>
      </c>
      <c r="B119" s="8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5"/>
        <v>0</v>
      </c>
      <c r="R119" s="41">
        <f t="shared" si="6"/>
        <v>0</v>
      </c>
      <c r="S119" s="41" t="str">
        <f t="shared" si="7"/>
        <v/>
      </c>
    </row>
    <row r="120" spans="1:19" x14ac:dyDescent="0.2">
      <c r="A120" s="4">
        <v>112</v>
      </c>
      <c r="B120" s="8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5"/>
        <v>0</v>
      </c>
      <c r="R120" s="41">
        <f t="shared" si="6"/>
        <v>0</v>
      </c>
      <c r="S120" s="41" t="str">
        <f t="shared" si="7"/>
        <v/>
      </c>
    </row>
    <row r="121" spans="1:19" x14ac:dyDescent="0.2">
      <c r="A121" s="4">
        <v>113</v>
      </c>
      <c r="B121" s="8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5"/>
        <v>0</v>
      </c>
      <c r="R121" s="41">
        <f t="shared" si="6"/>
        <v>0</v>
      </c>
      <c r="S121" s="41" t="str">
        <f t="shared" si="7"/>
        <v/>
      </c>
    </row>
    <row r="122" spans="1:19" x14ac:dyDescent="0.2">
      <c r="A122" s="4">
        <v>114</v>
      </c>
      <c r="B122" s="8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5"/>
        <v>0</v>
      </c>
      <c r="R122" s="41">
        <f t="shared" si="6"/>
        <v>0</v>
      </c>
      <c r="S122" s="41" t="str">
        <f t="shared" si="7"/>
        <v/>
      </c>
    </row>
    <row r="123" spans="1:19" x14ac:dyDescent="0.2">
      <c r="A123" s="4">
        <v>115</v>
      </c>
      <c r="B123" s="8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5"/>
        <v>0</v>
      </c>
      <c r="R123" s="41">
        <f t="shared" si="6"/>
        <v>0</v>
      </c>
      <c r="S123" s="41" t="str">
        <f t="shared" si="7"/>
        <v/>
      </c>
    </row>
    <row r="124" spans="1:19" x14ac:dyDescent="0.2">
      <c r="A124" s="4">
        <v>116</v>
      </c>
      <c r="B124" s="8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5"/>
        <v>0</v>
      </c>
      <c r="R124" s="41">
        <f t="shared" si="6"/>
        <v>0</v>
      </c>
      <c r="S124" s="41" t="str">
        <f t="shared" si="7"/>
        <v/>
      </c>
    </row>
    <row r="125" spans="1:19" x14ac:dyDescent="0.2">
      <c r="A125" s="4">
        <v>117</v>
      </c>
      <c r="B125" s="8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5"/>
        <v>0</v>
      </c>
      <c r="R125" s="41">
        <f t="shared" si="6"/>
        <v>0</v>
      </c>
      <c r="S125" s="41" t="str">
        <f t="shared" si="7"/>
        <v/>
      </c>
    </row>
    <row r="126" spans="1:19" x14ac:dyDescent="0.2">
      <c r="A126" s="4">
        <v>118</v>
      </c>
      <c r="B126" s="8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5"/>
        <v>0</v>
      </c>
      <c r="R126" s="41">
        <f t="shared" si="6"/>
        <v>0</v>
      </c>
      <c r="S126" s="41" t="str">
        <f t="shared" si="7"/>
        <v/>
      </c>
    </row>
    <row r="127" spans="1:19" x14ac:dyDescent="0.2">
      <c r="A127" s="4">
        <v>119</v>
      </c>
      <c r="B127" s="8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5"/>
        <v>0</v>
      </c>
      <c r="R127" s="41">
        <f t="shared" si="6"/>
        <v>0</v>
      </c>
      <c r="S127" s="41" t="str">
        <f t="shared" si="7"/>
        <v/>
      </c>
    </row>
    <row r="128" spans="1:19" x14ac:dyDescent="0.2">
      <c r="A128" s="4">
        <v>120</v>
      </c>
      <c r="B128" s="8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5"/>
        <v>0</v>
      </c>
      <c r="R128" s="41">
        <f t="shared" si="6"/>
        <v>0</v>
      </c>
      <c r="S128" s="41" t="str">
        <f t="shared" si="7"/>
        <v/>
      </c>
    </row>
    <row r="129" spans="1:19" x14ac:dyDescent="0.2">
      <c r="A129" s="4">
        <v>121</v>
      </c>
      <c r="B129" s="8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5"/>
        <v>0</v>
      </c>
      <c r="R129" s="41">
        <f t="shared" si="6"/>
        <v>0</v>
      </c>
      <c r="S129" s="41" t="str">
        <f t="shared" si="7"/>
        <v/>
      </c>
    </row>
    <row r="130" spans="1:19" x14ac:dyDescent="0.2">
      <c r="A130" s="4">
        <v>122</v>
      </c>
      <c r="B130" s="8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5"/>
        <v>0</v>
      </c>
      <c r="R130" s="41">
        <f t="shared" si="6"/>
        <v>0</v>
      </c>
      <c r="S130" s="41" t="str">
        <f t="shared" si="7"/>
        <v/>
      </c>
    </row>
    <row r="131" spans="1:19" x14ac:dyDescent="0.2">
      <c r="A131" s="4">
        <v>123</v>
      </c>
      <c r="B131" s="8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5"/>
        <v>0</v>
      </c>
      <c r="R131" s="41">
        <f t="shared" si="6"/>
        <v>0</v>
      </c>
      <c r="S131" s="41" t="str">
        <f t="shared" si="7"/>
        <v/>
      </c>
    </row>
    <row r="132" spans="1:19" x14ac:dyDescent="0.2">
      <c r="A132" s="4">
        <v>124</v>
      </c>
      <c r="B132" s="8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5"/>
        <v>0</v>
      </c>
      <c r="R132" s="41">
        <f t="shared" si="6"/>
        <v>0</v>
      </c>
      <c r="S132" s="41" t="str">
        <f t="shared" si="7"/>
        <v/>
      </c>
    </row>
    <row r="133" spans="1:19" x14ac:dyDescent="0.2">
      <c r="A133" s="4">
        <v>125</v>
      </c>
      <c r="B133" s="8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5"/>
        <v>0</v>
      </c>
      <c r="R133" s="41">
        <f t="shared" si="6"/>
        <v>0</v>
      </c>
      <c r="S133" s="41" t="str">
        <f t="shared" si="7"/>
        <v/>
      </c>
    </row>
    <row r="134" spans="1:19" x14ac:dyDescent="0.2">
      <c r="A134" s="4">
        <v>126</v>
      </c>
      <c r="B134" s="8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5"/>
        <v>0</v>
      </c>
      <c r="R134" s="41">
        <f t="shared" si="6"/>
        <v>0</v>
      </c>
      <c r="S134" s="41" t="str">
        <f t="shared" si="7"/>
        <v/>
      </c>
    </row>
    <row r="135" spans="1:19" x14ac:dyDescent="0.2">
      <c r="A135" s="4">
        <v>127</v>
      </c>
      <c r="B135" s="8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5"/>
        <v>0</v>
      </c>
      <c r="R135" s="41">
        <f t="shared" si="6"/>
        <v>0</v>
      </c>
      <c r="S135" s="41" t="str">
        <f t="shared" si="7"/>
        <v/>
      </c>
    </row>
    <row r="136" spans="1:19" x14ac:dyDescent="0.2">
      <c r="A136" s="4">
        <v>128</v>
      </c>
      <c r="B136" s="8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5"/>
        <v>0</v>
      </c>
      <c r="R136" s="41">
        <f t="shared" si="6"/>
        <v>0</v>
      </c>
      <c r="S136" s="41" t="str">
        <f t="shared" si="7"/>
        <v/>
      </c>
    </row>
    <row r="137" spans="1:19" x14ac:dyDescent="0.2">
      <c r="A137" s="4">
        <v>129</v>
      </c>
      <c r="B137" s="8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5"/>
        <v>0</v>
      </c>
      <c r="R137" s="41">
        <f t="shared" si="6"/>
        <v>0</v>
      </c>
      <c r="S137" s="41" t="str">
        <f t="shared" si="7"/>
        <v/>
      </c>
    </row>
    <row r="138" spans="1:19" x14ac:dyDescent="0.2">
      <c r="A138" s="4">
        <v>130</v>
      </c>
      <c r="B138" s="8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8">E138*F138</f>
        <v>0</v>
      </c>
      <c r="R138" s="41">
        <f t="shared" ref="R138:R201" si="9">Q138+(Q138*H138)</f>
        <v>0</v>
      </c>
      <c r="S138" s="41" t="str">
        <f t="shared" ref="S138:S201" si="10">IF(O138=$V$3,R138-(R138*G138),IF(O138=$V$4,-P138,""))</f>
        <v/>
      </c>
    </row>
    <row r="139" spans="1:19" x14ac:dyDescent="0.2">
      <c r="A139" s="4">
        <v>131</v>
      </c>
      <c r="B139" s="8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8"/>
        <v>0</v>
      </c>
      <c r="R139" s="41">
        <f t="shared" si="9"/>
        <v>0</v>
      </c>
      <c r="S139" s="41" t="str">
        <f t="shared" si="10"/>
        <v/>
      </c>
    </row>
    <row r="140" spans="1:19" x14ac:dyDescent="0.2">
      <c r="A140" s="4">
        <v>132</v>
      </c>
      <c r="B140" s="8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8"/>
        <v>0</v>
      </c>
      <c r="R140" s="41">
        <f t="shared" si="9"/>
        <v>0</v>
      </c>
      <c r="S140" s="41" t="str">
        <f t="shared" si="10"/>
        <v/>
      </c>
    </row>
    <row r="141" spans="1:19" x14ac:dyDescent="0.2">
      <c r="A141" s="4">
        <v>133</v>
      </c>
      <c r="B141" s="8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8"/>
        <v>0</v>
      </c>
      <c r="R141" s="41">
        <f t="shared" si="9"/>
        <v>0</v>
      </c>
      <c r="S141" s="41" t="str">
        <f t="shared" si="10"/>
        <v/>
      </c>
    </row>
    <row r="142" spans="1:19" x14ac:dyDescent="0.2">
      <c r="A142" s="4">
        <v>134</v>
      </c>
      <c r="B142" s="8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8"/>
        <v>0</v>
      </c>
      <c r="R142" s="41">
        <f t="shared" si="9"/>
        <v>0</v>
      </c>
      <c r="S142" s="41" t="str">
        <f t="shared" si="10"/>
        <v/>
      </c>
    </row>
    <row r="143" spans="1:19" x14ac:dyDescent="0.2">
      <c r="A143" s="4">
        <v>135</v>
      </c>
      <c r="B143" s="8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8"/>
        <v>0</v>
      </c>
      <c r="R143" s="41">
        <f t="shared" si="9"/>
        <v>0</v>
      </c>
      <c r="S143" s="41" t="str">
        <f t="shared" si="10"/>
        <v/>
      </c>
    </row>
    <row r="144" spans="1:19" x14ac:dyDescent="0.2">
      <c r="A144" s="4">
        <v>136</v>
      </c>
      <c r="B144" s="8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8"/>
        <v>0</v>
      </c>
      <c r="R144" s="41">
        <f t="shared" si="9"/>
        <v>0</v>
      </c>
      <c r="S144" s="41" t="str">
        <f t="shared" si="10"/>
        <v/>
      </c>
    </row>
    <row r="145" spans="1:19" x14ac:dyDescent="0.2">
      <c r="A145" s="4">
        <v>137</v>
      </c>
      <c r="B145" s="8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8"/>
        <v>0</v>
      </c>
      <c r="R145" s="41">
        <f t="shared" si="9"/>
        <v>0</v>
      </c>
      <c r="S145" s="41" t="str">
        <f t="shared" si="10"/>
        <v/>
      </c>
    </row>
    <row r="146" spans="1:19" x14ac:dyDescent="0.2">
      <c r="A146" s="4">
        <v>138</v>
      </c>
      <c r="B146" s="8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8"/>
        <v>0</v>
      </c>
      <c r="R146" s="41">
        <f t="shared" si="9"/>
        <v>0</v>
      </c>
      <c r="S146" s="41" t="str">
        <f t="shared" si="10"/>
        <v/>
      </c>
    </row>
    <row r="147" spans="1:19" x14ac:dyDescent="0.2">
      <c r="A147" s="4">
        <v>139</v>
      </c>
      <c r="B147" s="8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8"/>
        <v>0</v>
      </c>
      <c r="R147" s="41">
        <f t="shared" si="9"/>
        <v>0</v>
      </c>
      <c r="S147" s="41" t="str">
        <f t="shared" si="10"/>
        <v/>
      </c>
    </row>
    <row r="148" spans="1:19" x14ac:dyDescent="0.2">
      <c r="A148" s="4">
        <v>140</v>
      </c>
      <c r="B148" s="8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8"/>
        <v>0</v>
      </c>
      <c r="R148" s="41">
        <f t="shared" si="9"/>
        <v>0</v>
      </c>
      <c r="S148" s="41" t="str">
        <f t="shared" si="10"/>
        <v/>
      </c>
    </row>
    <row r="149" spans="1:19" x14ac:dyDescent="0.2">
      <c r="A149" s="4">
        <v>141</v>
      </c>
      <c r="B149" s="8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8"/>
        <v>0</v>
      </c>
      <c r="R149" s="41">
        <f t="shared" si="9"/>
        <v>0</v>
      </c>
      <c r="S149" s="41" t="str">
        <f t="shared" si="10"/>
        <v/>
      </c>
    </row>
    <row r="150" spans="1:19" x14ac:dyDescent="0.2">
      <c r="A150" s="4">
        <v>142</v>
      </c>
      <c r="B150" s="8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8"/>
        <v>0</v>
      </c>
      <c r="R150" s="41">
        <f t="shared" si="9"/>
        <v>0</v>
      </c>
      <c r="S150" s="41" t="str">
        <f t="shared" si="10"/>
        <v/>
      </c>
    </row>
    <row r="151" spans="1:19" x14ac:dyDescent="0.2">
      <c r="A151" s="4">
        <v>143</v>
      </c>
      <c r="B151" s="8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8"/>
        <v>0</v>
      </c>
      <c r="R151" s="41">
        <f t="shared" si="9"/>
        <v>0</v>
      </c>
      <c r="S151" s="41" t="str">
        <f t="shared" si="10"/>
        <v/>
      </c>
    </row>
    <row r="152" spans="1:19" x14ac:dyDescent="0.2">
      <c r="A152" s="4">
        <v>144</v>
      </c>
      <c r="B152" s="8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8"/>
        <v>0</v>
      </c>
      <c r="R152" s="41">
        <f t="shared" si="9"/>
        <v>0</v>
      </c>
      <c r="S152" s="41" t="str">
        <f t="shared" si="10"/>
        <v/>
      </c>
    </row>
    <row r="153" spans="1:19" x14ac:dyDescent="0.2">
      <c r="A153" s="4">
        <v>145</v>
      </c>
      <c r="B153" s="8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8"/>
        <v>0</v>
      </c>
      <c r="R153" s="41">
        <f t="shared" si="9"/>
        <v>0</v>
      </c>
      <c r="S153" s="41" t="str">
        <f t="shared" si="10"/>
        <v/>
      </c>
    </row>
    <row r="154" spans="1:19" x14ac:dyDescent="0.2">
      <c r="A154" s="4">
        <v>146</v>
      </c>
      <c r="B154" s="8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8"/>
        <v>0</v>
      </c>
      <c r="R154" s="41">
        <f t="shared" si="9"/>
        <v>0</v>
      </c>
      <c r="S154" s="41" t="str">
        <f t="shared" si="10"/>
        <v/>
      </c>
    </row>
    <row r="155" spans="1:19" x14ac:dyDescent="0.2">
      <c r="A155" s="4">
        <v>147</v>
      </c>
      <c r="B155" s="8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8"/>
        <v>0</v>
      </c>
      <c r="R155" s="41">
        <f t="shared" si="9"/>
        <v>0</v>
      </c>
      <c r="S155" s="41" t="str">
        <f t="shared" si="10"/>
        <v/>
      </c>
    </row>
    <row r="156" spans="1:19" x14ac:dyDescent="0.2">
      <c r="A156" s="4">
        <v>148</v>
      </c>
      <c r="B156" s="8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8"/>
        <v>0</v>
      </c>
      <c r="R156" s="41">
        <f t="shared" si="9"/>
        <v>0</v>
      </c>
      <c r="S156" s="41" t="str">
        <f t="shared" si="10"/>
        <v/>
      </c>
    </row>
    <row r="157" spans="1:19" x14ac:dyDescent="0.2">
      <c r="A157" s="4">
        <v>149</v>
      </c>
      <c r="B157" s="8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8"/>
        <v>0</v>
      </c>
      <c r="R157" s="41">
        <f t="shared" si="9"/>
        <v>0</v>
      </c>
      <c r="S157" s="41" t="str">
        <f t="shared" si="10"/>
        <v/>
      </c>
    </row>
    <row r="158" spans="1:19" x14ac:dyDescent="0.2">
      <c r="A158" s="4">
        <v>150</v>
      </c>
      <c r="B158" s="8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8"/>
        <v>0</v>
      </c>
      <c r="R158" s="41">
        <f t="shared" si="9"/>
        <v>0</v>
      </c>
      <c r="S158" s="41" t="str">
        <f t="shared" si="10"/>
        <v/>
      </c>
    </row>
    <row r="159" spans="1:19" x14ac:dyDescent="0.2">
      <c r="A159" s="4">
        <v>151</v>
      </c>
      <c r="B159" s="8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8"/>
        <v>0</v>
      </c>
      <c r="R159" s="41">
        <f t="shared" si="9"/>
        <v>0</v>
      </c>
      <c r="S159" s="41" t="str">
        <f t="shared" si="10"/>
        <v/>
      </c>
    </row>
    <row r="160" spans="1:19" x14ac:dyDescent="0.2">
      <c r="A160" s="4">
        <v>152</v>
      </c>
      <c r="B160" s="8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8"/>
        <v>0</v>
      </c>
      <c r="R160" s="41">
        <f t="shared" si="9"/>
        <v>0</v>
      </c>
      <c r="S160" s="41" t="str">
        <f t="shared" si="10"/>
        <v/>
      </c>
    </row>
    <row r="161" spans="1:19" x14ac:dyDescent="0.2">
      <c r="A161" s="4">
        <v>153</v>
      </c>
      <c r="B161" s="8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8"/>
        <v>0</v>
      </c>
      <c r="R161" s="41">
        <f t="shared" si="9"/>
        <v>0</v>
      </c>
      <c r="S161" s="41" t="str">
        <f t="shared" si="10"/>
        <v/>
      </c>
    </row>
    <row r="162" spans="1:19" x14ac:dyDescent="0.2">
      <c r="A162" s="4">
        <v>154</v>
      </c>
      <c r="B162" s="8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8"/>
        <v>0</v>
      </c>
      <c r="R162" s="41">
        <f t="shared" si="9"/>
        <v>0</v>
      </c>
      <c r="S162" s="41" t="str">
        <f t="shared" si="10"/>
        <v/>
      </c>
    </row>
    <row r="163" spans="1:19" x14ac:dyDescent="0.2">
      <c r="A163" s="4">
        <v>155</v>
      </c>
      <c r="B163" s="8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8"/>
        <v>0</v>
      </c>
      <c r="R163" s="41">
        <f t="shared" si="9"/>
        <v>0</v>
      </c>
      <c r="S163" s="41" t="str">
        <f t="shared" si="10"/>
        <v/>
      </c>
    </row>
    <row r="164" spans="1:19" x14ac:dyDescent="0.2">
      <c r="A164" s="4">
        <v>156</v>
      </c>
      <c r="B164" s="8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8"/>
        <v>0</v>
      </c>
      <c r="R164" s="41">
        <f t="shared" si="9"/>
        <v>0</v>
      </c>
      <c r="S164" s="41" t="str">
        <f t="shared" si="10"/>
        <v/>
      </c>
    </row>
    <row r="165" spans="1:19" x14ac:dyDescent="0.2">
      <c r="A165" s="4">
        <v>157</v>
      </c>
      <c r="B165" s="8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8"/>
        <v>0</v>
      </c>
      <c r="R165" s="41">
        <f t="shared" si="9"/>
        <v>0</v>
      </c>
      <c r="S165" s="41" t="str">
        <f t="shared" si="10"/>
        <v/>
      </c>
    </row>
    <row r="166" spans="1:19" x14ac:dyDescent="0.2">
      <c r="A166" s="4">
        <v>158</v>
      </c>
      <c r="B166" s="8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8"/>
        <v>0</v>
      </c>
      <c r="R166" s="41">
        <f t="shared" si="9"/>
        <v>0</v>
      </c>
      <c r="S166" s="41" t="str">
        <f t="shared" si="10"/>
        <v/>
      </c>
    </row>
    <row r="167" spans="1:19" x14ac:dyDescent="0.2">
      <c r="A167" s="4">
        <v>159</v>
      </c>
      <c r="B167" s="8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8"/>
        <v>0</v>
      </c>
      <c r="R167" s="41">
        <f t="shared" si="9"/>
        <v>0</v>
      </c>
      <c r="S167" s="41" t="str">
        <f t="shared" si="10"/>
        <v/>
      </c>
    </row>
    <row r="168" spans="1:19" x14ac:dyDescent="0.2">
      <c r="A168" s="4">
        <v>160</v>
      </c>
      <c r="B168" s="8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8"/>
        <v>0</v>
      </c>
      <c r="R168" s="41">
        <f t="shared" si="9"/>
        <v>0</v>
      </c>
      <c r="S168" s="41" t="str">
        <f t="shared" si="10"/>
        <v/>
      </c>
    </row>
    <row r="169" spans="1:19" x14ac:dyDescent="0.2">
      <c r="A169" s="4">
        <v>161</v>
      </c>
      <c r="B169" s="8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8"/>
        <v>0</v>
      </c>
      <c r="R169" s="41">
        <f t="shared" si="9"/>
        <v>0</v>
      </c>
      <c r="S169" s="41" t="str">
        <f t="shared" si="10"/>
        <v/>
      </c>
    </row>
    <row r="170" spans="1:19" x14ac:dyDescent="0.2">
      <c r="A170" s="4">
        <v>162</v>
      </c>
      <c r="B170" s="8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8"/>
        <v>0</v>
      </c>
      <c r="R170" s="41">
        <f t="shared" si="9"/>
        <v>0</v>
      </c>
      <c r="S170" s="41" t="str">
        <f t="shared" si="10"/>
        <v/>
      </c>
    </row>
    <row r="171" spans="1:19" x14ac:dyDescent="0.2">
      <c r="A171" s="4">
        <v>163</v>
      </c>
      <c r="B171" s="8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8"/>
        <v>0</v>
      </c>
      <c r="R171" s="41">
        <f t="shared" si="9"/>
        <v>0</v>
      </c>
      <c r="S171" s="41" t="str">
        <f t="shared" si="10"/>
        <v/>
      </c>
    </row>
    <row r="172" spans="1:19" x14ac:dyDescent="0.2">
      <c r="A172" s="4">
        <v>164</v>
      </c>
      <c r="B172" s="8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8"/>
        <v>0</v>
      </c>
      <c r="R172" s="41">
        <f t="shared" si="9"/>
        <v>0</v>
      </c>
      <c r="S172" s="41" t="str">
        <f t="shared" si="10"/>
        <v/>
      </c>
    </row>
    <row r="173" spans="1:19" x14ac:dyDescent="0.2">
      <c r="A173" s="4">
        <v>165</v>
      </c>
      <c r="B173" s="8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8"/>
        <v>0</v>
      </c>
      <c r="R173" s="41">
        <f t="shared" si="9"/>
        <v>0</v>
      </c>
      <c r="S173" s="41" t="str">
        <f t="shared" si="10"/>
        <v/>
      </c>
    </row>
    <row r="174" spans="1:19" x14ac:dyDescent="0.2">
      <c r="A174" s="4">
        <v>166</v>
      </c>
      <c r="B174" s="8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8"/>
        <v>0</v>
      </c>
      <c r="R174" s="41">
        <f t="shared" si="9"/>
        <v>0</v>
      </c>
      <c r="S174" s="41" t="str">
        <f t="shared" si="10"/>
        <v/>
      </c>
    </row>
    <row r="175" spans="1:19" x14ac:dyDescent="0.2">
      <c r="A175" s="4">
        <v>167</v>
      </c>
      <c r="B175" s="8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8"/>
        <v>0</v>
      </c>
      <c r="R175" s="41">
        <f t="shared" si="9"/>
        <v>0</v>
      </c>
      <c r="S175" s="41" t="str">
        <f t="shared" si="10"/>
        <v/>
      </c>
    </row>
    <row r="176" spans="1:19" x14ac:dyDescent="0.2">
      <c r="A176" s="4">
        <v>168</v>
      </c>
      <c r="B176" s="8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8"/>
        <v>0</v>
      </c>
      <c r="R176" s="41">
        <f t="shared" si="9"/>
        <v>0</v>
      </c>
      <c r="S176" s="41" t="str">
        <f t="shared" si="10"/>
        <v/>
      </c>
    </row>
    <row r="177" spans="1:19" x14ac:dyDescent="0.2">
      <c r="A177" s="4">
        <v>169</v>
      </c>
      <c r="B177" s="8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8"/>
        <v>0</v>
      </c>
      <c r="R177" s="41">
        <f t="shared" si="9"/>
        <v>0</v>
      </c>
      <c r="S177" s="41" t="str">
        <f t="shared" si="10"/>
        <v/>
      </c>
    </row>
    <row r="178" spans="1:19" x14ac:dyDescent="0.2">
      <c r="A178" s="4">
        <v>170</v>
      </c>
      <c r="B178" s="8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8"/>
        <v>0</v>
      </c>
      <c r="R178" s="41">
        <f t="shared" si="9"/>
        <v>0</v>
      </c>
      <c r="S178" s="41" t="str">
        <f t="shared" si="10"/>
        <v/>
      </c>
    </row>
    <row r="179" spans="1:19" x14ac:dyDescent="0.2">
      <c r="A179" s="4">
        <v>171</v>
      </c>
      <c r="B179" s="8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8"/>
        <v>0</v>
      </c>
      <c r="R179" s="41">
        <f t="shared" si="9"/>
        <v>0</v>
      </c>
      <c r="S179" s="41" t="str">
        <f t="shared" si="10"/>
        <v/>
      </c>
    </row>
    <row r="180" spans="1:19" x14ac:dyDescent="0.2">
      <c r="A180" s="4">
        <v>172</v>
      </c>
      <c r="B180" s="8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8"/>
        <v>0</v>
      </c>
      <c r="R180" s="41">
        <f t="shared" si="9"/>
        <v>0</v>
      </c>
      <c r="S180" s="41" t="str">
        <f t="shared" si="10"/>
        <v/>
      </c>
    </row>
    <row r="181" spans="1:19" x14ac:dyDescent="0.2">
      <c r="A181" s="4">
        <v>173</v>
      </c>
      <c r="B181" s="8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8"/>
        <v>0</v>
      </c>
      <c r="R181" s="41">
        <f t="shared" si="9"/>
        <v>0</v>
      </c>
      <c r="S181" s="41" t="str">
        <f t="shared" si="10"/>
        <v/>
      </c>
    </row>
    <row r="182" spans="1:19" x14ac:dyDescent="0.2">
      <c r="A182" s="4">
        <v>174</v>
      </c>
      <c r="B182" s="8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8"/>
        <v>0</v>
      </c>
      <c r="R182" s="41">
        <f t="shared" si="9"/>
        <v>0</v>
      </c>
      <c r="S182" s="41" t="str">
        <f t="shared" si="10"/>
        <v/>
      </c>
    </row>
    <row r="183" spans="1:19" x14ac:dyDescent="0.2">
      <c r="A183" s="4">
        <v>175</v>
      </c>
      <c r="B183" s="8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8"/>
        <v>0</v>
      </c>
      <c r="R183" s="41">
        <f t="shared" si="9"/>
        <v>0</v>
      </c>
      <c r="S183" s="41" t="str">
        <f t="shared" si="10"/>
        <v/>
      </c>
    </row>
    <row r="184" spans="1:19" x14ac:dyDescent="0.2">
      <c r="A184" s="4">
        <v>176</v>
      </c>
      <c r="B184" s="8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8"/>
        <v>0</v>
      </c>
      <c r="R184" s="41">
        <f t="shared" si="9"/>
        <v>0</v>
      </c>
      <c r="S184" s="41" t="str">
        <f t="shared" si="10"/>
        <v/>
      </c>
    </row>
    <row r="185" spans="1:19" x14ac:dyDescent="0.2">
      <c r="A185" s="4">
        <v>177</v>
      </c>
      <c r="B185" s="8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8"/>
        <v>0</v>
      </c>
      <c r="R185" s="41">
        <f t="shared" si="9"/>
        <v>0</v>
      </c>
      <c r="S185" s="41" t="str">
        <f t="shared" si="10"/>
        <v/>
      </c>
    </row>
    <row r="186" spans="1:19" x14ac:dyDescent="0.2">
      <c r="A186" s="4">
        <v>178</v>
      </c>
      <c r="B186" s="8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8"/>
        <v>0</v>
      </c>
      <c r="R186" s="41">
        <f t="shared" si="9"/>
        <v>0</v>
      </c>
      <c r="S186" s="41" t="str">
        <f t="shared" si="10"/>
        <v/>
      </c>
    </row>
    <row r="187" spans="1:19" x14ac:dyDescent="0.2">
      <c r="A187" s="4">
        <v>179</v>
      </c>
      <c r="B187" s="8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8"/>
        <v>0</v>
      </c>
      <c r="R187" s="41">
        <f t="shared" si="9"/>
        <v>0</v>
      </c>
      <c r="S187" s="41" t="str">
        <f t="shared" si="10"/>
        <v/>
      </c>
    </row>
    <row r="188" spans="1:19" x14ac:dyDescent="0.2">
      <c r="A188" s="4">
        <v>180</v>
      </c>
      <c r="B188" s="8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8"/>
        <v>0</v>
      </c>
      <c r="R188" s="41">
        <f t="shared" si="9"/>
        <v>0</v>
      </c>
      <c r="S188" s="41" t="str">
        <f t="shared" si="10"/>
        <v/>
      </c>
    </row>
    <row r="189" spans="1:19" x14ac:dyDescent="0.2">
      <c r="A189" s="4">
        <v>181</v>
      </c>
      <c r="B189" s="8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8"/>
        <v>0</v>
      </c>
      <c r="R189" s="41">
        <f t="shared" si="9"/>
        <v>0</v>
      </c>
      <c r="S189" s="41" t="str">
        <f t="shared" si="10"/>
        <v/>
      </c>
    </row>
    <row r="190" spans="1:19" x14ac:dyDescent="0.2">
      <c r="A190" s="4">
        <v>182</v>
      </c>
      <c r="B190" s="8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8"/>
        <v>0</v>
      </c>
      <c r="R190" s="41">
        <f t="shared" si="9"/>
        <v>0</v>
      </c>
      <c r="S190" s="41" t="str">
        <f t="shared" si="10"/>
        <v/>
      </c>
    </row>
    <row r="191" spans="1:19" x14ac:dyDescent="0.2">
      <c r="A191" s="4">
        <v>183</v>
      </c>
      <c r="B191" s="8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8"/>
        <v>0</v>
      </c>
      <c r="R191" s="41">
        <f t="shared" si="9"/>
        <v>0</v>
      </c>
      <c r="S191" s="41" t="str">
        <f t="shared" si="10"/>
        <v/>
      </c>
    </row>
    <row r="192" spans="1:19" x14ac:dyDescent="0.2">
      <c r="A192" s="4">
        <v>184</v>
      </c>
      <c r="B192" s="8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8"/>
        <v>0</v>
      </c>
      <c r="R192" s="41">
        <f t="shared" si="9"/>
        <v>0</v>
      </c>
      <c r="S192" s="41" t="str">
        <f t="shared" si="10"/>
        <v/>
      </c>
    </row>
    <row r="193" spans="1:19" x14ac:dyDescent="0.2">
      <c r="A193" s="4">
        <v>185</v>
      </c>
      <c r="B193" s="8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8"/>
        <v>0</v>
      </c>
      <c r="R193" s="41">
        <f t="shared" si="9"/>
        <v>0</v>
      </c>
      <c r="S193" s="41" t="str">
        <f t="shared" si="10"/>
        <v/>
      </c>
    </row>
    <row r="194" spans="1:19" x14ac:dyDescent="0.2">
      <c r="A194" s="4">
        <v>186</v>
      </c>
      <c r="B194" s="8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8"/>
        <v>0</v>
      </c>
      <c r="R194" s="41">
        <f t="shared" si="9"/>
        <v>0</v>
      </c>
      <c r="S194" s="41" t="str">
        <f t="shared" si="10"/>
        <v/>
      </c>
    </row>
    <row r="195" spans="1:19" x14ac:dyDescent="0.2">
      <c r="A195" s="4">
        <v>187</v>
      </c>
      <c r="B195" s="8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8"/>
        <v>0</v>
      </c>
      <c r="R195" s="41">
        <f t="shared" si="9"/>
        <v>0</v>
      </c>
      <c r="S195" s="41" t="str">
        <f t="shared" si="10"/>
        <v/>
      </c>
    </row>
    <row r="196" spans="1:19" x14ac:dyDescent="0.2">
      <c r="A196" s="4">
        <v>188</v>
      </c>
      <c r="B196" s="8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8"/>
        <v>0</v>
      </c>
      <c r="R196" s="41">
        <f t="shared" si="9"/>
        <v>0</v>
      </c>
      <c r="S196" s="41" t="str">
        <f t="shared" si="10"/>
        <v/>
      </c>
    </row>
    <row r="197" spans="1:19" x14ac:dyDescent="0.2">
      <c r="A197" s="4">
        <v>189</v>
      </c>
      <c r="B197" s="8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8"/>
        <v>0</v>
      </c>
      <c r="R197" s="41">
        <f t="shared" si="9"/>
        <v>0</v>
      </c>
      <c r="S197" s="41" t="str">
        <f t="shared" si="10"/>
        <v/>
      </c>
    </row>
    <row r="198" spans="1:19" x14ac:dyDescent="0.2">
      <c r="A198" s="4">
        <v>190</v>
      </c>
      <c r="B198" s="8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8"/>
        <v>0</v>
      </c>
      <c r="R198" s="41">
        <f t="shared" si="9"/>
        <v>0</v>
      </c>
      <c r="S198" s="41" t="str">
        <f t="shared" si="10"/>
        <v/>
      </c>
    </row>
    <row r="199" spans="1:19" x14ac:dyDescent="0.2">
      <c r="A199" s="4">
        <v>191</v>
      </c>
      <c r="B199" s="8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8"/>
        <v>0</v>
      </c>
      <c r="R199" s="41">
        <f t="shared" si="9"/>
        <v>0</v>
      </c>
      <c r="S199" s="41" t="str">
        <f t="shared" si="10"/>
        <v/>
      </c>
    </row>
    <row r="200" spans="1:19" x14ac:dyDescent="0.2">
      <c r="A200" s="4">
        <v>192</v>
      </c>
      <c r="B200" s="8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8"/>
        <v>0</v>
      </c>
      <c r="R200" s="41">
        <f t="shared" si="9"/>
        <v>0</v>
      </c>
      <c r="S200" s="41" t="str">
        <f t="shared" si="10"/>
        <v/>
      </c>
    </row>
    <row r="201" spans="1:19" x14ac:dyDescent="0.2">
      <c r="A201" s="4">
        <v>193</v>
      </c>
      <c r="B201" s="8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8"/>
        <v>0</v>
      </c>
      <c r="R201" s="41">
        <f t="shared" si="9"/>
        <v>0</v>
      </c>
      <c r="S201" s="41" t="str">
        <f t="shared" si="10"/>
        <v/>
      </c>
    </row>
    <row r="202" spans="1:19" x14ac:dyDescent="0.2">
      <c r="A202" s="4">
        <v>194</v>
      </c>
      <c r="B202" s="8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11">E202*F202</f>
        <v>0</v>
      </c>
      <c r="R202" s="41">
        <f t="shared" ref="R202:R208" si="12">Q202+(Q202*H202)</f>
        <v>0</v>
      </c>
      <c r="S202" s="41" t="str">
        <f t="shared" ref="S202:S208" si="13">IF(O202=$V$3,R202-(R202*G202),IF(O202=$V$4,-P202,""))</f>
        <v/>
      </c>
    </row>
    <row r="203" spans="1:19" x14ac:dyDescent="0.2">
      <c r="A203" s="4">
        <v>195</v>
      </c>
      <c r="B203" s="8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11"/>
        <v>0</v>
      </c>
      <c r="R203" s="41">
        <f t="shared" si="12"/>
        <v>0</v>
      </c>
      <c r="S203" s="41" t="str">
        <f t="shared" si="13"/>
        <v/>
      </c>
    </row>
    <row r="204" spans="1:19" x14ac:dyDescent="0.2">
      <c r="A204" s="4">
        <v>196</v>
      </c>
      <c r="B204" s="8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11"/>
        <v>0</v>
      </c>
      <c r="R204" s="41">
        <f t="shared" si="12"/>
        <v>0</v>
      </c>
      <c r="S204" s="41" t="str">
        <f t="shared" si="13"/>
        <v/>
      </c>
    </row>
    <row r="205" spans="1:19" x14ac:dyDescent="0.2">
      <c r="A205" s="4">
        <v>197</v>
      </c>
      <c r="B205" s="8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11"/>
        <v>0</v>
      </c>
      <c r="R205" s="41">
        <f t="shared" si="12"/>
        <v>0</v>
      </c>
      <c r="S205" s="41" t="str">
        <f t="shared" si="13"/>
        <v/>
      </c>
    </row>
    <row r="206" spans="1:19" x14ac:dyDescent="0.2">
      <c r="A206" s="4">
        <v>198</v>
      </c>
      <c r="B206" s="8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11"/>
        <v>0</v>
      </c>
      <c r="R206" s="41">
        <f t="shared" si="12"/>
        <v>0</v>
      </c>
      <c r="S206" s="41" t="str">
        <f t="shared" si="13"/>
        <v/>
      </c>
    </row>
    <row r="207" spans="1:19" x14ac:dyDescent="0.2">
      <c r="A207" s="4">
        <v>199</v>
      </c>
      <c r="B207" s="8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11"/>
        <v>0</v>
      </c>
      <c r="R207" s="41">
        <f t="shared" si="12"/>
        <v>0</v>
      </c>
      <c r="S207" s="41" t="str">
        <f t="shared" si="13"/>
        <v/>
      </c>
    </row>
    <row r="208" spans="1:19" x14ac:dyDescent="0.2">
      <c r="A208" s="4">
        <v>200</v>
      </c>
      <c r="B208" s="8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11"/>
        <v>0</v>
      </c>
      <c r="R208" s="41">
        <f t="shared" si="12"/>
        <v>0</v>
      </c>
      <c r="S208" s="41" t="str">
        <f t="shared" si="13"/>
        <v/>
      </c>
    </row>
  </sheetData>
  <autoFilter ref="A8:S208" xr:uid="{00000000-0009-0000-0000-000009000000}"/>
  <mergeCells count="3">
    <mergeCell ref="A1:C1"/>
    <mergeCell ref="E1:G1"/>
    <mergeCell ref="V25:W27"/>
  </mergeCells>
  <conditionalFormatting sqref="T8:U8 S1:S1048576">
    <cfRule type="cellIs" dxfId="87" priority="3" operator="equal">
      <formula>"ERROR"</formula>
    </cfRule>
  </conditionalFormatting>
  <conditionalFormatting sqref="D4">
    <cfRule type="cellIs" dxfId="86" priority="1" operator="greaterThan">
      <formula>0</formula>
    </cfRule>
    <cfRule type="cellIs" dxfId="85" priority="2" operator="lessThanOrEqual">
      <formula>0</formula>
    </cfRule>
  </conditionalFormatting>
  <dataValidations count="1">
    <dataValidation type="list" allowBlank="1" showInputMessage="1" showErrorMessage="1" sqref="O9:O1048576" xr:uid="{E290CD19-62BF-0A48-8F27-DBCBEC8ABD88}">
      <formula1>$V$3:$V$4</formula1>
    </dataValidation>
  </dataValidations>
  <hyperlinks>
    <hyperlink ref="E1:G1" location="'Master Sheet'!A1" display="GO BACK TO MASTER SHEET" xr:uid="{D6149D6B-5D87-7D44-9C24-87121C1F842E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B67FE4C4-1647-F648-ADE8-D10E22DDF772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EC885142-E2FC-0C4E-A4B0-5DC6A2D34F96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B737C-9625-9A43-AF44-B3D110C4A0B5}">
  <sheetPr codeName="Sheet33"/>
  <dimension ref="A1:Y208"/>
  <sheetViews>
    <sheetView showGridLines="0" zoomScale="83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0.33203125" style="83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8" width="16" customWidth="1"/>
    <col min="19" max="19" width="26" style="42" customWidth="1"/>
    <col min="21" max="21" width="17.5" bestFit="1" customWidth="1"/>
    <col min="22" max="22" width="15" bestFit="1" customWidth="1"/>
  </cols>
  <sheetData>
    <row r="1" spans="1:23" ht="24" customHeight="1" x14ac:dyDescent="0.2">
      <c r="A1" s="86" t="str">
        <f ca="1">VLOOKUP(A2,'Master Sheet'!J5:K39,2)</f>
        <v>Sika Pakistan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S1"/>
    </row>
    <row r="2" spans="1:23" ht="20" thickBot="1" x14ac:dyDescent="0.3">
      <c r="A2" s="48" t="str" cm="1">
        <f t="array" aca="1" ref="A2" ca="1">MID(CELL("filename",A1),FIND("]",CELL("filename",A1))+1,99)</f>
        <v>C004</v>
      </c>
      <c r="F2"/>
      <c r="G2"/>
      <c r="H2"/>
      <c r="I2"/>
      <c r="J2"/>
      <c r="K2"/>
      <c r="L2"/>
      <c r="M2"/>
      <c r="N2"/>
      <c r="P2"/>
      <c r="S2"/>
    </row>
    <row r="3" spans="1:23" ht="16" thickBot="1" x14ac:dyDescent="0.25">
      <c r="A3" s="3"/>
      <c r="F3"/>
      <c r="G3"/>
      <c r="H3"/>
      <c r="I3"/>
      <c r="J3"/>
      <c r="K3"/>
      <c r="L3"/>
      <c r="M3"/>
      <c r="N3"/>
      <c r="P3"/>
      <c r="S3"/>
      <c r="V3" s="43" t="s">
        <v>83</v>
      </c>
      <c r="W3" s="44"/>
    </row>
    <row r="4" spans="1:23" ht="16" thickBot="1" x14ac:dyDescent="0.25">
      <c r="A4" s="3"/>
      <c r="C4" s="20" t="s">
        <v>201</v>
      </c>
      <c r="D4" s="50">
        <f>SUM(S9:S1048576)</f>
        <v>6833386</v>
      </c>
      <c r="F4"/>
      <c r="G4"/>
      <c r="H4"/>
      <c r="I4"/>
      <c r="J4"/>
      <c r="K4"/>
      <c r="L4"/>
      <c r="M4"/>
      <c r="N4"/>
      <c r="P4"/>
      <c r="S4"/>
      <c r="V4" s="30" t="s">
        <v>198</v>
      </c>
      <c r="W4" s="45"/>
    </row>
    <row r="5" spans="1:23" x14ac:dyDescent="0.2">
      <c r="A5" s="3"/>
      <c r="F5"/>
      <c r="G5"/>
      <c r="H5"/>
      <c r="I5"/>
      <c r="J5"/>
      <c r="K5"/>
      <c r="L5"/>
      <c r="M5"/>
      <c r="N5"/>
      <c r="P5"/>
      <c r="S5"/>
    </row>
    <row r="6" spans="1:23" x14ac:dyDescent="0.2">
      <c r="A6" s="3"/>
      <c r="F6"/>
      <c r="G6"/>
      <c r="H6"/>
      <c r="I6"/>
      <c r="J6"/>
      <c r="K6"/>
      <c r="L6"/>
      <c r="M6"/>
      <c r="N6"/>
      <c r="P6"/>
      <c r="S6"/>
    </row>
    <row r="7" spans="1:23" x14ac:dyDescent="0.2">
      <c r="A7" s="3"/>
      <c r="F7"/>
      <c r="G7"/>
      <c r="H7"/>
      <c r="I7"/>
      <c r="J7"/>
      <c r="K7"/>
      <c r="L7"/>
      <c r="M7"/>
      <c r="N7"/>
      <c r="P7"/>
      <c r="S7"/>
    </row>
    <row r="8" spans="1:23" ht="36" customHeight="1" x14ac:dyDescent="0.2">
      <c r="A8" s="1" t="s">
        <v>70</v>
      </c>
      <c r="B8" s="84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226</v>
      </c>
      <c r="S8" s="1" t="s">
        <v>196</v>
      </c>
      <c r="T8" s="68" t="s">
        <v>270</v>
      </c>
    </row>
    <row r="9" spans="1:23" x14ac:dyDescent="0.2">
      <c r="A9" s="4">
        <v>1</v>
      </c>
      <c r="B9" s="85">
        <v>45961</v>
      </c>
      <c r="C9" s="6"/>
      <c r="D9" s="6" t="s">
        <v>105</v>
      </c>
      <c r="E9" s="7">
        <v>29</v>
      </c>
      <c r="F9" s="41">
        <v>15000</v>
      </c>
      <c r="G9" s="46">
        <v>0.01</v>
      </c>
      <c r="H9" s="39">
        <v>0.18</v>
      </c>
      <c r="I9" s="41"/>
      <c r="J9" s="41"/>
      <c r="K9" s="41"/>
      <c r="L9" s="41"/>
      <c r="M9" s="41"/>
      <c r="N9" s="41"/>
      <c r="O9" s="6" t="s">
        <v>83</v>
      </c>
      <c r="P9" s="41"/>
      <c r="Q9" s="41">
        <f>E9*F9</f>
        <v>435000</v>
      </c>
      <c r="R9" s="41">
        <f>Q9+(Q9*H9)</f>
        <v>513300</v>
      </c>
      <c r="S9" s="41">
        <f>IF(O9=$V$3,R9-(R9*G9),IF(O9=$V$4,-P9,""))</f>
        <v>508167</v>
      </c>
      <c r="T9">
        <v>134</v>
      </c>
    </row>
    <row r="10" spans="1:23" x14ac:dyDescent="0.2">
      <c r="A10" s="4">
        <v>2</v>
      </c>
      <c r="B10" s="85">
        <v>45961</v>
      </c>
      <c r="C10" s="6"/>
      <c r="D10" s="6" t="s">
        <v>105</v>
      </c>
      <c r="E10" s="7">
        <v>1</v>
      </c>
      <c r="F10" s="41">
        <v>15000</v>
      </c>
      <c r="G10" s="46">
        <v>0.01</v>
      </c>
      <c r="H10" s="39">
        <v>0.18</v>
      </c>
      <c r="I10" s="41"/>
      <c r="J10" s="41"/>
      <c r="K10" s="41"/>
      <c r="L10" s="41"/>
      <c r="M10" s="41"/>
      <c r="N10" s="41"/>
      <c r="O10" s="6" t="s">
        <v>83</v>
      </c>
      <c r="P10" s="41"/>
      <c r="Q10" s="41">
        <f t="shared" ref="Q10:Q73" si="0">E10*F10</f>
        <v>15000</v>
      </c>
      <c r="R10" s="41">
        <f t="shared" ref="R10:R73" si="1">Q10+(Q10*H10)</f>
        <v>17700</v>
      </c>
      <c r="S10" s="41">
        <f t="shared" ref="S10:S73" si="2">IF(O10=$V$3,R10-(R10*G10),IF(O10=$V$4,-P10,""))</f>
        <v>17523</v>
      </c>
      <c r="T10">
        <v>135</v>
      </c>
    </row>
    <row r="11" spans="1:23" x14ac:dyDescent="0.2">
      <c r="A11" s="4">
        <v>3</v>
      </c>
      <c r="B11" s="85">
        <v>45972</v>
      </c>
      <c r="C11" s="6"/>
      <c r="D11" s="6" t="s">
        <v>105</v>
      </c>
      <c r="E11" s="7">
        <v>30</v>
      </c>
      <c r="F11" s="41">
        <v>15000</v>
      </c>
      <c r="G11" s="46">
        <v>0.01</v>
      </c>
      <c r="H11" s="39">
        <v>0.18</v>
      </c>
      <c r="I11" s="41"/>
      <c r="J11" s="41"/>
      <c r="K11" s="41"/>
      <c r="L11" s="41"/>
      <c r="M11" s="41"/>
      <c r="N11" s="41"/>
      <c r="O11" s="6" t="s">
        <v>83</v>
      </c>
      <c r="P11" s="41"/>
      <c r="Q11" s="41">
        <f t="shared" si="0"/>
        <v>450000</v>
      </c>
      <c r="R11" s="41">
        <f t="shared" si="1"/>
        <v>531000</v>
      </c>
      <c r="S11" s="41">
        <f t="shared" si="2"/>
        <v>525690</v>
      </c>
      <c r="T11">
        <v>148</v>
      </c>
    </row>
    <row r="12" spans="1:23" x14ac:dyDescent="0.2">
      <c r="A12" s="4">
        <v>4</v>
      </c>
      <c r="B12" s="85">
        <v>45975</v>
      </c>
      <c r="C12" s="6"/>
      <c r="D12" s="6" t="s">
        <v>100</v>
      </c>
      <c r="E12" s="7">
        <v>100</v>
      </c>
      <c r="F12" s="41">
        <v>3600</v>
      </c>
      <c r="G12" s="46">
        <v>0.01</v>
      </c>
      <c r="H12" s="39">
        <v>0.18</v>
      </c>
      <c r="I12" s="41"/>
      <c r="J12" s="41"/>
      <c r="K12" s="41"/>
      <c r="L12" s="41"/>
      <c r="M12" s="41"/>
      <c r="N12" s="41"/>
      <c r="O12" s="6" t="s">
        <v>83</v>
      </c>
      <c r="P12" s="41"/>
      <c r="Q12" s="41">
        <f t="shared" si="0"/>
        <v>360000</v>
      </c>
      <c r="R12" s="41">
        <f t="shared" si="1"/>
        <v>424800</v>
      </c>
      <c r="S12" s="41">
        <f t="shared" si="2"/>
        <v>420552</v>
      </c>
      <c r="T12">
        <v>152</v>
      </c>
    </row>
    <row r="13" spans="1:23" x14ac:dyDescent="0.2">
      <c r="A13" s="4">
        <v>5</v>
      </c>
      <c r="B13" s="85">
        <v>45975</v>
      </c>
      <c r="C13" s="6"/>
      <c r="D13" s="6" t="s">
        <v>105</v>
      </c>
      <c r="E13" s="7">
        <v>28</v>
      </c>
      <c r="F13" s="41">
        <v>15000</v>
      </c>
      <c r="G13" s="46">
        <v>0.01</v>
      </c>
      <c r="H13" s="39">
        <v>0.18</v>
      </c>
      <c r="I13" s="41"/>
      <c r="J13" s="41"/>
      <c r="K13" s="41"/>
      <c r="L13" s="41"/>
      <c r="M13" s="41"/>
      <c r="N13" s="41"/>
      <c r="O13" s="6" t="s">
        <v>83</v>
      </c>
      <c r="P13" s="41"/>
      <c r="Q13" s="41">
        <f t="shared" si="0"/>
        <v>420000</v>
      </c>
      <c r="R13" s="41">
        <f t="shared" si="1"/>
        <v>495600</v>
      </c>
      <c r="S13" s="41">
        <f t="shared" si="2"/>
        <v>490644</v>
      </c>
      <c r="T13">
        <v>153</v>
      </c>
    </row>
    <row r="14" spans="1:23" x14ac:dyDescent="0.2">
      <c r="A14" s="4">
        <v>6</v>
      </c>
      <c r="B14" s="85">
        <v>45997</v>
      </c>
      <c r="C14" s="6"/>
      <c r="D14" s="6" t="s">
        <v>105</v>
      </c>
      <c r="E14" s="7">
        <v>25</v>
      </c>
      <c r="F14" s="41">
        <v>15000</v>
      </c>
      <c r="G14" s="46">
        <v>0.01</v>
      </c>
      <c r="H14" s="39">
        <v>0.18</v>
      </c>
      <c r="I14" s="41"/>
      <c r="J14" s="41"/>
      <c r="K14" s="41"/>
      <c r="L14" s="41"/>
      <c r="M14" s="41"/>
      <c r="N14" s="41"/>
      <c r="O14" s="6" t="s">
        <v>83</v>
      </c>
      <c r="P14" s="41"/>
      <c r="Q14" s="41">
        <f t="shared" si="0"/>
        <v>375000</v>
      </c>
      <c r="R14" s="41">
        <f t="shared" si="1"/>
        <v>442500</v>
      </c>
      <c r="S14" s="41">
        <f t="shared" si="2"/>
        <v>438075</v>
      </c>
      <c r="T14">
        <v>182</v>
      </c>
    </row>
    <row r="15" spans="1:23" x14ac:dyDescent="0.2">
      <c r="A15" s="4">
        <v>7</v>
      </c>
      <c r="B15" s="85">
        <v>46023</v>
      </c>
      <c r="C15" s="6"/>
      <c r="D15" s="6" t="s">
        <v>105</v>
      </c>
      <c r="E15" s="7">
        <v>30</v>
      </c>
      <c r="F15" s="41">
        <v>15000</v>
      </c>
      <c r="G15" s="46">
        <v>0.01</v>
      </c>
      <c r="H15" s="39">
        <v>0.18</v>
      </c>
      <c r="I15" s="41"/>
      <c r="J15" s="41"/>
      <c r="K15" s="41"/>
      <c r="L15" s="41"/>
      <c r="M15" s="41"/>
      <c r="N15" s="41"/>
      <c r="O15" s="6" t="s">
        <v>83</v>
      </c>
      <c r="P15" s="41"/>
      <c r="Q15" s="41">
        <f t="shared" si="0"/>
        <v>450000</v>
      </c>
      <c r="R15" s="41">
        <f t="shared" si="1"/>
        <v>531000</v>
      </c>
      <c r="S15" s="41">
        <f t="shared" si="2"/>
        <v>525690</v>
      </c>
      <c r="T15">
        <v>204</v>
      </c>
    </row>
    <row r="16" spans="1:23" x14ac:dyDescent="0.2">
      <c r="A16" s="4">
        <v>8</v>
      </c>
      <c r="B16" s="85">
        <v>46029</v>
      </c>
      <c r="C16" s="6"/>
      <c r="D16" s="6" t="s">
        <v>105</v>
      </c>
      <c r="E16" s="7">
        <v>30</v>
      </c>
      <c r="F16" s="41">
        <v>15000</v>
      </c>
      <c r="G16" s="46">
        <v>0.01</v>
      </c>
      <c r="H16" s="39">
        <v>0.18</v>
      </c>
      <c r="I16" s="41"/>
      <c r="J16" s="41"/>
      <c r="K16" s="41"/>
      <c r="L16" s="41"/>
      <c r="M16" s="41"/>
      <c r="N16" s="41"/>
      <c r="O16" s="6" t="s">
        <v>83</v>
      </c>
      <c r="P16" s="41"/>
      <c r="Q16" s="41">
        <f t="shared" si="0"/>
        <v>450000</v>
      </c>
      <c r="R16" s="41">
        <f t="shared" si="1"/>
        <v>531000</v>
      </c>
      <c r="S16" s="41">
        <f t="shared" si="2"/>
        <v>525690</v>
      </c>
      <c r="T16">
        <v>210</v>
      </c>
    </row>
    <row r="17" spans="1:25" x14ac:dyDescent="0.2">
      <c r="A17" s="4">
        <v>9</v>
      </c>
      <c r="B17" s="85">
        <v>46035</v>
      </c>
      <c r="C17" s="6"/>
      <c r="D17" s="6" t="s">
        <v>100</v>
      </c>
      <c r="E17" s="7">
        <v>50</v>
      </c>
      <c r="F17" s="41">
        <v>3600</v>
      </c>
      <c r="G17" s="46">
        <v>0.01</v>
      </c>
      <c r="H17" s="39">
        <v>0.18</v>
      </c>
      <c r="I17" s="41"/>
      <c r="J17" s="41"/>
      <c r="K17" s="41"/>
      <c r="L17" s="41"/>
      <c r="M17" s="41"/>
      <c r="N17" s="41"/>
      <c r="O17" s="6" t="s">
        <v>83</v>
      </c>
      <c r="P17" s="41"/>
      <c r="Q17" s="41">
        <f t="shared" si="0"/>
        <v>180000</v>
      </c>
      <c r="R17" s="41">
        <f t="shared" si="1"/>
        <v>212400</v>
      </c>
      <c r="S17" s="41">
        <f t="shared" si="2"/>
        <v>210276</v>
      </c>
      <c r="T17">
        <v>216</v>
      </c>
      <c r="V17">
        <v>525690</v>
      </c>
    </row>
    <row r="18" spans="1:25" x14ac:dyDescent="0.2">
      <c r="A18" s="4">
        <v>10</v>
      </c>
      <c r="B18" s="85">
        <v>46038</v>
      </c>
      <c r="C18" s="6"/>
      <c r="D18" s="6" t="s">
        <v>100</v>
      </c>
      <c r="E18" s="7">
        <v>50</v>
      </c>
      <c r="F18" s="41">
        <v>3600</v>
      </c>
      <c r="G18" s="46">
        <v>0.01</v>
      </c>
      <c r="H18" s="39">
        <v>0.18</v>
      </c>
      <c r="I18" s="41"/>
      <c r="J18" s="41"/>
      <c r="K18" s="41"/>
      <c r="L18" s="41"/>
      <c r="M18" s="41"/>
      <c r="N18" s="41"/>
      <c r="O18" s="6" t="s">
        <v>83</v>
      </c>
      <c r="P18" s="41"/>
      <c r="Q18" s="41">
        <f t="shared" si="0"/>
        <v>180000</v>
      </c>
      <c r="R18" s="41">
        <f t="shared" si="1"/>
        <v>212400</v>
      </c>
      <c r="S18" s="41">
        <f t="shared" si="2"/>
        <v>210276</v>
      </c>
      <c r="T18">
        <v>223</v>
      </c>
      <c r="Y18">
        <v>525690</v>
      </c>
    </row>
    <row r="19" spans="1:25" x14ac:dyDescent="0.2">
      <c r="A19" s="4">
        <v>11</v>
      </c>
      <c r="B19" s="85">
        <v>46039</v>
      </c>
      <c r="C19" s="6"/>
      <c r="D19" s="69" t="s">
        <v>105</v>
      </c>
      <c r="E19" s="7">
        <v>25</v>
      </c>
      <c r="F19" s="41">
        <v>15000</v>
      </c>
      <c r="G19" s="46">
        <v>0.01</v>
      </c>
      <c r="H19" s="39">
        <v>0.18</v>
      </c>
      <c r="I19" s="41"/>
      <c r="J19" s="41"/>
      <c r="K19" s="41"/>
      <c r="L19" s="41"/>
      <c r="M19" s="41"/>
      <c r="N19" s="41"/>
      <c r="O19" s="6" t="s">
        <v>83</v>
      </c>
      <c r="P19" s="41"/>
      <c r="Q19" s="41">
        <f t="shared" si="0"/>
        <v>375000</v>
      </c>
      <c r="R19" s="41">
        <f t="shared" si="1"/>
        <v>442500</v>
      </c>
      <c r="S19" s="41">
        <f t="shared" si="2"/>
        <v>438075</v>
      </c>
      <c r="T19">
        <v>224</v>
      </c>
      <c r="V19" s="42"/>
      <c r="Y19">
        <f>Y18+349058</f>
        <v>874748</v>
      </c>
    </row>
    <row r="20" spans="1:25" x14ac:dyDescent="0.2">
      <c r="A20" s="4">
        <v>12</v>
      </c>
      <c r="B20" s="85">
        <v>46039</v>
      </c>
      <c r="C20" s="6"/>
      <c r="D20" s="69" t="s">
        <v>105</v>
      </c>
      <c r="E20" s="7">
        <v>5</v>
      </c>
      <c r="F20" s="41">
        <v>15000</v>
      </c>
      <c r="G20" s="46">
        <v>0.01</v>
      </c>
      <c r="H20" s="39">
        <v>0.18</v>
      </c>
      <c r="I20" s="41"/>
      <c r="J20" s="41"/>
      <c r="K20" s="41"/>
      <c r="L20" s="41"/>
      <c r="M20" s="41"/>
      <c r="N20" s="41"/>
      <c r="O20" s="6" t="s">
        <v>83</v>
      </c>
      <c r="P20" s="41"/>
      <c r="Q20" s="41">
        <f t="shared" si="0"/>
        <v>75000</v>
      </c>
      <c r="R20" s="41">
        <f t="shared" si="1"/>
        <v>88500</v>
      </c>
      <c r="S20" s="41">
        <f t="shared" si="2"/>
        <v>87615</v>
      </c>
      <c r="T20">
        <v>225</v>
      </c>
    </row>
    <row r="21" spans="1:25" x14ac:dyDescent="0.2">
      <c r="A21" s="4">
        <v>13</v>
      </c>
      <c r="B21" s="85">
        <v>46048</v>
      </c>
      <c r="C21" s="6"/>
      <c r="D21" s="69" t="s">
        <v>105</v>
      </c>
      <c r="E21" s="7">
        <v>10</v>
      </c>
      <c r="F21" s="41">
        <v>15000</v>
      </c>
      <c r="G21" s="46">
        <v>0.01</v>
      </c>
      <c r="H21" s="39">
        <v>0.18</v>
      </c>
      <c r="I21" s="41"/>
      <c r="J21" s="41"/>
      <c r="K21" s="41"/>
      <c r="L21" s="41"/>
      <c r="M21" s="41"/>
      <c r="N21" s="41"/>
      <c r="O21" s="6" t="s">
        <v>83</v>
      </c>
      <c r="P21" s="41"/>
      <c r="Q21" s="41">
        <f t="shared" si="0"/>
        <v>150000</v>
      </c>
      <c r="R21" s="41">
        <f t="shared" si="1"/>
        <v>177000</v>
      </c>
      <c r="S21" s="41">
        <f t="shared" si="2"/>
        <v>175230</v>
      </c>
      <c r="T21">
        <v>238</v>
      </c>
    </row>
    <row r="22" spans="1:25" x14ac:dyDescent="0.2">
      <c r="A22" s="4">
        <v>14</v>
      </c>
      <c r="B22" s="85">
        <v>46048</v>
      </c>
      <c r="C22" s="6"/>
      <c r="D22" s="69" t="s">
        <v>105</v>
      </c>
      <c r="E22" s="7">
        <v>20</v>
      </c>
      <c r="F22" s="41">
        <v>15000</v>
      </c>
      <c r="G22" s="46">
        <v>0.01</v>
      </c>
      <c r="H22" s="39">
        <v>0.18</v>
      </c>
      <c r="I22" s="41"/>
      <c r="J22" s="41"/>
      <c r="K22" s="41"/>
      <c r="L22" s="41"/>
      <c r="M22" s="41"/>
      <c r="N22" s="41"/>
      <c r="O22" s="6" t="s">
        <v>83</v>
      </c>
      <c r="P22" s="41"/>
      <c r="Q22" s="41">
        <f t="shared" si="0"/>
        <v>300000</v>
      </c>
      <c r="R22" s="41">
        <f t="shared" si="1"/>
        <v>354000</v>
      </c>
      <c r="S22" s="41">
        <f t="shared" si="2"/>
        <v>350460</v>
      </c>
      <c r="T22">
        <v>239</v>
      </c>
    </row>
    <row r="23" spans="1:25" x14ac:dyDescent="0.2">
      <c r="A23" s="4">
        <v>15</v>
      </c>
      <c r="B23" s="85">
        <v>46057</v>
      </c>
      <c r="C23" s="6"/>
      <c r="D23" s="6" t="s">
        <v>100</v>
      </c>
      <c r="E23" s="7">
        <v>50</v>
      </c>
      <c r="F23" s="41">
        <v>3600</v>
      </c>
      <c r="G23" s="46">
        <v>0.01</v>
      </c>
      <c r="H23" s="39">
        <v>0.18</v>
      </c>
      <c r="I23" s="41"/>
      <c r="J23" s="41"/>
      <c r="K23" s="41"/>
      <c r="L23" s="41"/>
      <c r="M23" s="41"/>
      <c r="N23" s="41"/>
      <c r="O23" s="6" t="s">
        <v>83</v>
      </c>
      <c r="P23" s="41"/>
      <c r="Q23" s="41">
        <f t="shared" si="0"/>
        <v>180000</v>
      </c>
      <c r="R23" s="41">
        <f t="shared" si="1"/>
        <v>212400</v>
      </c>
      <c r="S23" s="41">
        <f t="shared" si="2"/>
        <v>210276</v>
      </c>
      <c r="T23">
        <v>253</v>
      </c>
    </row>
    <row r="24" spans="1:25" x14ac:dyDescent="0.2">
      <c r="A24" s="4">
        <v>16</v>
      </c>
      <c r="B24" s="85">
        <v>46062</v>
      </c>
      <c r="C24" s="6"/>
      <c r="D24" s="6" t="s">
        <v>100</v>
      </c>
      <c r="E24" s="7">
        <v>50</v>
      </c>
      <c r="F24" s="41">
        <v>3600</v>
      </c>
      <c r="G24" s="46">
        <v>0.01</v>
      </c>
      <c r="H24" s="39">
        <v>0.18</v>
      </c>
      <c r="I24" s="41"/>
      <c r="J24" s="41"/>
      <c r="K24" s="41"/>
      <c r="L24" s="41"/>
      <c r="M24" s="41"/>
      <c r="N24" s="41"/>
      <c r="O24" s="6" t="s">
        <v>83</v>
      </c>
      <c r="P24" s="41"/>
      <c r="Q24" s="41">
        <f t="shared" si="0"/>
        <v>180000</v>
      </c>
      <c r="R24" s="41">
        <f t="shared" si="1"/>
        <v>212400</v>
      </c>
      <c r="S24" s="41">
        <f t="shared" si="2"/>
        <v>210276</v>
      </c>
      <c r="T24">
        <v>259</v>
      </c>
    </row>
    <row r="25" spans="1:25" x14ac:dyDescent="0.2">
      <c r="A25" s="4">
        <v>17</v>
      </c>
      <c r="B25" s="85">
        <v>46064</v>
      </c>
      <c r="C25" s="6"/>
      <c r="D25" s="69" t="s">
        <v>105</v>
      </c>
      <c r="E25" s="7">
        <v>30</v>
      </c>
      <c r="F25" s="41">
        <v>15000</v>
      </c>
      <c r="G25" s="46">
        <v>0.01</v>
      </c>
      <c r="H25" s="39">
        <v>0.18</v>
      </c>
      <c r="I25" s="41"/>
      <c r="J25" s="41"/>
      <c r="K25" s="41"/>
      <c r="L25" s="41"/>
      <c r="M25" s="41"/>
      <c r="N25" s="41"/>
      <c r="O25" s="6" t="s">
        <v>83</v>
      </c>
      <c r="P25" s="41"/>
      <c r="Q25" s="41">
        <f t="shared" si="0"/>
        <v>450000</v>
      </c>
      <c r="R25" s="41">
        <f t="shared" si="1"/>
        <v>531000</v>
      </c>
      <c r="S25" s="41">
        <f t="shared" si="2"/>
        <v>525690</v>
      </c>
      <c r="T25">
        <v>262</v>
      </c>
    </row>
    <row r="26" spans="1:25" x14ac:dyDescent="0.2">
      <c r="A26" s="4">
        <v>18</v>
      </c>
      <c r="B26" s="85">
        <v>46071</v>
      </c>
      <c r="C26" s="6"/>
      <c r="D26" s="69" t="s">
        <v>105</v>
      </c>
      <c r="E26" s="7">
        <v>30</v>
      </c>
      <c r="F26" s="41">
        <v>15000</v>
      </c>
      <c r="G26" s="46">
        <v>0.01</v>
      </c>
      <c r="H26" s="39">
        <v>0.18</v>
      </c>
      <c r="I26" s="41"/>
      <c r="J26" s="41"/>
      <c r="K26" s="41"/>
      <c r="L26" s="41"/>
      <c r="M26" s="41"/>
      <c r="N26" s="41"/>
      <c r="O26" s="6" t="s">
        <v>83</v>
      </c>
      <c r="P26" s="41"/>
      <c r="Q26" s="41">
        <f t="shared" si="0"/>
        <v>450000</v>
      </c>
      <c r="R26" s="41">
        <f t="shared" si="1"/>
        <v>531000</v>
      </c>
      <c r="S26" s="41">
        <f t="shared" si="2"/>
        <v>525690</v>
      </c>
      <c r="T26">
        <v>275</v>
      </c>
    </row>
    <row r="27" spans="1:25" x14ac:dyDescent="0.2">
      <c r="A27" s="4">
        <v>19</v>
      </c>
      <c r="B27" s="85">
        <v>46074</v>
      </c>
      <c r="C27" s="6"/>
      <c r="D27" s="69" t="s">
        <v>105</v>
      </c>
      <c r="E27" s="7">
        <v>20</v>
      </c>
      <c r="F27" s="41">
        <v>15000</v>
      </c>
      <c r="G27" s="46">
        <v>0.01</v>
      </c>
      <c r="H27" s="39">
        <v>0.18</v>
      </c>
      <c r="I27" s="41"/>
      <c r="J27" s="41"/>
      <c r="K27" s="41"/>
      <c r="L27" s="41"/>
      <c r="M27" s="41"/>
      <c r="N27" s="41"/>
      <c r="O27" s="6" t="s">
        <v>83</v>
      </c>
      <c r="P27" s="41"/>
      <c r="Q27" s="41">
        <f t="shared" si="0"/>
        <v>300000</v>
      </c>
      <c r="R27" s="41">
        <f t="shared" si="1"/>
        <v>354000</v>
      </c>
      <c r="S27" s="41">
        <f t="shared" si="2"/>
        <v>350460</v>
      </c>
      <c r="T27">
        <v>277</v>
      </c>
    </row>
    <row r="28" spans="1:25" x14ac:dyDescent="0.2">
      <c r="A28" s="4">
        <v>20</v>
      </c>
      <c r="B28" s="85">
        <v>46074</v>
      </c>
      <c r="C28" s="6"/>
      <c r="D28" s="69" t="s">
        <v>105</v>
      </c>
      <c r="E28" s="7">
        <v>9</v>
      </c>
      <c r="F28" s="41">
        <v>15000</v>
      </c>
      <c r="G28" s="46">
        <v>0.01</v>
      </c>
      <c r="H28" s="39">
        <v>0.18</v>
      </c>
      <c r="I28" s="41"/>
      <c r="J28" s="41"/>
      <c r="K28" s="41"/>
      <c r="L28" s="41"/>
      <c r="M28" s="41"/>
      <c r="N28" s="41"/>
      <c r="O28" s="6" t="s">
        <v>83</v>
      </c>
      <c r="P28" s="41"/>
      <c r="Q28" s="41">
        <f t="shared" si="0"/>
        <v>135000</v>
      </c>
      <c r="R28" s="41">
        <f t="shared" si="1"/>
        <v>159300</v>
      </c>
      <c r="S28" s="41">
        <f t="shared" si="2"/>
        <v>157707</v>
      </c>
      <c r="T28">
        <v>278</v>
      </c>
    </row>
    <row r="29" spans="1:25" x14ac:dyDescent="0.2">
      <c r="A29" s="4">
        <v>21</v>
      </c>
      <c r="B29" s="85">
        <v>46076</v>
      </c>
      <c r="C29" s="6"/>
      <c r="D29" s="6" t="s">
        <v>100</v>
      </c>
      <c r="E29" s="7">
        <v>50</v>
      </c>
      <c r="F29" s="41">
        <v>3600</v>
      </c>
      <c r="G29" s="46">
        <v>0.01</v>
      </c>
      <c r="H29" s="39">
        <v>0.18</v>
      </c>
      <c r="I29" s="41"/>
      <c r="J29" s="41"/>
      <c r="K29" s="41"/>
      <c r="L29" s="41"/>
      <c r="M29" s="41"/>
      <c r="N29" s="41"/>
      <c r="O29" s="6" t="s">
        <v>83</v>
      </c>
      <c r="P29" s="41"/>
      <c r="Q29" s="41">
        <f t="shared" si="0"/>
        <v>180000</v>
      </c>
      <c r="R29" s="41">
        <f t="shared" si="1"/>
        <v>212400</v>
      </c>
      <c r="S29" s="41">
        <f t="shared" si="2"/>
        <v>210276</v>
      </c>
      <c r="T29">
        <v>280</v>
      </c>
    </row>
    <row r="30" spans="1:25" x14ac:dyDescent="0.2">
      <c r="A30" s="4">
        <v>22</v>
      </c>
      <c r="B30" s="85">
        <v>46098</v>
      </c>
      <c r="C30" s="6"/>
      <c r="D30" s="6" t="s">
        <v>100</v>
      </c>
      <c r="E30" s="7">
        <v>50</v>
      </c>
      <c r="F30" s="41">
        <v>3600</v>
      </c>
      <c r="G30" s="46">
        <v>0.01</v>
      </c>
      <c r="H30" s="39">
        <v>0.18</v>
      </c>
      <c r="I30" s="41"/>
      <c r="J30" s="41"/>
      <c r="K30" s="41"/>
      <c r="L30" s="41"/>
      <c r="M30" s="41"/>
      <c r="N30" s="41"/>
      <c r="O30" s="6" t="s">
        <v>83</v>
      </c>
      <c r="P30" s="41"/>
      <c r="Q30" s="41">
        <f t="shared" si="0"/>
        <v>180000</v>
      </c>
      <c r="R30" s="41">
        <f t="shared" si="1"/>
        <v>212400</v>
      </c>
      <c r="S30" s="41">
        <f t="shared" si="2"/>
        <v>210276</v>
      </c>
      <c r="T30">
        <v>306</v>
      </c>
    </row>
    <row r="31" spans="1:25" x14ac:dyDescent="0.2">
      <c r="A31" s="4">
        <v>23</v>
      </c>
      <c r="B31" s="85">
        <v>46098</v>
      </c>
      <c r="C31" s="6"/>
      <c r="D31" s="6" t="s">
        <v>100</v>
      </c>
      <c r="E31" s="7">
        <v>10</v>
      </c>
      <c r="F31" s="41">
        <v>3600</v>
      </c>
      <c r="G31" s="46">
        <v>0.01</v>
      </c>
      <c r="H31" s="39">
        <v>0.18</v>
      </c>
      <c r="I31" s="41"/>
      <c r="J31" s="41"/>
      <c r="K31" s="41"/>
      <c r="L31" s="41"/>
      <c r="M31" s="41"/>
      <c r="N31" s="41"/>
      <c r="O31" s="6" t="s">
        <v>83</v>
      </c>
      <c r="P31" s="41"/>
      <c r="Q31" s="41">
        <f t="shared" si="0"/>
        <v>36000</v>
      </c>
      <c r="R31" s="41">
        <f t="shared" si="1"/>
        <v>42480</v>
      </c>
      <c r="S31" s="41">
        <f t="shared" si="2"/>
        <v>42055.199999999997</v>
      </c>
      <c r="T31">
        <v>307</v>
      </c>
    </row>
    <row r="32" spans="1:25" x14ac:dyDescent="0.2">
      <c r="A32" s="4">
        <v>24</v>
      </c>
      <c r="B32" s="85">
        <v>46100</v>
      </c>
      <c r="C32" s="6"/>
      <c r="D32" s="69" t="s">
        <v>105</v>
      </c>
      <c r="E32" s="7">
        <v>30</v>
      </c>
      <c r="F32" s="41">
        <v>15000</v>
      </c>
      <c r="G32" s="46">
        <v>0.01</v>
      </c>
      <c r="H32" s="39">
        <v>0.18</v>
      </c>
      <c r="I32" s="41"/>
      <c r="J32" s="41"/>
      <c r="K32" s="41"/>
      <c r="L32" s="41"/>
      <c r="M32" s="41"/>
      <c r="N32" s="41"/>
      <c r="O32" s="6" t="s">
        <v>83</v>
      </c>
      <c r="P32" s="41"/>
      <c r="Q32" s="41">
        <f t="shared" si="0"/>
        <v>450000</v>
      </c>
      <c r="R32" s="41">
        <f t="shared" si="1"/>
        <v>531000</v>
      </c>
      <c r="S32" s="41">
        <f t="shared" si="2"/>
        <v>525690</v>
      </c>
      <c r="T32">
        <v>308</v>
      </c>
    </row>
    <row r="33" spans="1:21" x14ac:dyDescent="0.2">
      <c r="A33" s="4">
        <v>25</v>
      </c>
      <c r="B33" s="85">
        <v>46107</v>
      </c>
      <c r="C33" s="6"/>
      <c r="D33" s="6" t="s">
        <v>100</v>
      </c>
      <c r="E33" s="7">
        <v>50</v>
      </c>
      <c r="F33" s="41">
        <v>3600</v>
      </c>
      <c r="G33" s="46">
        <v>0.01</v>
      </c>
      <c r="H33" s="39">
        <v>0.18</v>
      </c>
      <c r="I33" s="41"/>
      <c r="J33" s="41"/>
      <c r="K33" s="41"/>
      <c r="L33" s="41"/>
      <c r="M33" s="41"/>
      <c r="N33" s="41"/>
      <c r="O33" s="6" t="s">
        <v>83</v>
      </c>
      <c r="P33" s="41"/>
      <c r="Q33" s="41">
        <f t="shared" si="0"/>
        <v>180000</v>
      </c>
      <c r="R33" s="41">
        <f t="shared" si="1"/>
        <v>212400</v>
      </c>
      <c r="S33" s="41">
        <f t="shared" si="2"/>
        <v>210276</v>
      </c>
      <c r="T33">
        <v>313</v>
      </c>
    </row>
    <row r="34" spans="1:21" x14ac:dyDescent="0.2">
      <c r="A34" s="4">
        <v>26</v>
      </c>
      <c r="B34" s="85">
        <v>46109</v>
      </c>
      <c r="C34" s="6"/>
      <c r="D34" s="69" t="s">
        <v>105</v>
      </c>
      <c r="E34" s="7">
        <v>30</v>
      </c>
      <c r="F34" s="41">
        <v>15000</v>
      </c>
      <c r="G34" s="46">
        <v>0.01</v>
      </c>
      <c r="H34" s="39">
        <v>0.18</v>
      </c>
      <c r="I34" s="41"/>
      <c r="J34" s="41"/>
      <c r="K34" s="41"/>
      <c r="L34" s="41"/>
      <c r="M34" s="41"/>
      <c r="N34" s="41"/>
      <c r="O34" s="6" t="s">
        <v>83</v>
      </c>
      <c r="P34" s="41"/>
      <c r="Q34" s="41">
        <f t="shared" si="0"/>
        <v>450000</v>
      </c>
      <c r="R34" s="41">
        <f t="shared" si="1"/>
        <v>531000</v>
      </c>
      <c r="S34" s="41">
        <f t="shared" si="2"/>
        <v>525690</v>
      </c>
      <c r="T34">
        <v>315</v>
      </c>
    </row>
    <row r="35" spans="1:21" x14ac:dyDescent="0.2">
      <c r="A35" s="4">
        <v>27</v>
      </c>
      <c r="B35" s="85">
        <v>46111</v>
      </c>
      <c r="C35" s="6"/>
      <c r="D35" s="6" t="s">
        <v>100</v>
      </c>
      <c r="E35" s="7">
        <v>40</v>
      </c>
      <c r="F35" s="41">
        <v>3600</v>
      </c>
      <c r="G35" s="46">
        <v>0.01</v>
      </c>
      <c r="H35" s="39">
        <v>0.18</v>
      </c>
      <c r="I35" s="41"/>
      <c r="J35" s="41"/>
      <c r="K35" s="41"/>
      <c r="L35" s="41"/>
      <c r="M35" s="41"/>
      <c r="N35" s="41"/>
      <c r="O35" s="6" t="s">
        <v>83</v>
      </c>
      <c r="P35" s="41"/>
      <c r="Q35" s="41">
        <f t="shared" si="0"/>
        <v>144000</v>
      </c>
      <c r="R35" s="41">
        <f t="shared" si="1"/>
        <v>169920</v>
      </c>
      <c r="S35" s="41">
        <f t="shared" si="2"/>
        <v>168220.79999999999</v>
      </c>
      <c r="T35">
        <v>318</v>
      </c>
    </row>
    <row r="36" spans="1:21" x14ac:dyDescent="0.2">
      <c r="A36" s="4">
        <v>28</v>
      </c>
      <c r="B36" s="85">
        <v>46120</v>
      </c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 t="s">
        <v>198</v>
      </c>
      <c r="P36" s="41">
        <v>1963160</v>
      </c>
      <c r="Q36" s="41">
        <f t="shared" si="0"/>
        <v>0</v>
      </c>
      <c r="R36" s="41">
        <f t="shared" si="1"/>
        <v>0</v>
      </c>
      <c r="S36" s="41">
        <f t="shared" si="2"/>
        <v>-1963160</v>
      </c>
      <c r="U36" t="s">
        <v>276</v>
      </c>
    </row>
    <row r="37" spans="1:21" x14ac:dyDescent="0.2">
      <c r="A37" s="4">
        <v>29</v>
      </c>
      <c r="B37" s="8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>
        <f t="shared" si="1"/>
        <v>0</v>
      </c>
      <c r="S37" s="41" t="str">
        <f t="shared" si="2"/>
        <v/>
      </c>
    </row>
    <row r="38" spans="1:21" x14ac:dyDescent="0.2">
      <c r="A38" s="4">
        <v>30</v>
      </c>
      <c r="B38" s="8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>
        <f t="shared" si="1"/>
        <v>0</v>
      </c>
      <c r="S38" s="41" t="str">
        <f t="shared" si="2"/>
        <v/>
      </c>
    </row>
    <row r="39" spans="1:21" x14ac:dyDescent="0.2">
      <c r="A39" s="4">
        <v>31</v>
      </c>
      <c r="B39" s="8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>
        <f t="shared" si="1"/>
        <v>0</v>
      </c>
      <c r="S39" s="41" t="str">
        <f t="shared" si="2"/>
        <v/>
      </c>
    </row>
    <row r="40" spans="1:21" x14ac:dyDescent="0.2">
      <c r="A40" s="4">
        <v>32</v>
      </c>
      <c r="B40" s="8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>
        <f t="shared" si="1"/>
        <v>0</v>
      </c>
      <c r="S40" s="41" t="str">
        <f t="shared" si="2"/>
        <v/>
      </c>
    </row>
    <row r="41" spans="1:21" x14ac:dyDescent="0.2">
      <c r="A41" s="4">
        <v>33</v>
      </c>
      <c r="B41" s="8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>
        <f t="shared" si="1"/>
        <v>0</v>
      </c>
      <c r="S41" s="41" t="str">
        <f t="shared" si="2"/>
        <v/>
      </c>
    </row>
    <row r="42" spans="1:21" x14ac:dyDescent="0.2">
      <c r="A42" s="4">
        <v>34</v>
      </c>
      <c r="B42" s="8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>
        <f t="shared" si="1"/>
        <v>0</v>
      </c>
      <c r="S42" s="41" t="str">
        <f t="shared" si="2"/>
        <v/>
      </c>
    </row>
    <row r="43" spans="1:21" x14ac:dyDescent="0.2">
      <c r="A43" s="4">
        <v>35</v>
      </c>
      <c r="B43" s="8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>
        <f t="shared" si="1"/>
        <v>0</v>
      </c>
      <c r="S43" s="41" t="str">
        <f t="shared" si="2"/>
        <v/>
      </c>
    </row>
    <row r="44" spans="1:21" x14ac:dyDescent="0.2">
      <c r="A44" s="4">
        <v>36</v>
      </c>
      <c r="B44" s="8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>
        <f t="shared" si="1"/>
        <v>0</v>
      </c>
      <c r="S44" s="41" t="str">
        <f t="shared" si="2"/>
        <v/>
      </c>
    </row>
    <row r="45" spans="1:21" x14ac:dyDescent="0.2">
      <c r="A45" s="4">
        <v>37</v>
      </c>
      <c r="B45" s="8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>
        <f t="shared" si="1"/>
        <v>0</v>
      </c>
      <c r="S45" s="41" t="str">
        <f t="shared" si="2"/>
        <v/>
      </c>
    </row>
    <row r="46" spans="1:21" x14ac:dyDescent="0.2">
      <c r="A46" s="4">
        <v>38</v>
      </c>
      <c r="B46" s="8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>
        <f t="shared" si="1"/>
        <v>0</v>
      </c>
      <c r="S46" s="41" t="str">
        <f t="shared" si="2"/>
        <v/>
      </c>
    </row>
    <row r="47" spans="1:21" x14ac:dyDescent="0.2">
      <c r="A47" s="4">
        <v>39</v>
      </c>
      <c r="B47" s="8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>
        <f t="shared" si="1"/>
        <v>0</v>
      </c>
      <c r="S47" s="41" t="str">
        <f t="shared" si="2"/>
        <v/>
      </c>
    </row>
    <row r="48" spans="1:21" x14ac:dyDescent="0.2">
      <c r="A48" s="4">
        <v>40</v>
      </c>
      <c r="B48" s="8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>
        <f t="shared" si="1"/>
        <v>0</v>
      </c>
      <c r="S48" s="41" t="str">
        <f t="shared" si="2"/>
        <v/>
      </c>
    </row>
    <row r="49" spans="1:19" x14ac:dyDescent="0.2">
      <c r="A49" s="4">
        <v>41</v>
      </c>
      <c r="B49" s="8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>
        <f t="shared" si="1"/>
        <v>0</v>
      </c>
      <c r="S49" s="41" t="str">
        <f t="shared" si="2"/>
        <v/>
      </c>
    </row>
    <row r="50" spans="1:19" x14ac:dyDescent="0.2">
      <c r="A50" s="4">
        <v>42</v>
      </c>
      <c r="B50" s="8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>
        <f t="shared" si="1"/>
        <v>0</v>
      </c>
      <c r="S50" s="41" t="str">
        <f t="shared" si="2"/>
        <v/>
      </c>
    </row>
    <row r="51" spans="1:19" x14ac:dyDescent="0.2">
      <c r="A51" s="4">
        <v>43</v>
      </c>
      <c r="B51" s="8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>
        <f t="shared" si="1"/>
        <v>0</v>
      </c>
      <c r="S51" s="41" t="str">
        <f t="shared" si="2"/>
        <v/>
      </c>
    </row>
    <row r="52" spans="1:19" x14ac:dyDescent="0.2">
      <c r="A52" s="4">
        <v>44</v>
      </c>
      <c r="B52" s="8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>
        <f t="shared" si="1"/>
        <v>0</v>
      </c>
      <c r="S52" s="41" t="str">
        <f t="shared" si="2"/>
        <v/>
      </c>
    </row>
    <row r="53" spans="1:19" x14ac:dyDescent="0.2">
      <c r="A53" s="4">
        <v>45</v>
      </c>
      <c r="B53" s="8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>
        <f t="shared" si="1"/>
        <v>0</v>
      </c>
      <c r="S53" s="41" t="str">
        <f t="shared" si="2"/>
        <v/>
      </c>
    </row>
    <row r="54" spans="1:19" x14ac:dyDescent="0.2">
      <c r="A54" s="4">
        <v>46</v>
      </c>
      <c r="B54" s="8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>
        <f t="shared" si="1"/>
        <v>0</v>
      </c>
      <c r="S54" s="41" t="str">
        <f t="shared" si="2"/>
        <v/>
      </c>
    </row>
    <row r="55" spans="1:19" x14ac:dyDescent="0.2">
      <c r="A55" s="4">
        <v>47</v>
      </c>
      <c r="B55" s="8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>
        <f t="shared" si="1"/>
        <v>0</v>
      </c>
      <c r="S55" s="41" t="str">
        <f t="shared" si="2"/>
        <v/>
      </c>
    </row>
    <row r="56" spans="1:19" x14ac:dyDescent="0.2">
      <c r="A56" s="4">
        <v>48</v>
      </c>
      <c r="B56" s="8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>
        <f t="shared" si="1"/>
        <v>0</v>
      </c>
      <c r="S56" s="41" t="str">
        <f t="shared" si="2"/>
        <v/>
      </c>
    </row>
    <row r="57" spans="1:19" x14ac:dyDescent="0.2">
      <c r="A57" s="4">
        <v>49</v>
      </c>
      <c r="B57" s="8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>
        <f t="shared" si="1"/>
        <v>0</v>
      </c>
      <c r="S57" s="41" t="str">
        <f t="shared" si="2"/>
        <v/>
      </c>
    </row>
    <row r="58" spans="1:19" x14ac:dyDescent="0.2">
      <c r="A58" s="4">
        <v>50</v>
      </c>
      <c r="B58" s="8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>
        <f t="shared" si="1"/>
        <v>0</v>
      </c>
      <c r="S58" s="41" t="str">
        <f t="shared" si="2"/>
        <v/>
      </c>
    </row>
    <row r="59" spans="1:19" x14ac:dyDescent="0.2">
      <c r="A59" s="4">
        <v>51</v>
      </c>
      <c r="B59" s="8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>
        <f t="shared" si="1"/>
        <v>0</v>
      </c>
      <c r="S59" s="41" t="str">
        <f t="shared" si="2"/>
        <v/>
      </c>
    </row>
    <row r="60" spans="1:19" x14ac:dyDescent="0.2">
      <c r="A60" s="4">
        <v>52</v>
      </c>
      <c r="B60" s="8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>
        <f t="shared" si="1"/>
        <v>0</v>
      </c>
      <c r="S60" s="41" t="str">
        <f t="shared" si="2"/>
        <v/>
      </c>
    </row>
    <row r="61" spans="1:19" x14ac:dyDescent="0.2">
      <c r="A61" s="4">
        <v>53</v>
      </c>
      <c r="B61" s="8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>
        <f t="shared" si="1"/>
        <v>0</v>
      </c>
      <c r="S61" s="41" t="str">
        <f t="shared" si="2"/>
        <v/>
      </c>
    </row>
    <row r="62" spans="1:19" x14ac:dyDescent="0.2">
      <c r="A62" s="4">
        <v>54</v>
      </c>
      <c r="B62" s="8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>
        <f t="shared" si="1"/>
        <v>0</v>
      </c>
      <c r="S62" s="41" t="str">
        <f t="shared" si="2"/>
        <v/>
      </c>
    </row>
    <row r="63" spans="1:19" x14ac:dyDescent="0.2">
      <c r="A63" s="4">
        <v>55</v>
      </c>
      <c r="B63" s="8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>
        <f t="shared" si="1"/>
        <v>0</v>
      </c>
      <c r="S63" s="41" t="str">
        <f t="shared" si="2"/>
        <v/>
      </c>
    </row>
    <row r="64" spans="1:19" x14ac:dyDescent="0.2">
      <c r="A64" s="4">
        <v>56</v>
      </c>
      <c r="B64" s="8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>
        <f t="shared" si="1"/>
        <v>0</v>
      </c>
      <c r="S64" s="41" t="str">
        <f t="shared" si="2"/>
        <v/>
      </c>
    </row>
    <row r="65" spans="1:19" x14ac:dyDescent="0.2">
      <c r="A65" s="4">
        <v>57</v>
      </c>
      <c r="B65" s="8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>
        <f t="shared" si="1"/>
        <v>0</v>
      </c>
      <c r="S65" s="41" t="str">
        <f t="shared" si="2"/>
        <v/>
      </c>
    </row>
    <row r="66" spans="1:19" x14ac:dyDescent="0.2">
      <c r="A66" s="4">
        <v>58</v>
      </c>
      <c r="B66" s="8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>
        <f t="shared" si="1"/>
        <v>0</v>
      </c>
      <c r="S66" s="41" t="str">
        <f t="shared" si="2"/>
        <v/>
      </c>
    </row>
    <row r="67" spans="1:19" x14ac:dyDescent="0.2">
      <c r="A67" s="4">
        <v>59</v>
      </c>
      <c r="B67" s="8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>
        <f t="shared" si="1"/>
        <v>0</v>
      </c>
      <c r="S67" s="41" t="str">
        <f t="shared" si="2"/>
        <v/>
      </c>
    </row>
    <row r="68" spans="1:19" x14ac:dyDescent="0.2">
      <c r="A68" s="4">
        <v>60</v>
      </c>
      <c r="B68" s="8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>
        <f t="shared" si="1"/>
        <v>0</v>
      </c>
      <c r="S68" s="41" t="str">
        <f t="shared" si="2"/>
        <v/>
      </c>
    </row>
    <row r="69" spans="1:19" x14ac:dyDescent="0.2">
      <c r="A69" s="4">
        <v>61</v>
      </c>
      <c r="B69" s="8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>
        <f t="shared" si="1"/>
        <v>0</v>
      </c>
      <c r="S69" s="41" t="str">
        <f t="shared" si="2"/>
        <v/>
      </c>
    </row>
    <row r="70" spans="1:19" x14ac:dyDescent="0.2">
      <c r="A70" s="4">
        <v>62</v>
      </c>
      <c r="B70" s="8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>
        <f t="shared" si="1"/>
        <v>0</v>
      </c>
      <c r="S70" s="41" t="str">
        <f t="shared" si="2"/>
        <v/>
      </c>
    </row>
    <row r="71" spans="1:19" x14ac:dyDescent="0.2">
      <c r="A71" s="4">
        <v>63</v>
      </c>
      <c r="B71" s="8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>
        <f t="shared" si="1"/>
        <v>0</v>
      </c>
      <c r="S71" s="41" t="str">
        <f t="shared" si="2"/>
        <v/>
      </c>
    </row>
    <row r="72" spans="1:19" x14ac:dyDescent="0.2">
      <c r="A72" s="4">
        <v>64</v>
      </c>
      <c r="B72" s="8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>
        <f t="shared" si="1"/>
        <v>0</v>
      </c>
      <c r="S72" s="41" t="str">
        <f t="shared" si="2"/>
        <v/>
      </c>
    </row>
    <row r="73" spans="1:19" x14ac:dyDescent="0.2">
      <c r="A73" s="4">
        <v>65</v>
      </c>
      <c r="B73" s="8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>
        <f t="shared" si="1"/>
        <v>0</v>
      </c>
      <c r="S73" s="41" t="str">
        <f t="shared" si="2"/>
        <v/>
      </c>
    </row>
    <row r="74" spans="1:19" x14ac:dyDescent="0.2">
      <c r="A74" s="4">
        <v>66</v>
      </c>
      <c r="B74" s="8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3">E74*F74</f>
        <v>0</v>
      </c>
      <c r="R74" s="41">
        <f t="shared" ref="R74:R137" si="4">Q74+(Q74*H74)</f>
        <v>0</v>
      </c>
      <c r="S74" s="41" t="str">
        <f t="shared" ref="S74:S137" si="5">IF(O74=$V$3,R74-(R74*G74),IF(O74=$V$4,-P74,""))</f>
        <v/>
      </c>
    </row>
    <row r="75" spans="1:19" x14ac:dyDescent="0.2">
      <c r="A75" s="4">
        <v>67</v>
      </c>
      <c r="B75" s="8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3"/>
        <v>0</v>
      </c>
      <c r="R75" s="41">
        <f t="shared" si="4"/>
        <v>0</v>
      </c>
      <c r="S75" s="41" t="str">
        <f t="shared" si="5"/>
        <v/>
      </c>
    </row>
    <row r="76" spans="1:19" x14ac:dyDescent="0.2">
      <c r="A76" s="4">
        <v>68</v>
      </c>
      <c r="B76" s="8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3"/>
        <v>0</v>
      </c>
      <c r="R76" s="41">
        <f t="shared" si="4"/>
        <v>0</v>
      </c>
      <c r="S76" s="41" t="str">
        <f t="shared" si="5"/>
        <v/>
      </c>
    </row>
    <row r="77" spans="1:19" x14ac:dyDescent="0.2">
      <c r="A77" s="4">
        <v>69</v>
      </c>
      <c r="B77" s="8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3"/>
        <v>0</v>
      </c>
      <c r="R77" s="41">
        <f t="shared" si="4"/>
        <v>0</v>
      </c>
      <c r="S77" s="41" t="str">
        <f t="shared" si="5"/>
        <v/>
      </c>
    </row>
    <row r="78" spans="1:19" x14ac:dyDescent="0.2">
      <c r="A78" s="4">
        <v>70</v>
      </c>
      <c r="B78" s="8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3"/>
        <v>0</v>
      </c>
      <c r="R78" s="41">
        <f t="shared" si="4"/>
        <v>0</v>
      </c>
      <c r="S78" s="41" t="str">
        <f t="shared" si="5"/>
        <v/>
      </c>
    </row>
    <row r="79" spans="1:19" x14ac:dyDescent="0.2">
      <c r="A79" s="4">
        <v>71</v>
      </c>
      <c r="B79" s="8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3"/>
        <v>0</v>
      </c>
      <c r="R79" s="41">
        <f t="shared" si="4"/>
        <v>0</v>
      </c>
      <c r="S79" s="41" t="str">
        <f t="shared" si="5"/>
        <v/>
      </c>
    </row>
    <row r="80" spans="1:19" x14ac:dyDescent="0.2">
      <c r="A80" s="4">
        <v>72</v>
      </c>
      <c r="B80" s="8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3"/>
        <v>0</v>
      </c>
      <c r="R80" s="41">
        <f t="shared" si="4"/>
        <v>0</v>
      </c>
      <c r="S80" s="41" t="str">
        <f t="shared" si="5"/>
        <v/>
      </c>
    </row>
    <row r="81" spans="1:19" x14ac:dyDescent="0.2">
      <c r="A81" s="4">
        <v>73</v>
      </c>
      <c r="B81" s="8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3"/>
        <v>0</v>
      </c>
      <c r="R81" s="41">
        <f t="shared" si="4"/>
        <v>0</v>
      </c>
      <c r="S81" s="41" t="str">
        <f t="shared" si="5"/>
        <v/>
      </c>
    </row>
    <row r="82" spans="1:19" x14ac:dyDescent="0.2">
      <c r="A82" s="4">
        <v>74</v>
      </c>
      <c r="B82" s="8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3"/>
        <v>0</v>
      </c>
      <c r="R82" s="41">
        <f t="shared" si="4"/>
        <v>0</v>
      </c>
      <c r="S82" s="41" t="str">
        <f t="shared" si="5"/>
        <v/>
      </c>
    </row>
    <row r="83" spans="1:19" x14ac:dyDescent="0.2">
      <c r="A83" s="4">
        <v>75</v>
      </c>
      <c r="B83" s="8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3"/>
        <v>0</v>
      </c>
      <c r="R83" s="41">
        <f t="shared" si="4"/>
        <v>0</v>
      </c>
      <c r="S83" s="41" t="str">
        <f t="shared" si="5"/>
        <v/>
      </c>
    </row>
    <row r="84" spans="1:19" x14ac:dyDescent="0.2">
      <c r="A84" s="4">
        <v>76</v>
      </c>
      <c r="B84" s="8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3"/>
        <v>0</v>
      </c>
      <c r="R84" s="41">
        <f t="shared" si="4"/>
        <v>0</v>
      </c>
      <c r="S84" s="41" t="str">
        <f t="shared" si="5"/>
        <v/>
      </c>
    </row>
    <row r="85" spans="1:19" x14ac:dyDescent="0.2">
      <c r="A85" s="4">
        <v>77</v>
      </c>
      <c r="B85" s="8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3"/>
        <v>0</v>
      </c>
      <c r="R85" s="41">
        <f t="shared" si="4"/>
        <v>0</v>
      </c>
      <c r="S85" s="41" t="str">
        <f t="shared" si="5"/>
        <v/>
      </c>
    </row>
    <row r="86" spans="1:19" x14ac:dyDescent="0.2">
      <c r="A86" s="4">
        <v>78</v>
      </c>
      <c r="B86" s="8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3"/>
        <v>0</v>
      </c>
      <c r="R86" s="41">
        <f t="shared" si="4"/>
        <v>0</v>
      </c>
      <c r="S86" s="41" t="str">
        <f t="shared" si="5"/>
        <v/>
      </c>
    </row>
    <row r="87" spans="1:19" x14ac:dyDescent="0.2">
      <c r="A87" s="4">
        <v>79</v>
      </c>
      <c r="B87" s="8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3"/>
        <v>0</v>
      </c>
      <c r="R87" s="41">
        <f t="shared" si="4"/>
        <v>0</v>
      </c>
      <c r="S87" s="41" t="str">
        <f t="shared" si="5"/>
        <v/>
      </c>
    </row>
    <row r="88" spans="1:19" x14ac:dyDescent="0.2">
      <c r="A88" s="4">
        <v>80</v>
      </c>
      <c r="B88" s="8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3"/>
        <v>0</v>
      </c>
      <c r="R88" s="41">
        <f t="shared" si="4"/>
        <v>0</v>
      </c>
      <c r="S88" s="41" t="str">
        <f t="shared" si="5"/>
        <v/>
      </c>
    </row>
    <row r="89" spans="1:19" x14ac:dyDescent="0.2">
      <c r="A89" s="4">
        <v>81</v>
      </c>
      <c r="B89" s="8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3"/>
        <v>0</v>
      </c>
      <c r="R89" s="41">
        <f t="shared" si="4"/>
        <v>0</v>
      </c>
      <c r="S89" s="41" t="str">
        <f t="shared" si="5"/>
        <v/>
      </c>
    </row>
    <row r="90" spans="1:19" x14ac:dyDescent="0.2">
      <c r="A90" s="4">
        <v>82</v>
      </c>
      <c r="B90" s="8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3"/>
        <v>0</v>
      </c>
      <c r="R90" s="41">
        <f t="shared" si="4"/>
        <v>0</v>
      </c>
      <c r="S90" s="41" t="str">
        <f t="shared" si="5"/>
        <v/>
      </c>
    </row>
    <row r="91" spans="1:19" x14ac:dyDescent="0.2">
      <c r="A91" s="4">
        <v>83</v>
      </c>
      <c r="B91" s="8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3"/>
        <v>0</v>
      </c>
      <c r="R91" s="41">
        <f t="shared" si="4"/>
        <v>0</v>
      </c>
      <c r="S91" s="41" t="str">
        <f t="shared" si="5"/>
        <v/>
      </c>
    </row>
    <row r="92" spans="1:19" x14ac:dyDescent="0.2">
      <c r="A92" s="4">
        <v>84</v>
      </c>
      <c r="B92" s="8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3"/>
        <v>0</v>
      </c>
      <c r="R92" s="41">
        <f t="shared" si="4"/>
        <v>0</v>
      </c>
      <c r="S92" s="41" t="str">
        <f t="shared" si="5"/>
        <v/>
      </c>
    </row>
    <row r="93" spans="1:19" x14ac:dyDescent="0.2">
      <c r="A93" s="4">
        <v>85</v>
      </c>
      <c r="B93" s="8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3"/>
        <v>0</v>
      </c>
      <c r="R93" s="41">
        <f t="shared" si="4"/>
        <v>0</v>
      </c>
      <c r="S93" s="41" t="str">
        <f t="shared" si="5"/>
        <v/>
      </c>
    </row>
    <row r="94" spans="1:19" x14ac:dyDescent="0.2">
      <c r="A94" s="4">
        <v>86</v>
      </c>
      <c r="B94" s="8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3"/>
        <v>0</v>
      </c>
      <c r="R94" s="41">
        <f t="shared" si="4"/>
        <v>0</v>
      </c>
      <c r="S94" s="41" t="str">
        <f t="shared" si="5"/>
        <v/>
      </c>
    </row>
    <row r="95" spans="1:19" x14ac:dyDescent="0.2">
      <c r="A95" s="4">
        <v>87</v>
      </c>
      <c r="B95" s="8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3"/>
        <v>0</v>
      </c>
      <c r="R95" s="41">
        <f t="shared" si="4"/>
        <v>0</v>
      </c>
      <c r="S95" s="41" t="str">
        <f t="shared" si="5"/>
        <v/>
      </c>
    </row>
    <row r="96" spans="1:19" x14ac:dyDescent="0.2">
      <c r="A96" s="4">
        <v>88</v>
      </c>
      <c r="B96" s="8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3"/>
        <v>0</v>
      </c>
      <c r="R96" s="41">
        <f t="shared" si="4"/>
        <v>0</v>
      </c>
      <c r="S96" s="41" t="str">
        <f t="shared" si="5"/>
        <v/>
      </c>
    </row>
    <row r="97" spans="1:19" x14ac:dyDescent="0.2">
      <c r="A97" s="4">
        <v>89</v>
      </c>
      <c r="B97" s="8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3"/>
        <v>0</v>
      </c>
      <c r="R97" s="41">
        <f t="shared" si="4"/>
        <v>0</v>
      </c>
      <c r="S97" s="41" t="str">
        <f t="shared" si="5"/>
        <v/>
      </c>
    </row>
    <row r="98" spans="1:19" x14ac:dyDescent="0.2">
      <c r="A98" s="4">
        <v>90</v>
      </c>
      <c r="B98" s="8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3"/>
        <v>0</v>
      </c>
      <c r="R98" s="41">
        <f t="shared" si="4"/>
        <v>0</v>
      </c>
      <c r="S98" s="41" t="str">
        <f t="shared" si="5"/>
        <v/>
      </c>
    </row>
    <row r="99" spans="1:19" x14ac:dyDescent="0.2">
      <c r="A99" s="4">
        <v>91</v>
      </c>
      <c r="B99" s="8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3"/>
        <v>0</v>
      </c>
      <c r="R99" s="41">
        <f t="shared" si="4"/>
        <v>0</v>
      </c>
      <c r="S99" s="41" t="str">
        <f t="shared" si="5"/>
        <v/>
      </c>
    </row>
    <row r="100" spans="1:19" x14ac:dyDescent="0.2">
      <c r="A100" s="4">
        <v>92</v>
      </c>
      <c r="B100" s="8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3"/>
        <v>0</v>
      </c>
      <c r="R100" s="41">
        <f t="shared" si="4"/>
        <v>0</v>
      </c>
      <c r="S100" s="41" t="str">
        <f t="shared" si="5"/>
        <v/>
      </c>
    </row>
    <row r="101" spans="1:19" x14ac:dyDescent="0.2">
      <c r="A101" s="4">
        <v>93</v>
      </c>
      <c r="B101" s="8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3"/>
        <v>0</v>
      </c>
      <c r="R101" s="41">
        <f t="shared" si="4"/>
        <v>0</v>
      </c>
      <c r="S101" s="41" t="str">
        <f t="shared" si="5"/>
        <v/>
      </c>
    </row>
    <row r="102" spans="1:19" x14ac:dyDescent="0.2">
      <c r="A102" s="4">
        <v>94</v>
      </c>
      <c r="B102" s="8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3"/>
        <v>0</v>
      </c>
      <c r="R102" s="41">
        <f t="shared" si="4"/>
        <v>0</v>
      </c>
      <c r="S102" s="41" t="str">
        <f t="shared" si="5"/>
        <v/>
      </c>
    </row>
    <row r="103" spans="1:19" x14ac:dyDescent="0.2">
      <c r="A103" s="4">
        <v>95</v>
      </c>
      <c r="B103" s="8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3"/>
        <v>0</v>
      </c>
      <c r="R103" s="41">
        <f t="shared" si="4"/>
        <v>0</v>
      </c>
      <c r="S103" s="41" t="str">
        <f t="shared" si="5"/>
        <v/>
      </c>
    </row>
    <row r="104" spans="1:19" x14ac:dyDescent="0.2">
      <c r="A104" s="4">
        <v>96</v>
      </c>
      <c r="B104" s="8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3"/>
        <v>0</v>
      </c>
      <c r="R104" s="41">
        <f t="shared" si="4"/>
        <v>0</v>
      </c>
      <c r="S104" s="41" t="str">
        <f t="shared" si="5"/>
        <v/>
      </c>
    </row>
    <row r="105" spans="1:19" x14ac:dyDescent="0.2">
      <c r="A105" s="4">
        <v>97</v>
      </c>
      <c r="B105" s="8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3"/>
        <v>0</v>
      </c>
      <c r="R105" s="41">
        <f t="shared" si="4"/>
        <v>0</v>
      </c>
      <c r="S105" s="41" t="str">
        <f t="shared" si="5"/>
        <v/>
      </c>
    </row>
    <row r="106" spans="1:19" x14ac:dyDescent="0.2">
      <c r="A106" s="4">
        <v>98</v>
      </c>
      <c r="B106" s="8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3"/>
        <v>0</v>
      </c>
      <c r="R106" s="41">
        <f t="shared" si="4"/>
        <v>0</v>
      </c>
      <c r="S106" s="41" t="str">
        <f t="shared" si="5"/>
        <v/>
      </c>
    </row>
    <row r="107" spans="1:19" x14ac:dyDescent="0.2">
      <c r="A107" s="4">
        <v>99</v>
      </c>
      <c r="B107" s="8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3"/>
        <v>0</v>
      </c>
      <c r="R107" s="41">
        <f t="shared" si="4"/>
        <v>0</v>
      </c>
      <c r="S107" s="41" t="str">
        <f t="shared" si="5"/>
        <v/>
      </c>
    </row>
    <row r="108" spans="1:19" x14ac:dyDescent="0.2">
      <c r="A108" s="4">
        <v>100</v>
      </c>
      <c r="B108" s="8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3"/>
        <v>0</v>
      </c>
      <c r="R108" s="41">
        <f t="shared" si="4"/>
        <v>0</v>
      </c>
      <c r="S108" s="41" t="str">
        <f t="shared" si="5"/>
        <v/>
      </c>
    </row>
    <row r="109" spans="1:19" x14ac:dyDescent="0.2">
      <c r="A109" s="4">
        <v>101</v>
      </c>
      <c r="B109" s="8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3"/>
        <v>0</v>
      </c>
      <c r="R109" s="41">
        <f t="shared" si="4"/>
        <v>0</v>
      </c>
      <c r="S109" s="41" t="str">
        <f t="shared" si="5"/>
        <v/>
      </c>
    </row>
    <row r="110" spans="1:19" x14ac:dyDescent="0.2">
      <c r="A110" s="4">
        <v>102</v>
      </c>
      <c r="B110" s="8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3"/>
        <v>0</v>
      </c>
      <c r="R110" s="41">
        <f t="shared" si="4"/>
        <v>0</v>
      </c>
      <c r="S110" s="41" t="str">
        <f t="shared" si="5"/>
        <v/>
      </c>
    </row>
    <row r="111" spans="1:19" x14ac:dyDescent="0.2">
      <c r="A111" s="4">
        <v>103</v>
      </c>
      <c r="B111" s="8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3"/>
        <v>0</v>
      </c>
      <c r="R111" s="41">
        <f t="shared" si="4"/>
        <v>0</v>
      </c>
      <c r="S111" s="41" t="str">
        <f t="shared" si="5"/>
        <v/>
      </c>
    </row>
    <row r="112" spans="1:19" x14ac:dyDescent="0.2">
      <c r="A112" s="4">
        <v>104</v>
      </c>
      <c r="B112" s="8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3"/>
        <v>0</v>
      </c>
      <c r="R112" s="41">
        <f t="shared" si="4"/>
        <v>0</v>
      </c>
      <c r="S112" s="41" t="str">
        <f t="shared" si="5"/>
        <v/>
      </c>
    </row>
    <row r="113" spans="1:19" x14ac:dyDescent="0.2">
      <c r="A113" s="4">
        <v>105</v>
      </c>
      <c r="B113" s="8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3"/>
        <v>0</v>
      </c>
      <c r="R113" s="41">
        <f t="shared" si="4"/>
        <v>0</v>
      </c>
      <c r="S113" s="41" t="str">
        <f t="shared" si="5"/>
        <v/>
      </c>
    </row>
    <row r="114" spans="1:19" x14ac:dyDescent="0.2">
      <c r="A114" s="4">
        <v>106</v>
      </c>
      <c r="B114" s="8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3"/>
        <v>0</v>
      </c>
      <c r="R114" s="41">
        <f t="shared" si="4"/>
        <v>0</v>
      </c>
      <c r="S114" s="41" t="str">
        <f t="shared" si="5"/>
        <v/>
      </c>
    </row>
    <row r="115" spans="1:19" x14ac:dyDescent="0.2">
      <c r="A115" s="4">
        <v>107</v>
      </c>
      <c r="B115" s="8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3"/>
        <v>0</v>
      </c>
      <c r="R115" s="41">
        <f t="shared" si="4"/>
        <v>0</v>
      </c>
      <c r="S115" s="41" t="str">
        <f t="shared" si="5"/>
        <v/>
      </c>
    </row>
    <row r="116" spans="1:19" x14ac:dyDescent="0.2">
      <c r="A116" s="4">
        <v>108</v>
      </c>
      <c r="B116" s="8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3"/>
        <v>0</v>
      </c>
      <c r="R116" s="41">
        <f t="shared" si="4"/>
        <v>0</v>
      </c>
      <c r="S116" s="41" t="str">
        <f t="shared" si="5"/>
        <v/>
      </c>
    </row>
    <row r="117" spans="1:19" x14ac:dyDescent="0.2">
      <c r="A117" s="4">
        <v>109</v>
      </c>
      <c r="B117" s="8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3"/>
        <v>0</v>
      </c>
      <c r="R117" s="41">
        <f t="shared" si="4"/>
        <v>0</v>
      </c>
      <c r="S117" s="41" t="str">
        <f t="shared" si="5"/>
        <v/>
      </c>
    </row>
    <row r="118" spans="1:19" x14ac:dyDescent="0.2">
      <c r="A118" s="4">
        <v>110</v>
      </c>
      <c r="B118" s="8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3"/>
        <v>0</v>
      </c>
      <c r="R118" s="41">
        <f t="shared" si="4"/>
        <v>0</v>
      </c>
      <c r="S118" s="41" t="str">
        <f t="shared" si="5"/>
        <v/>
      </c>
    </row>
    <row r="119" spans="1:19" x14ac:dyDescent="0.2">
      <c r="A119" s="4">
        <v>111</v>
      </c>
      <c r="B119" s="8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3"/>
        <v>0</v>
      </c>
      <c r="R119" s="41">
        <f t="shared" si="4"/>
        <v>0</v>
      </c>
      <c r="S119" s="41" t="str">
        <f t="shared" si="5"/>
        <v/>
      </c>
    </row>
    <row r="120" spans="1:19" x14ac:dyDescent="0.2">
      <c r="A120" s="4">
        <v>112</v>
      </c>
      <c r="B120" s="8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3"/>
        <v>0</v>
      </c>
      <c r="R120" s="41">
        <f t="shared" si="4"/>
        <v>0</v>
      </c>
      <c r="S120" s="41" t="str">
        <f t="shared" si="5"/>
        <v/>
      </c>
    </row>
    <row r="121" spans="1:19" x14ac:dyDescent="0.2">
      <c r="A121" s="4">
        <v>113</v>
      </c>
      <c r="B121" s="8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3"/>
        <v>0</v>
      </c>
      <c r="R121" s="41">
        <f t="shared" si="4"/>
        <v>0</v>
      </c>
      <c r="S121" s="41" t="str">
        <f t="shared" si="5"/>
        <v/>
      </c>
    </row>
    <row r="122" spans="1:19" x14ac:dyDescent="0.2">
      <c r="A122" s="4">
        <v>114</v>
      </c>
      <c r="B122" s="8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3"/>
        <v>0</v>
      </c>
      <c r="R122" s="41">
        <f t="shared" si="4"/>
        <v>0</v>
      </c>
      <c r="S122" s="41" t="str">
        <f t="shared" si="5"/>
        <v/>
      </c>
    </row>
    <row r="123" spans="1:19" x14ac:dyDescent="0.2">
      <c r="A123" s="4">
        <v>115</v>
      </c>
      <c r="B123" s="8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3"/>
        <v>0</v>
      </c>
      <c r="R123" s="41">
        <f t="shared" si="4"/>
        <v>0</v>
      </c>
      <c r="S123" s="41" t="str">
        <f t="shared" si="5"/>
        <v/>
      </c>
    </row>
    <row r="124" spans="1:19" x14ac:dyDescent="0.2">
      <c r="A124" s="4">
        <v>116</v>
      </c>
      <c r="B124" s="8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3"/>
        <v>0</v>
      </c>
      <c r="R124" s="41">
        <f t="shared" si="4"/>
        <v>0</v>
      </c>
      <c r="S124" s="41" t="str">
        <f t="shared" si="5"/>
        <v/>
      </c>
    </row>
    <row r="125" spans="1:19" x14ac:dyDescent="0.2">
      <c r="A125" s="4">
        <v>117</v>
      </c>
      <c r="B125" s="8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3"/>
        <v>0</v>
      </c>
      <c r="R125" s="41">
        <f t="shared" si="4"/>
        <v>0</v>
      </c>
      <c r="S125" s="41" t="str">
        <f t="shared" si="5"/>
        <v/>
      </c>
    </row>
    <row r="126" spans="1:19" x14ac:dyDescent="0.2">
      <c r="A126" s="4">
        <v>118</v>
      </c>
      <c r="B126" s="8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3"/>
        <v>0</v>
      </c>
      <c r="R126" s="41">
        <f t="shared" si="4"/>
        <v>0</v>
      </c>
      <c r="S126" s="41" t="str">
        <f t="shared" si="5"/>
        <v/>
      </c>
    </row>
    <row r="127" spans="1:19" x14ac:dyDescent="0.2">
      <c r="A127" s="4">
        <v>119</v>
      </c>
      <c r="B127" s="8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3"/>
        <v>0</v>
      </c>
      <c r="R127" s="41">
        <f t="shared" si="4"/>
        <v>0</v>
      </c>
      <c r="S127" s="41" t="str">
        <f t="shared" si="5"/>
        <v/>
      </c>
    </row>
    <row r="128" spans="1:19" x14ac:dyDescent="0.2">
      <c r="A128" s="4">
        <v>120</v>
      </c>
      <c r="B128" s="8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3"/>
        <v>0</v>
      </c>
      <c r="R128" s="41">
        <f t="shared" si="4"/>
        <v>0</v>
      </c>
      <c r="S128" s="41" t="str">
        <f t="shared" si="5"/>
        <v/>
      </c>
    </row>
    <row r="129" spans="1:19" x14ac:dyDescent="0.2">
      <c r="A129" s="4">
        <v>121</v>
      </c>
      <c r="B129" s="8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3"/>
        <v>0</v>
      </c>
      <c r="R129" s="41">
        <f t="shared" si="4"/>
        <v>0</v>
      </c>
      <c r="S129" s="41" t="str">
        <f t="shared" si="5"/>
        <v/>
      </c>
    </row>
    <row r="130" spans="1:19" x14ac:dyDescent="0.2">
      <c r="A130" s="4">
        <v>122</v>
      </c>
      <c r="B130" s="8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3"/>
        <v>0</v>
      </c>
      <c r="R130" s="41">
        <f t="shared" si="4"/>
        <v>0</v>
      </c>
      <c r="S130" s="41" t="str">
        <f t="shared" si="5"/>
        <v/>
      </c>
    </row>
    <row r="131" spans="1:19" x14ac:dyDescent="0.2">
      <c r="A131" s="4">
        <v>123</v>
      </c>
      <c r="B131" s="8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3"/>
        <v>0</v>
      </c>
      <c r="R131" s="41">
        <f t="shared" si="4"/>
        <v>0</v>
      </c>
      <c r="S131" s="41" t="str">
        <f t="shared" si="5"/>
        <v/>
      </c>
    </row>
    <row r="132" spans="1:19" x14ac:dyDescent="0.2">
      <c r="A132" s="4">
        <v>124</v>
      </c>
      <c r="B132" s="8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3"/>
        <v>0</v>
      </c>
      <c r="R132" s="41">
        <f t="shared" si="4"/>
        <v>0</v>
      </c>
      <c r="S132" s="41" t="str">
        <f t="shared" si="5"/>
        <v/>
      </c>
    </row>
    <row r="133" spans="1:19" x14ac:dyDescent="0.2">
      <c r="A133" s="4">
        <v>125</v>
      </c>
      <c r="B133" s="8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3"/>
        <v>0</v>
      </c>
      <c r="R133" s="41">
        <f t="shared" si="4"/>
        <v>0</v>
      </c>
      <c r="S133" s="41" t="str">
        <f t="shared" si="5"/>
        <v/>
      </c>
    </row>
    <row r="134" spans="1:19" x14ac:dyDescent="0.2">
      <c r="A134" s="4">
        <v>126</v>
      </c>
      <c r="B134" s="8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3"/>
        <v>0</v>
      </c>
      <c r="R134" s="41">
        <f t="shared" si="4"/>
        <v>0</v>
      </c>
      <c r="S134" s="41" t="str">
        <f t="shared" si="5"/>
        <v/>
      </c>
    </row>
    <row r="135" spans="1:19" x14ac:dyDescent="0.2">
      <c r="A135" s="4">
        <v>127</v>
      </c>
      <c r="B135" s="8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3"/>
        <v>0</v>
      </c>
      <c r="R135" s="41">
        <f t="shared" si="4"/>
        <v>0</v>
      </c>
      <c r="S135" s="41" t="str">
        <f t="shared" si="5"/>
        <v/>
      </c>
    </row>
    <row r="136" spans="1:19" x14ac:dyDescent="0.2">
      <c r="A136" s="4">
        <v>128</v>
      </c>
      <c r="B136" s="8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3"/>
        <v>0</v>
      </c>
      <c r="R136" s="41">
        <f t="shared" si="4"/>
        <v>0</v>
      </c>
      <c r="S136" s="41" t="str">
        <f t="shared" si="5"/>
        <v/>
      </c>
    </row>
    <row r="137" spans="1:19" x14ac:dyDescent="0.2">
      <c r="A137" s="4">
        <v>129</v>
      </c>
      <c r="B137" s="8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3"/>
        <v>0</v>
      </c>
      <c r="R137" s="41">
        <f t="shared" si="4"/>
        <v>0</v>
      </c>
      <c r="S137" s="41" t="str">
        <f t="shared" si="5"/>
        <v/>
      </c>
    </row>
    <row r="138" spans="1:19" x14ac:dyDescent="0.2">
      <c r="A138" s="4">
        <v>130</v>
      </c>
      <c r="B138" s="8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6">E138*F138</f>
        <v>0</v>
      </c>
      <c r="R138" s="41">
        <f t="shared" ref="R138:R201" si="7">Q138+(Q138*H138)</f>
        <v>0</v>
      </c>
      <c r="S138" s="41" t="str">
        <f t="shared" ref="S138:S201" si="8">IF(O138=$V$3,R138-(R138*G138),IF(O138=$V$4,-P138,""))</f>
        <v/>
      </c>
    </row>
    <row r="139" spans="1:19" x14ac:dyDescent="0.2">
      <c r="A139" s="4">
        <v>131</v>
      </c>
      <c r="B139" s="8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6"/>
        <v>0</v>
      </c>
      <c r="R139" s="41">
        <f t="shared" si="7"/>
        <v>0</v>
      </c>
      <c r="S139" s="41" t="str">
        <f t="shared" si="8"/>
        <v/>
      </c>
    </row>
    <row r="140" spans="1:19" x14ac:dyDescent="0.2">
      <c r="A140" s="4">
        <v>132</v>
      </c>
      <c r="B140" s="8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6"/>
        <v>0</v>
      </c>
      <c r="R140" s="41">
        <f t="shared" si="7"/>
        <v>0</v>
      </c>
      <c r="S140" s="41" t="str">
        <f t="shared" si="8"/>
        <v/>
      </c>
    </row>
    <row r="141" spans="1:19" x14ac:dyDescent="0.2">
      <c r="A141" s="4">
        <v>133</v>
      </c>
      <c r="B141" s="8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6"/>
        <v>0</v>
      </c>
      <c r="R141" s="41">
        <f t="shared" si="7"/>
        <v>0</v>
      </c>
      <c r="S141" s="41" t="str">
        <f t="shared" si="8"/>
        <v/>
      </c>
    </row>
    <row r="142" spans="1:19" x14ac:dyDescent="0.2">
      <c r="A142" s="4">
        <v>134</v>
      </c>
      <c r="B142" s="8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6"/>
        <v>0</v>
      </c>
      <c r="R142" s="41">
        <f t="shared" si="7"/>
        <v>0</v>
      </c>
      <c r="S142" s="41" t="str">
        <f t="shared" si="8"/>
        <v/>
      </c>
    </row>
    <row r="143" spans="1:19" x14ac:dyDescent="0.2">
      <c r="A143" s="4">
        <v>135</v>
      </c>
      <c r="B143" s="8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6"/>
        <v>0</v>
      </c>
      <c r="R143" s="41">
        <f t="shared" si="7"/>
        <v>0</v>
      </c>
      <c r="S143" s="41" t="str">
        <f t="shared" si="8"/>
        <v/>
      </c>
    </row>
    <row r="144" spans="1:19" x14ac:dyDescent="0.2">
      <c r="A144" s="4">
        <v>136</v>
      </c>
      <c r="B144" s="8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6"/>
        <v>0</v>
      </c>
      <c r="R144" s="41">
        <f t="shared" si="7"/>
        <v>0</v>
      </c>
      <c r="S144" s="41" t="str">
        <f t="shared" si="8"/>
        <v/>
      </c>
    </row>
    <row r="145" spans="1:19" x14ac:dyDescent="0.2">
      <c r="A145" s="4">
        <v>137</v>
      </c>
      <c r="B145" s="8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6"/>
        <v>0</v>
      </c>
      <c r="R145" s="41">
        <f t="shared" si="7"/>
        <v>0</v>
      </c>
      <c r="S145" s="41" t="str">
        <f t="shared" si="8"/>
        <v/>
      </c>
    </row>
    <row r="146" spans="1:19" x14ac:dyDescent="0.2">
      <c r="A146" s="4">
        <v>138</v>
      </c>
      <c r="B146" s="8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6"/>
        <v>0</v>
      </c>
      <c r="R146" s="41">
        <f t="shared" si="7"/>
        <v>0</v>
      </c>
      <c r="S146" s="41" t="str">
        <f t="shared" si="8"/>
        <v/>
      </c>
    </row>
    <row r="147" spans="1:19" x14ac:dyDescent="0.2">
      <c r="A147" s="4">
        <v>139</v>
      </c>
      <c r="B147" s="8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6"/>
        <v>0</v>
      </c>
      <c r="R147" s="41">
        <f t="shared" si="7"/>
        <v>0</v>
      </c>
      <c r="S147" s="41" t="str">
        <f t="shared" si="8"/>
        <v/>
      </c>
    </row>
    <row r="148" spans="1:19" x14ac:dyDescent="0.2">
      <c r="A148" s="4">
        <v>140</v>
      </c>
      <c r="B148" s="8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6"/>
        <v>0</v>
      </c>
      <c r="R148" s="41">
        <f t="shared" si="7"/>
        <v>0</v>
      </c>
      <c r="S148" s="41" t="str">
        <f t="shared" si="8"/>
        <v/>
      </c>
    </row>
    <row r="149" spans="1:19" x14ac:dyDescent="0.2">
      <c r="A149" s="4">
        <v>141</v>
      </c>
      <c r="B149" s="8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6"/>
        <v>0</v>
      </c>
      <c r="R149" s="41">
        <f t="shared" si="7"/>
        <v>0</v>
      </c>
      <c r="S149" s="41" t="str">
        <f t="shared" si="8"/>
        <v/>
      </c>
    </row>
    <row r="150" spans="1:19" x14ac:dyDescent="0.2">
      <c r="A150" s="4">
        <v>142</v>
      </c>
      <c r="B150" s="8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6"/>
        <v>0</v>
      </c>
      <c r="R150" s="41">
        <f t="shared" si="7"/>
        <v>0</v>
      </c>
      <c r="S150" s="41" t="str">
        <f t="shared" si="8"/>
        <v/>
      </c>
    </row>
    <row r="151" spans="1:19" x14ac:dyDescent="0.2">
      <c r="A151" s="4">
        <v>143</v>
      </c>
      <c r="B151" s="8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6"/>
        <v>0</v>
      </c>
      <c r="R151" s="41">
        <f t="shared" si="7"/>
        <v>0</v>
      </c>
      <c r="S151" s="41" t="str">
        <f t="shared" si="8"/>
        <v/>
      </c>
    </row>
    <row r="152" spans="1:19" x14ac:dyDescent="0.2">
      <c r="A152" s="4">
        <v>144</v>
      </c>
      <c r="B152" s="8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6"/>
        <v>0</v>
      </c>
      <c r="R152" s="41">
        <f t="shared" si="7"/>
        <v>0</v>
      </c>
      <c r="S152" s="41" t="str">
        <f t="shared" si="8"/>
        <v/>
      </c>
    </row>
    <row r="153" spans="1:19" x14ac:dyDescent="0.2">
      <c r="A153" s="4">
        <v>145</v>
      </c>
      <c r="B153" s="8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6"/>
        <v>0</v>
      </c>
      <c r="R153" s="41">
        <f t="shared" si="7"/>
        <v>0</v>
      </c>
      <c r="S153" s="41" t="str">
        <f t="shared" si="8"/>
        <v/>
      </c>
    </row>
    <row r="154" spans="1:19" x14ac:dyDescent="0.2">
      <c r="A154" s="4">
        <v>146</v>
      </c>
      <c r="B154" s="8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6"/>
        <v>0</v>
      </c>
      <c r="R154" s="41">
        <f t="shared" si="7"/>
        <v>0</v>
      </c>
      <c r="S154" s="41" t="str">
        <f t="shared" si="8"/>
        <v/>
      </c>
    </row>
    <row r="155" spans="1:19" x14ac:dyDescent="0.2">
      <c r="A155" s="4">
        <v>147</v>
      </c>
      <c r="B155" s="8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6"/>
        <v>0</v>
      </c>
      <c r="R155" s="41">
        <f t="shared" si="7"/>
        <v>0</v>
      </c>
      <c r="S155" s="41" t="str">
        <f t="shared" si="8"/>
        <v/>
      </c>
    </row>
    <row r="156" spans="1:19" x14ac:dyDescent="0.2">
      <c r="A156" s="4">
        <v>148</v>
      </c>
      <c r="B156" s="8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6"/>
        <v>0</v>
      </c>
      <c r="R156" s="41">
        <f t="shared" si="7"/>
        <v>0</v>
      </c>
      <c r="S156" s="41" t="str">
        <f t="shared" si="8"/>
        <v/>
      </c>
    </row>
    <row r="157" spans="1:19" x14ac:dyDescent="0.2">
      <c r="A157" s="4">
        <v>149</v>
      </c>
      <c r="B157" s="8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6"/>
        <v>0</v>
      </c>
      <c r="R157" s="41">
        <f t="shared" si="7"/>
        <v>0</v>
      </c>
      <c r="S157" s="41" t="str">
        <f t="shared" si="8"/>
        <v/>
      </c>
    </row>
    <row r="158" spans="1:19" x14ac:dyDescent="0.2">
      <c r="A158" s="4">
        <v>150</v>
      </c>
      <c r="B158" s="8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6"/>
        <v>0</v>
      </c>
      <c r="R158" s="41">
        <f t="shared" si="7"/>
        <v>0</v>
      </c>
      <c r="S158" s="41" t="str">
        <f t="shared" si="8"/>
        <v/>
      </c>
    </row>
    <row r="159" spans="1:19" x14ac:dyDescent="0.2">
      <c r="A159" s="4">
        <v>151</v>
      </c>
      <c r="B159" s="8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6"/>
        <v>0</v>
      </c>
      <c r="R159" s="41">
        <f t="shared" si="7"/>
        <v>0</v>
      </c>
      <c r="S159" s="41" t="str">
        <f t="shared" si="8"/>
        <v/>
      </c>
    </row>
    <row r="160" spans="1:19" x14ac:dyDescent="0.2">
      <c r="A160" s="4">
        <v>152</v>
      </c>
      <c r="B160" s="8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6"/>
        <v>0</v>
      </c>
      <c r="R160" s="41">
        <f t="shared" si="7"/>
        <v>0</v>
      </c>
      <c r="S160" s="41" t="str">
        <f t="shared" si="8"/>
        <v/>
      </c>
    </row>
    <row r="161" spans="1:19" x14ac:dyDescent="0.2">
      <c r="A161" s="4">
        <v>153</v>
      </c>
      <c r="B161" s="8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6"/>
        <v>0</v>
      </c>
      <c r="R161" s="41">
        <f t="shared" si="7"/>
        <v>0</v>
      </c>
      <c r="S161" s="41" t="str">
        <f t="shared" si="8"/>
        <v/>
      </c>
    </row>
    <row r="162" spans="1:19" x14ac:dyDescent="0.2">
      <c r="A162" s="4">
        <v>154</v>
      </c>
      <c r="B162" s="8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6"/>
        <v>0</v>
      </c>
      <c r="R162" s="41">
        <f t="shared" si="7"/>
        <v>0</v>
      </c>
      <c r="S162" s="41" t="str">
        <f t="shared" si="8"/>
        <v/>
      </c>
    </row>
    <row r="163" spans="1:19" x14ac:dyDescent="0.2">
      <c r="A163" s="4">
        <v>155</v>
      </c>
      <c r="B163" s="8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6"/>
        <v>0</v>
      </c>
      <c r="R163" s="41">
        <f t="shared" si="7"/>
        <v>0</v>
      </c>
      <c r="S163" s="41" t="str">
        <f t="shared" si="8"/>
        <v/>
      </c>
    </row>
    <row r="164" spans="1:19" x14ac:dyDescent="0.2">
      <c r="A164" s="4">
        <v>156</v>
      </c>
      <c r="B164" s="8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6"/>
        <v>0</v>
      </c>
      <c r="R164" s="41">
        <f t="shared" si="7"/>
        <v>0</v>
      </c>
      <c r="S164" s="41" t="str">
        <f t="shared" si="8"/>
        <v/>
      </c>
    </row>
    <row r="165" spans="1:19" x14ac:dyDescent="0.2">
      <c r="A165" s="4">
        <v>157</v>
      </c>
      <c r="B165" s="8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6"/>
        <v>0</v>
      </c>
      <c r="R165" s="41">
        <f t="shared" si="7"/>
        <v>0</v>
      </c>
      <c r="S165" s="41" t="str">
        <f t="shared" si="8"/>
        <v/>
      </c>
    </row>
    <row r="166" spans="1:19" x14ac:dyDescent="0.2">
      <c r="A166" s="4">
        <v>158</v>
      </c>
      <c r="B166" s="8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6"/>
        <v>0</v>
      </c>
      <c r="R166" s="41">
        <f t="shared" si="7"/>
        <v>0</v>
      </c>
      <c r="S166" s="41" t="str">
        <f t="shared" si="8"/>
        <v/>
      </c>
    </row>
    <row r="167" spans="1:19" x14ac:dyDescent="0.2">
      <c r="A167" s="4">
        <v>159</v>
      </c>
      <c r="B167" s="8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6"/>
        <v>0</v>
      </c>
      <c r="R167" s="41">
        <f t="shared" si="7"/>
        <v>0</v>
      </c>
      <c r="S167" s="41" t="str">
        <f t="shared" si="8"/>
        <v/>
      </c>
    </row>
    <row r="168" spans="1:19" x14ac:dyDescent="0.2">
      <c r="A168" s="4">
        <v>160</v>
      </c>
      <c r="B168" s="8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6"/>
        <v>0</v>
      </c>
      <c r="R168" s="41">
        <f t="shared" si="7"/>
        <v>0</v>
      </c>
      <c r="S168" s="41" t="str">
        <f t="shared" si="8"/>
        <v/>
      </c>
    </row>
    <row r="169" spans="1:19" x14ac:dyDescent="0.2">
      <c r="A169" s="4">
        <v>161</v>
      </c>
      <c r="B169" s="8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6"/>
        <v>0</v>
      </c>
      <c r="R169" s="41">
        <f t="shared" si="7"/>
        <v>0</v>
      </c>
      <c r="S169" s="41" t="str">
        <f t="shared" si="8"/>
        <v/>
      </c>
    </row>
    <row r="170" spans="1:19" x14ac:dyDescent="0.2">
      <c r="A170" s="4">
        <v>162</v>
      </c>
      <c r="B170" s="8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6"/>
        <v>0</v>
      </c>
      <c r="R170" s="41">
        <f t="shared" si="7"/>
        <v>0</v>
      </c>
      <c r="S170" s="41" t="str">
        <f t="shared" si="8"/>
        <v/>
      </c>
    </row>
    <row r="171" spans="1:19" x14ac:dyDescent="0.2">
      <c r="A171" s="4">
        <v>163</v>
      </c>
      <c r="B171" s="8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6"/>
        <v>0</v>
      </c>
      <c r="R171" s="41">
        <f t="shared" si="7"/>
        <v>0</v>
      </c>
      <c r="S171" s="41" t="str">
        <f t="shared" si="8"/>
        <v/>
      </c>
    </row>
    <row r="172" spans="1:19" x14ac:dyDescent="0.2">
      <c r="A172" s="4">
        <v>164</v>
      </c>
      <c r="B172" s="8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6"/>
        <v>0</v>
      </c>
      <c r="R172" s="41">
        <f t="shared" si="7"/>
        <v>0</v>
      </c>
      <c r="S172" s="41" t="str">
        <f t="shared" si="8"/>
        <v/>
      </c>
    </row>
    <row r="173" spans="1:19" x14ac:dyDescent="0.2">
      <c r="A173" s="4">
        <v>165</v>
      </c>
      <c r="B173" s="8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6"/>
        <v>0</v>
      </c>
      <c r="R173" s="41">
        <f t="shared" si="7"/>
        <v>0</v>
      </c>
      <c r="S173" s="41" t="str">
        <f t="shared" si="8"/>
        <v/>
      </c>
    </row>
    <row r="174" spans="1:19" x14ac:dyDescent="0.2">
      <c r="A174" s="4">
        <v>166</v>
      </c>
      <c r="B174" s="8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6"/>
        <v>0</v>
      </c>
      <c r="R174" s="41">
        <f t="shared" si="7"/>
        <v>0</v>
      </c>
      <c r="S174" s="41" t="str">
        <f t="shared" si="8"/>
        <v/>
      </c>
    </row>
    <row r="175" spans="1:19" x14ac:dyDescent="0.2">
      <c r="A175" s="4">
        <v>167</v>
      </c>
      <c r="B175" s="8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6"/>
        <v>0</v>
      </c>
      <c r="R175" s="41">
        <f t="shared" si="7"/>
        <v>0</v>
      </c>
      <c r="S175" s="41" t="str">
        <f t="shared" si="8"/>
        <v/>
      </c>
    </row>
    <row r="176" spans="1:19" x14ac:dyDescent="0.2">
      <c r="A176" s="4">
        <v>168</v>
      </c>
      <c r="B176" s="8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6"/>
        <v>0</v>
      </c>
      <c r="R176" s="41">
        <f t="shared" si="7"/>
        <v>0</v>
      </c>
      <c r="S176" s="41" t="str">
        <f t="shared" si="8"/>
        <v/>
      </c>
    </row>
    <row r="177" spans="1:19" x14ac:dyDescent="0.2">
      <c r="A177" s="4">
        <v>169</v>
      </c>
      <c r="B177" s="8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6"/>
        <v>0</v>
      </c>
      <c r="R177" s="41">
        <f t="shared" si="7"/>
        <v>0</v>
      </c>
      <c r="S177" s="41" t="str">
        <f t="shared" si="8"/>
        <v/>
      </c>
    </row>
    <row r="178" spans="1:19" x14ac:dyDescent="0.2">
      <c r="A178" s="4">
        <v>170</v>
      </c>
      <c r="B178" s="8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6"/>
        <v>0</v>
      </c>
      <c r="R178" s="41">
        <f t="shared" si="7"/>
        <v>0</v>
      </c>
      <c r="S178" s="41" t="str">
        <f t="shared" si="8"/>
        <v/>
      </c>
    </row>
    <row r="179" spans="1:19" x14ac:dyDescent="0.2">
      <c r="A179" s="4">
        <v>171</v>
      </c>
      <c r="B179" s="8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6"/>
        <v>0</v>
      </c>
      <c r="R179" s="41">
        <f t="shared" si="7"/>
        <v>0</v>
      </c>
      <c r="S179" s="41" t="str">
        <f t="shared" si="8"/>
        <v/>
      </c>
    </row>
    <row r="180" spans="1:19" x14ac:dyDescent="0.2">
      <c r="A180" s="4">
        <v>172</v>
      </c>
      <c r="B180" s="8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6"/>
        <v>0</v>
      </c>
      <c r="R180" s="41">
        <f t="shared" si="7"/>
        <v>0</v>
      </c>
      <c r="S180" s="41" t="str">
        <f t="shared" si="8"/>
        <v/>
      </c>
    </row>
    <row r="181" spans="1:19" x14ac:dyDescent="0.2">
      <c r="A181" s="4">
        <v>173</v>
      </c>
      <c r="B181" s="8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6"/>
        <v>0</v>
      </c>
      <c r="R181" s="41">
        <f t="shared" si="7"/>
        <v>0</v>
      </c>
      <c r="S181" s="41" t="str">
        <f t="shared" si="8"/>
        <v/>
      </c>
    </row>
    <row r="182" spans="1:19" x14ac:dyDescent="0.2">
      <c r="A182" s="4">
        <v>174</v>
      </c>
      <c r="B182" s="8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6"/>
        <v>0</v>
      </c>
      <c r="R182" s="41">
        <f t="shared" si="7"/>
        <v>0</v>
      </c>
      <c r="S182" s="41" t="str">
        <f t="shared" si="8"/>
        <v/>
      </c>
    </row>
    <row r="183" spans="1:19" x14ac:dyDescent="0.2">
      <c r="A183" s="4">
        <v>175</v>
      </c>
      <c r="B183" s="8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6"/>
        <v>0</v>
      </c>
      <c r="R183" s="41">
        <f t="shared" si="7"/>
        <v>0</v>
      </c>
      <c r="S183" s="41" t="str">
        <f t="shared" si="8"/>
        <v/>
      </c>
    </row>
    <row r="184" spans="1:19" x14ac:dyDescent="0.2">
      <c r="A184" s="4">
        <v>176</v>
      </c>
      <c r="B184" s="8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6"/>
        <v>0</v>
      </c>
      <c r="R184" s="41">
        <f t="shared" si="7"/>
        <v>0</v>
      </c>
      <c r="S184" s="41" t="str">
        <f t="shared" si="8"/>
        <v/>
      </c>
    </row>
    <row r="185" spans="1:19" x14ac:dyDescent="0.2">
      <c r="A185" s="4">
        <v>177</v>
      </c>
      <c r="B185" s="8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6"/>
        <v>0</v>
      </c>
      <c r="R185" s="41">
        <f t="shared" si="7"/>
        <v>0</v>
      </c>
      <c r="S185" s="41" t="str">
        <f t="shared" si="8"/>
        <v/>
      </c>
    </row>
    <row r="186" spans="1:19" x14ac:dyDescent="0.2">
      <c r="A186" s="4">
        <v>178</v>
      </c>
      <c r="B186" s="8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6"/>
        <v>0</v>
      </c>
      <c r="R186" s="41">
        <f t="shared" si="7"/>
        <v>0</v>
      </c>
      <c r="S186" s="41" t="str">
        <f t="shared" si="8"/>
        <v/>
      </c>
    </row>
    <row r="187" spans="1:19" x14ac:dyDescent="0.2">
      <c r="A187" s="4">
        <v>179</v>
      </c>
      <c r="B187" s="8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6"/>
        <v>0</v>
      </c>
      <c r="R187" s="41">
        <f t="shared" si="7"/>
        <v>0</v>
      </c>
      <c r="S187" s="41" t="str">
        <f t="shared" si="8"/>
        <v/>
      </c>
    </row>
    <row r="188" spans="1:19" x14ac:dyDescent="0.2">
      <c r="A188" s="4">
        <v>180</v>
      </c>
      <c r="B188" s="8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6"/>
        <v>0</v>
      </c>
      <c r="R188" s="41">
        <f t="shared" si="7"/>
        <v>0</v>
      </c>
      <c r="S188" s="41" t="str">
        <f t="shared" si="8"/>
        <v/>
      </c>
    </row>
    <row r="189" spans="1:19" x14ac:dyDescent="0.2">
      <c r="A189" s="4">
        <v>181</v>
      </c>
      <c r="B189" s="8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6"/>
        <v>0</v>
      </c>
      <c r="R189" s="41">
        <f t="shared" si="7"/>
        <v>0</v>
      </c>
      <c r="S189" s="41" t="str">
        <f t="shared" si="8"/>
        <v/>
      </c>
    </row>
    <row r="190" spans="1:19" x14ac:dyDescent="0.2">
      <c r="A190" s="4">
        <v>182</v>
      </c>
      <c r="B190" s="8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6"/>
        <v>0</v>
      </c>
      <c r="R190" s="41">
        <f t="shared" si="7"/>
        <v>0</v>
      </c>
      <c r="S190" s="41" t="str">
        <f t="shared" si="8"/>
        <v/>
      </c>
    </row>
    <row r="191" spans="1:19" x14ac:dyDescent="0.2">
      <c r="A191" s="4">
        <v>183</v>
      </c>
      <c r="B191" s="8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6"/>
        <v>0</v>
      </c>
      <c r="R191" s="41">
        <f t="shared" si="7"/>
        <v>0</v>
      </c>
      <c r="S191" s="41" t="str">
        <f t="shared" si="8"/>
        <v/>
      </c>
    </row>
    <row r="192" spans="1:19" x14ac:dyDescent="0.2">
      <c r="A192" s="4">
        <v>184</v>
      </c>
      <c r="B192" s="8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6"/>
        <v>0</v>
      </c>
      <c r="R192" s="41">
        <f t="shared" si="7"/>
        <v>0</v>
      </c>
      <c r="S192" s="41" t="str">
        <f t="shared" si="8"/>
        <v/>
      </c>
    </row>
    <row r="193" spans="1:19" x14ac:dyDescent="0.2">
      <c r="A193" s="4">
        <v>185</v>
      </c>
      <c r="B193" s="8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6"/>
        <v>0</v>
      </c>
      <c r="R193" s="41">
        <f t="shared" si="7"/>
        <v>0</v>
      </c>
      <c r="S193" s="41" t="str">
        <f t="shared" si="8"/>
        <v/>
      </c>
    </row>
    <row r="194" spans="1:19" x14ac:dyDescent="0.2">
      <c r="A194" s="4">
        <v>186</v>
      </c>
      <c r="B194" s="8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6"/>
        <v>0</v>
      </c>
      <c r="R194" s="41">
        <f t="shared" si="7"/>
        <v>0</v>
      </c>
      <c r="S194" s="41" t="str">
        <f t="shared" si="8"/>
        <v/>
      </c>
    </row>
    <row r="195" spans="1:19" x14ac:dyDescent="0.2">
      <c r="A195" s="4">
        <v>187</v>
      </c>
      <c r="B195" s="8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6"/>
        <v>0</v>
      </c>
      <c r="R195" s="41">
        <f t="shared" si="7"/>
        <v>0</v>
      </c>
      <c r="S195" s="41" t="str">
        <f t="shared" si="8"/>
        <v/>
      </c>
    </row>
    <row r="196" spans="1:19" x14ac:dyDescent="0.2">
      <c r="A196" s="4">
        <v>188</v>
      </c>
      <c r="B196" s="8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6"/>
        <v>0</v>
      </c>
      <c r="R196" s="41">
        <f t="shared" si="7"/>
        <v>0</v>
      </c>
      <c r="S196" s="41" t="str">
        <f t="shared" si="8"/>
        <v/>
      </c>
    </row>
    <row r="197" spans="1:19" x14ac:dyDescent="0.2">
      <c r="A197" s="4">
        <v>189</v>
      </c>
      <c r="B197" s="8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6"/>
        <v>0</v>
      </c>
      <c r="R197" s="41">
        <f t="shared" si="7"/>
        <v>0</v>
      </c>
      <c r="S197" s="41" t="str">
        <f t="shared" si="8"/>
        <v/>
      </c>
    </row>
    <row r="198" spans="1:19" x14ac:dyDescent="0.2">
      <c r="A198" s="4">
        <v>190</v>
      </c>
      <c r="B198" s="8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6"/>
        <v>0</v>
      </c>
      <c r="R198" s="41">
        <f t="shared" si="7"/>
        <v>0</v>
      </c>
      <c r="S198" s="41" t="str">
        <f t="shared" si="8"/>
        <v/>
      </c>
    </row>
    <row r="199" spans="1:19" x14ac:dyDescent="0.2">
      <c r="A199" s="4">
        <v>191</v>
      </c>
      <c r="B199" s="8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6"/>
        <v>0</v>
      </c>
      <c r="R199" s="41">
        <f t="shared" si="7"/>
        <v>0</v>
      </c>
      <c r="S199" s="41" t="str">
        <f t="shared" si="8"/>
        <v/>
      </c>
    </row>
    <row r="200" spans="1:19" x14ac:dyDescent="0.2">
      <c r="A200" s="4">
        <v>192</v>
      </c>
      <c r="B200" s="8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6"/>
        <v>0</v>
      </c>
      <c r="R200" s="41">
        <f t="shared" si="7"/>
        <v>0</v>
      </c>
      <c r="S200" s="41" t="str">
        <f t="shared" si="8"/>
        <v/>
      </c>
    </row>
    <row r="201" spans="1:19" x14ac:dyDescent="0.2">
      <c r="A201" s="4">
        <v>193</v>
      </c>
      <c r="B201" s="8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6"/>
        <v>0</v>
      </c>
      <c r="R201" s="41">
        <f t="shared" si="7"/>
        <v>0</v>
      </c>
      <c r="S201" s="41" t="str">
        <f t="shared" si="8"/>
        <v/>
      </c>
    </row>
    <row r="202" spans="1:19" x14ac:dyDescent="0.2">
      <c r="A202" s="4">
        <v>194</v>
      </c>
      <c r="B202" s="8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9">E202*F202</f>
        <v>0</v>
      </c>
      <c r="R202" s="41">
        <f t="shared" ref="R202:R208" si="10">Q202+(Q202*H202)</f>
        <v>0</v>
      </c>
      <c r="S202" s="41" t="str">
        <f t="shared" ref="S202:S208" si="11">IF(O202=$V$3,R202-(R202*G202),IF(O202=$V$4,-P202,""))</f>
        <v/>
      </c>
    </row>
    <row r="203" spans="1:19" x14ac:dyDescent="0.2">
      <c r="A203" s="4">
        <v>195</v>
      </c>
      <c r="B203" s="8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9"/>
        <v>0</v>
      </c>
      <c r="R203" s="41">
        <f t="shared" si="10"/>
        <v>0</v>
      </c>
      <c r="S203" s="41" t="str">
        <f t="shared" si="11"/>
        <v/>
      </c>
    </row>
    <row r="204" spans="1:19" x14ac:dyDescent="0.2">
      <c r="A204" s="4">
        <v>196</v>
      </c>
      <c r="B204" s="8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9"/>
        <v>0</v>
      </c>
      <c r="R204" s="41">
        <f t="shared" si="10"/>
        <v>0</v>
      </c>
      <c r="S204" s="41" t="str">
        <f t="shared" si="11"/>
        <v/>
      </c>
    </row>
    <row r="205" spans="1:19" x14ac:dyDescent="0.2">
      <c r="A205" s="4">
        <v>197</v>
      </c>
      <c r="B205" s="8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9"/>
        <v>0</v>
      </c>
      <c r="R205" s="41">
        <f t="shared" si="10"/>
        <v>0</v>
      </c>
      <c r="S205" s="41" t="str">
        <f t="shared" si="11"/>
        <v/>
      </c>
    </row>
    <row r="206" spans="1:19" x14ac:dyDescent="0.2">
      <c r="A206" s="4">
        <v>198</v>
      </c>
      <c r="B206" s="8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9"/>
        <v>0</v>
      </c>
      <c r="R206" s="41">
        <f t="shared" si="10"/>
        <v>0</v>
      </c>
      <c r="S206" s="41" t="str">
        <f t="shared" si="11"/>
        <v/>
      </c>
    </row>
    <row r="207" spans="1:19" x14ac:dyDescent="0.2">
      <c r="A207" s="4">
        <v>199</v>
      </c>
      <c r="B207" s="8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9"/>
        <v>0</v>
      </c>
      <c r="R207" s="41">
        <f t="shared" si="10"/>
        <v>0</v>
      </c>
      <c r="S207" s="41" t="str">
        <f t="shared" si="11"/>
        <v/>
      </c>
    </row>
    <row r="208" spans="1:19" x14ac:dyDescent="0.2">
      <c r="A208" s="4">
        <v>200</v>
      </c>
      <c r="B208" s="8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9"/>
        <v>0</v>
      </c>
      <c r="R208" s="41">
        <f t="shared" si="10"/>
        <v>0</v>
      </c>
      <c r="S208" s="41" t="str">
        <f t="shared" si="11"/>
        <v/>
      </c>
    </row>
  </sheetData>
  <autoFilter ref="A8:S208" xr:uid="{00000000-0009-0000-0000-000009000000}"/>
  <mergeCells count="2">
    <mergeCell ref="A1:C1"/>
    <mergeCell ref="E1:G1"/>
  </mergeCells>
  <conditionalFormatting sqref="S1:S8 S209:S1048576 T8">
    <cfRule type="cellIs" dxfId="84" priority="4" operator="equal">
      <formula>"ERROR"</formula>
    </cfRule>
  </conditionalFormatting>
  <conditionalFormatting sqref="D4">
    <cfRule type="cellIs" dxfId="83" priority="2" operator="greaterThan">
      <formula>0</formula>
    </cfRule>
    <cfRule type="cellIs" dxfId="82" priority="3" operator="lessThanOrEqual">
      <formula>0</formula>
    </cfRule>
  </conditionalFormatting>
  <conditionalFormatting sqref="S9:S208">
    <cfRule type="cellIs" dxfId="81" priority="1" operator="equal">
      <formula>"ERROR"</formula>
    </cfRule>
  </conditionalFormatting>
  <dataValidations count="1">
    <dataValidation type="list" allowBlank="1" showInputMessage="1" showErrorMessage="1" sqref="O9:O1048576" xr:uid="{FB078546-D1B0-EF43-B313-61FB5DE3A6B3}">
      <formula1>$V$3:$V$4</formula1>
    </dataValidation>
  </dataValidations>
  <hyperlinks>
    <hyperlink ref="E1:G1" location="'Master Sheet'!A1" display="GO BACK TO MASTER SHEET" xr:uid="{CB597298-40A4-2743-A036-F261DBE90E67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4A73B58D-D305-724E-96FA-C059BC8CA8DA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F65FCC2A-12EB-FB4D-8F8E-D440B38501DF}">
          <x14:formula1>
            <xm:f>'Master Sheet'!$AE$5:$AE$28</xm:f>
          </x14:formula1>
          <xm:sqref>D9:D18 D23:D24 D29:D31 D35:D1048576 D33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86D05-883A-A04F-AF8D-E06801055238}">
  <sheetPr codeName="Sheet34"/>
  <dimension ref="A1:W208"/>
  <sheetViews>
    <sheetView showGridLines="0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0.33203125" style="83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8" width="16" customWidth="1"/>
    <col min="19" max="19" width="26" style="42" customWidth="1"/>
    <col min="21" max="21" width="15" bestFit="1" customWidth="1"/>
  </cols>
  <sheetData>
    <row r="1" spans="1:23" ht="24" customHeight="1" x14ac:dyDescent="0.2">
      <c r="A1" s="86" t="str">
        <f ca="1">VLOOKUP(A2,'Master Sheet'!J5:K39,2)</f>
        <v>Scada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S1"/>
    </row>
    <row r="2" spans="1:23" ht="20" thickBot="1" x14ac:dyDescent="0.3">
      <c r="A2" s="48" t="str" cm="1">
        <f t="array" aca="1" ref="A2" ca="1">MID(CELL("filename",A1),FIND("]",CELL("filename",A1))+1,99)</f>
        <v>C005</v>
      </c>
      <c r="F2"/>
      <c r="G2"/>
      <c r="H2"/>
      <c r="I2"/>
      <c r="J2"/>
      <c r="K2"/>
      <c r="L2"/>
      <c r="M2"/>
      <c r="N2"/>
      <c r="P2"/>
      <c r="S2"/>
    </row>
    <row r="3" spans="1:23" ht="16" thickBot="1" x14ac:dyDescent="0.25">
      <c r="A3" s="3"/>
      <c r="F3"/>
      <c r="G3"/>
      <c r="H3"/>
      <c r="I3"/>
      <c r="J3"/>
      <c r="K3"/>
      <c r="L3"/>
      <c r="M3"/>
      <c r="N3"/>
      <c r="P3"/>
      <c r="S3"/>
      <c r="V3" s="43" t="s">
        <v>83</v>
      </c>
      <c r="W3" s="44"/>
    </row>
    <row r="4" spans="1:23" ht="16" thickBot="1" x14ac:dyDescent="0.25">
      <c r="A4" s="3"/>
      <c r="C4" s="20" t="s">
        <v>201</v>
      </c>
      <c r="D4" s="50">
        <f>SUM(S9:S1048576)</f>
        <v>3679830</v>
      </c>
      <c r="F4"/>
      <c r="G4"/>
      <c r="H4"/>
      <c r="I4"/>
      <c r="J4"/>
      <c r="K4"/>
      <c r="L4"/>
      <c r="M4"/>
      <c r="N4"/>
      <c r="P4"/>
      <c r="S4"/>
      <c r="V4" s="30" t="s">
        <v>198</v>
      </c>
      <c r="W4" s="45"/>
    </row>
    <row r="5" spans="1:23" x14ac:dyDescent="0.2">
      <c r="A5" s="3"/>
      <c r="F5"/>
      <c r="G5"/>
      <c r="H5"/>
      <c r="I5"/>
      <c r="J5"/>
      <c r="K5"/>
      <c r="L5"/>
      <c r="M5"/>
      <c r="N5"/>
      <c r="P5"/>
      <c r="S5"/>
    </row>
    <row r="6" spans="1:23" x14ac:dyDescent="0.2">
      <c r="A6" s="3"/>
      <c r="F6"/>
      <c r="G6"/>
      <c r="H6"/>
      <c r="I6"/>
      <c r="J6"/>
      <c r="K6"/>
      <c r="L6"/>
      <c r="M6"/>
      <c r="N6"/>
      <c r="P6"/>
      <c r="S6"/>
    </row>
    <row r="7" spans="1:23" x14ac:dyDescent="0.2">
      <c r="A7" s="3"/>
      <c r="F7"/>
      <c r="G7"/>
      <c r="H7"/>
      <c r="I7"/>
      <c r="J7"/>
      <c r="K7"/>
      <c r="L7"/>
      <c r="M7"/>
      <c r="N7"/>
      <c r="P7"/>
      <c r="S7"/>
    </row>
    <row r="8" spans="1:23" ht="36" customHeight="1" x14ac:dyDescent="0.2">
      <c r="A8" s="1" t="s">
        <v>70</v>
      </c>
      <c r="B8" s="84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226</v>
      </c>
      <c r="S8" s="1" t="s">
        <v>196</v>
      </c>
      <c r="T8" s="68" t="s">
        <v>224</v>
      </c>
    </row>
    <row r="9" spans="1:23" x14ac:dyDescent="0.2">
      <c r="A9" s="4">
        <v>1</v>
      </c>
      <c r="B9" s="85">
        <v>45965</v>
      </c>
      <c r="C9" s="6" t="s">
        <v>1</v>
      </c>
      <c r="D9" s="6" t="s">
        <v>105</v>
      </c>
      <c r="E9" s="7">
        <v>30</v>
      </c>
      <c r="F9" s="41">
        <v>15000</v>
      </c>
      <c r="G9" s="46">
        <v>0.01</v>
      </c>
      <c r="H9" s="39">
        <v>0.18</v>
      </c>
      <c r="I9" s="41"/>
      <c r="J9" s="41"/>
      <c r="K9" s="41"/>
      <c r="L9" s="41"/>
      <c r="M9" s="41"/>
      <c r="N9" s="41"/>
      <c r="O9" s="6" t="s">
        <v>83</v>
      </c>
      <c r="P9" s="41"/>
      <c r="Q9" s="41">
        <f>E9*F9</f>
        <v>450000</v>
      </c>
      <c r="R9" s="41">
        <f>Q9+(Q9*H9)</f>
        <v>531000</v>
      </c>
      <c r="S9" s="41">
        <f>IF(O9=$V$3,R9-(R9*G9),IF(O9=$V$4,-P9,""))</f>
        <v>525690</v>
      </c>
      <c r="T9">
        <v>140</v>
      </c>
    </row>
    <row r="10" spans="1:23" x14ac:dyDescent="0.2">
      <c r="A10" s="4">
        <v>2</v>
      </c>
      <c r="B10" s="85">
        <v>45966</v>
      </c>
      <c r="C10" s="6" t="s">
        <v>1</v>
      </c>
      <c r="D10" s="6" t="s">
        <v>105</v>
      </c>
      <c r="E10" s="7">
        <v>60</v>
      </c>
      <c r="F10" s="41">
        <v>15000</v>
      </c>
      <c r="G10" s="46">
        <v>0.01</v>
      </c>
      <c r="H10" s="39">
        <v>0.18</v>
      </c>
      <c r="I10" s="41"/>
      <c r="J10" s="41"/>
      <c r="K10" s="41"/>
      <c r="L10" s="41"/>
      <c r="M10" s="41"/>
      <c r="N10" s="41"/>
      <c r="O10" s="6" t="s">
        <v>83</v>
      </c>
      <c r="P10" s="41"/>
      <c r="Q10" s="41">
        <f t="shared" ref="Q10:Q73" si="0">E10*F10</f>
        <v>900000</v>
      </c>
      <c r="R10" s="41">
        <f t="shared" ref="R10:R73" si="1">Q10+(Q10*H10)</f>
        <v>1062000</v>
      </c>
      <c r="S10" s="41">
        <f t="shared" ref="S10:S73" si="2">IF(O10=$V$3,R10-(R10*G10),IF(O10=$V$4,-P10,""))</f>
        <v>1051380</v>
      </c>
      <c r="T10">
        <v>141</v>
      </c>
    </row>
    <row r="11" spans="1:23" x14ac:dyDescent="0.2">
      <c r="A11" s="4">
        <v>3</v>
      </c>
      <c r="B11" s="85">
        <v>45969</v>
      </c>
      <c r="C11" s="6" t="s">
        <v>1</v>
      </c>
      <c r="D11" s="6" t="s">
        <v>105</v>
      </c>
      <c r="E11" s="7">
        <v>30</v>
      </c>
      <c r="F11" s="41">
        <v>15000</v>
      </c>
      <c r="G11" s="46">
        <v>0.01</v>
      </c>
      <c r="H11" s="39">
        <v>0.18</v>
      </c>
      <c r="I11" s="41"/>
      <c r="J11" s="41"/>
      <c r="K11" s="41"/>
      <c r="L11" s="41"/>
      <c r="M11" s="41"/>
      <c r="N11" s="41"/>
      <c r="O11" s="6" t="s">
        <v>83</v>
      </c>
      <c r="P11" s="41"/>
      <c r="Q11" s="41">
        <f t="shared" si="0"/>
        <v>450000</v>
      </c>
      <c r="R11" s="41">
        <f t="shared" si="1"/>
        <v>531000</v>
      </c>
      <c r="S11" s="41">
        <f t="shared" si="2"/>
        <v>525690</v>
      </c>
      <c r="T11">
        <v>145</v>
      </c>
    </row>
    <row r="12" spans="1:23" x14ac:dyDescent="0.2">
      <c r="A12" s="4">
        <v>4</v>
      </c>
      <c r="B12" s="85">
        <v>45971</v>
      </c>
      <c r="C12" s="6" t="s">
        <v>1</v>
      </c>
      <c r="D12" s="6" t="s">
        <v>105</v>
      </c>
      <c r="E12" s="7">
        <v>30</v>
      </c>
      <c r="F12" s="41">
        <v>15000</v>
      </c>
      <c r="G12" s="46">
        <v>0.01</v>
      </c>
      <c r="H12" s="39">
        <v>0.18</v>
      </c>
      <c r="I12" s="41"/>
      <c r="J12" s="41"/>
      <c r="K12" s="41"/>
      <c r="L12" s="41"/>
      <c r="M12" s="41"/>
      <c r="N12" s="41"/>
      <c r="O12" s="6" t="s">
        <v>83</v>
      </c>
      <c r="P12" s="41"/>
      <c r="Q12" s="41">
        <f t="shared" si="0"/>
        <v>450000</v>
      </c>
      <c r="R12" s="41">
        <f t="shared" si="1"/>
        <v>531000</v>
      </c>
      <c r="S12" s="41">
        <f t="shared" si="2"/>
        <v>525690</v>
      </c>
      <c r="T12">
        <v>146</v>
      </c>
    </row>
    <row r="13" spans="1:23" x14ac:dyDescent="0.2">
      <c r="A13" s="4">
        <v>5</v>
      </c>
      <c r="B13" s="85">
        <v>46091</v>
      </c>
      <c r="C13" s="6"/>
      <c r="D13" s="6" t="s">
        <v>105</v>
      </c>
      <c r="E13" s="7">
        <v>30</v>
      </c>
      <c r="F13" s="41">
        <v>15000</v>
      </c>
      <c r="G13" s="46">
        <v>0.01</v>
      </c>
      <c r="H13" s="39">
        <v>0.18</v>
      </c>
      <c r="I13" s="41"/>
      <c r="J13" s="41"/>
      <c r="K13" s="41"/>
      <c r="L13" s="41"/>
      <c r="M13" s="41"/>
      <c r="N13" s="41"/>
      <c r="O13" s="6" t="s">
        <v>83</v>
      </c>
      <c r="P13" s="41"/>
      <c r="Q13" s="41">
        <f t="shared" si="0"/>
        <v>450000</v>
      </c>
      <c r="R13" s="41">
        <f t="shared" si="1"/>
        <v>531000</v>
      </c>
      <c r="S13" s="41">
        <f t="shared" si="2"/>
        <v>525690</v>
      </c>
      <c r="T13">
        <v>292</v>
      </c>
    </row>
    <row r="14" spans="1:23" x14ac:dyDescent="0.2">
      <c r="A14" s="4">
        <v>6</v>
      </c>
      <c r="B14" s="85">
        <v>46091</v>
      </c>
      <c r="C14" s="6"/>
      <c r="D14" s="6" t="s">
        <v>105</v>
      </c>
      <c r="E14" s="7">
        <v>30</v>
      </c>
      <c r="F14" s="41">
        <v>15000</v>
      </c>
      <c r="G14" s="46">
        <v>0.01</v>
      </c>
      <c r="H14" s="39">
        <v>0.18</v>
      </c>
      <c r="I14" s="41"/>
      <c r="J14" s="41"/>
      <c r="K14" s="41"/>
      <c r="L14" s="41"/>
      <c r="M14" s="41"/>
      <c r="N14" s="41"/>
      <c r="O14" s="6" t="s">
        <v>83</v>
      </c>
      <c r="P14" s="41"/>
      <c r="Q14" s="41">
        <f t="shared" si="0"/>
        <v>450000</v>
      </c>
      <c r="R14" s="41">
        <f t="shared" si="1"/>
        <v>531000</v>
      </c>
      <c r="S14" s="41">
        <f t="shared" si="2"/>
        <v>525690</v>
      </c>
      <c r="T14">
        <v>293</v>
      </c>
    </row>
    <row r="15" spans="1:23" x14ac:dyDescent="0.2">
      <c r="A15" s="4">
        <v>7</v>
      </c>
      <c r="B15" s="85">
        <v>46091</v>
      </c>
      <c r="C15" s="6"/>
      <c r="D15" s="6" t="s">
        <v>105</v>
      </c>
      <c r="E15" s="7">
        <v>30</v>
      </c>
      <c r="F15" s="41">
        <v>15000</v>
      </c>
      <c r="G15" s="46">
        <v>0.01</v>
      </c>
      <c r="H15" s="39">
        <v>0.18</v>
      </c>
      <c r="I15" s="41"/>
      <c r="J15" s="41"/>
      <c r="K15" s="41"/>
      <c r="L15" s="41"/>
      <c r="M15" s="41"/>
      <c r="N15" s="41"/>
      <c r="O15" s="6" t="s">
        <v>83</v>
      </c>
      <c r="P15" s="41"/>
      <c r="Q15" s="41">
        <f t="shared" si="0"/>
        <v>450000</v>
      </c>
      <c r="R15" s="41">
        <f t="shared" si="1"/>
        <v>531000</v>
      </c>
      <c r="S15" s="41">
        <f t="shared" si="2"/>
        <v>525690</v>
      </c>
      <c r="T15">
        <v>294</v>
      </c>
    </row>
    <row r="16" spans="1:23" x14ac:dyDescent="0.2">
      <c r="A16" s="4">
        <v>8</v>
      </c>
      <c r="B16" s="85">
        <v>46085</v>
      </c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 t="s">
        <v>198</v>
      </c>
      <c r="P16" s="41">
        <v>1577070</v>
      </c>
      <c r="Q16" s="41">
        <f t="shared" si="0"/>
        <v>0</v>
      </c>
      <c r="R16" s="41">
        <f t="shared" si="1"/>
        <v>0</v>
      </c>
      <c r="S16" s="41">
        <f t="shared" si="2"/>
        <v>-1577070</v>
      </c>
      <c r="U16" s="42"/>
    </row>
    <row r="17" spans="1:20" x14ac:dyDescent="0.2">
      <c r="A17" s="4">
        <v>9</v>
      </c>
      <c r="B17" s="85">
        <v>46091</v>
      </c>
      <c r="C17" s="6"/>
      <c r="D17" s="6" t="s">
        <v>105</v>
      </c>
      <c r="E17" s="7">
        <v>30</v>
      </c>
      <c r="F17" s="41">
        <v>15000</v>
      </c>
      <c r="G17" s="46">
        <v>0.01</v>
      </c>
      <c r="H17" s="39">
        <v>0.18</v>
      </c>
      <c r="I17" s="41"/>
      <c r="J17" s="41"/>
      <c r="K17" s="41"/>
      <c r="L17" s="41"/>
      <c r="M17" s="41"/>
      <c r="N17" s="41"/>
      <c r="O17" s="6" t="s">
        <v>83</v>
      </c>
      <c r="P17" s="41"/>
      <c r="Q17" s="41">
        <f t="shared" si="0"/>
        <v>450000</v>
      </c>
      <c r="R17" s="41">
        <f t="shared" si="1"/>
        <v>531000</v>
      </c>
      <c r="S17" s="41">
        <f t="shared" si="2"/>
        <v>525690</v>
      </c>
      <c r="T17">
        <v>296</v>
      </c>
    </row>
    <row r="18" spans="1:20" x14ac:dyDescent="0.2">
      <c r="A18" s="4">
        <v>10</v>
      </c>
      <c r="B18" s="85">
        <v>46112</v>
      </c>
      <c r="C18" s="6"/>
      <c r="D18" s="69" t="s">
        <v>105</v>
      </c>
      <c r="E18" s="7">
        <v>30</v>
      </c>
      <c r="F18" s="41">
        <v>15000</v>
      </c>
      <c r="G18" s="46">
        <v>0.01</v>
      </c>
      <c r="H18" s="39">
        <v>0.18</v>
      </c>
      <c r="I18" s="41"/>
      <c r="J18" s="41"/>
      <c r="K18" s="41"/>
      <c r="L18" s="41"/>
      <c r="M18" s="41"/>
      <c r="N18" s="41"/>
      <c r="O18" s="6" t="s">
        <v>83</v>
      </c>
      <c r="P18" s="41"/>
      <c r="Q18" s="41">
        <f t="shared" si="0"/>
        <v>450000</v>
      </c>
      <c r="R18" s="41">
        <f t="shared" si="1"/>
        <v>531000</v>
      </c>
      <c r="S18" s="41">
        <f t="shared" si="2"/>
        <v>525690</v>
      </c>
      <c r="T18">
        <v>321</v>
      </c>
    </row>
    <row r="19" spans="1:20" x14ac:dyDescent="0.2">
      <c r="A19" s="4">
        <v>11</v>
      </c>
      <c r="B19" s="8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>
        <f t="shared" si="1"/>
        <v>0</v>
      </c>
      <c r="S19" s="41" t="str">
        <f t="shared" si="2"/>
        <v/>
      </c>
    </row>
    <row r="20" spans="1:20" x14ac:dyDescent="0.2">
      <c r="A20" s="4">
        <v>12</v>
      </c>
      <c r="B20" s="8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>
        <f t="shared" si="1"/>
        <v>0</v>
      </c>
      <c r="S20" s="41" t="str">
        <f t="shared" si="2"/>
        <v/>
      </c>
    </row>
    <row r="21" spans="1:20" x14ac:dyDescent="0.2">
      <c r="A21" s="4">
        <v>13</v>
      </c>
      <c r="B21" s="8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>
        <f t="shared" si="1"/>
        <v>0</v>
      </c>
      <c r="S21" s="41" t="str">
        <f t="shared" si="2"/>
        <v/>
      </c>
    </row>
    <row r="22" spans="1:20" x14ac:dyDescent="0.2">
      <c r="A22" s="4">
        <v>14</v>
      </c>
      <c r="B22" s="8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>
        <f t="shared" si="1"/>
        <v>0</v>
      </c>
      <c r="S22" s="41" t="str">
        <f t="shared" si="2"/>
        <v/>
      </c>
    </row>
    <row r="23" spans="1:20" x14ac:dyDescent="0.2">
      <c r="A23" s="4">
        <v>15</v>
      </c>
      <c r="B23" s="8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>
        <f t="shared" si="1"/>
        <v>0</v>
      </c>
      <c r="S23" s="41" t="str">
        <f t="shared" si="2"/>
        <v/>
      </c>
    </row>
    <row r="24" spans="1:20" x14ac:dyDescent="0.2">
      <c r="A24" s="4">
        <v>16</v>
      </c>
      <c r="B24" s="8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>
        <f t="shared" si="1"/>
        <v>0</v>
      </c>
      <c r="S24" s="41" t="str">
        <f t="shared" si="2"/>
        <v/>
      </c>
    </row>
    <row r="25" spans="1:20" x14ac:dyDescent="0.2">
      <c r="A25" s="4">
        <v>17</v>
      </c>
      <c r="B25" s="8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>
        <f t="shared" si="1"/>
        <v>0</v>
      </c>
      <c r="S25" s="41" t="str">
        <f t="shared" si="2"/>
        <v/>
      </c>
    </row>
    <row r="26" spans="1:20" x14ac:dyDescent="0.2">
      <c r="A26" s="4">
        <v>18</v>
      </c>
      <c r="B26" s="8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>
        <f t="shared" si="1"/>
        <v>0</v>
      </c>
      <c r="S26" s="41" t="str">
        <f t="shared" si="2"/>
        <v/>
      </c>
    </row>
    <row r="27" spans="1:20" x14ac:dyDescent="0.2">
      <c r="A27" s="4">
        <v>19</v>
      </c>
      <c r="B27" s="8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>
        <f t="shared" si="1"/>
        <v>0</v>
      </c>
      <c r="S27" s="41" t="str">
        <f t="shared" si="2"/>
        <v/>
      </c>
    </row>
    <row r="28" spans="1:20" x14ac:dyDescent="0.2">
      <c r="A28" s="4">
        <v>20</v>
      </c>
      <c r="B28" s="8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>
        <f t="shared" si="1"/>
        <v>0</v>
      </c>
      <c r="S28" s="41" t="str">
        <f t="shared" si="2"/>
        <v/>
      </c>
    </row>
    <row r="29" spans="1:20" x14ac:dyDescent="0.2">
      <c r="A29" s="4">
        <v>21</v>
      </c>
      <c r="B29" s="8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>
        <f t="shared" si="1"/>
        <v>0</v>
      </c>
      <c r="S29" s="41" t="str">
        <f t="shared" si="2"/>
        <v/>
      </c>
    </row>
    <row r="30" spans="1:20" x14ac:dyDescent="0.2">
      <c r="A30" s="4">
        <v>22</v>
      </c>
      <c r="B30" s="8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>
        <f t="shared" si="1"/>
        <v>0</v>
      </c>
      <c r="S30" s="41" t="str">
        <f t="shared" si="2"/>
        <v/>
      </c>
    </row>
    <row r="31" spans="1:20" x14ac:dyDescent="0.2">
      <c r="A31" s="4">
        <v>23</v>
      </c>
      <c r="B31" s="8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>
        <f t="shared" si="1"/>
        <v>0</v>
      </c>
      <c r="S31" s="41" t="str">
        <f t="shared" si="2"/>
        <v/>
      </c>
    </row>
    <row r="32" spans="1:20" x14ac:dyDescent="0.2">
      <c r="A32" s="4">
        <v>24</v>
      </c>
      <c r="B32" s="8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>
        <f t="shared" si="1"/>
        <v>0</v>
      </c>
      <c r="S32" s="41" t="str">
        <f t="shared" si="2"/>
        <v/>
      </c>
    </row>
    <row r="33" spans="1:19" x14ac:dyDescent="0.2">
      <c r="A33" s="4">
        <v>25</v>
      </c>
      <c r="B33" s="8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>
        <f t="shared" si="1"/>
        <v>0</v>
      </c>
      <c r="S33" s="41" t="str">
        <f t="shared" si="2"/>
        <v/>
      </c>
    </row>
    <row r="34" spans="1:19" x14ac:dyDescent="0.2">
      <c r="A34" s="4">
        <v>26</v>
      </c>
      <c r="B34" s="8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>
        <f t="shared" si="1"/>
        <v>0</v>
      </c>
      <c r="S34" s="41" t="str">
        <f t="shared" si="2"/>
        <v/>
      </c>
    </row>
    <row r="35" spans="1:19" x14ac:dyDescent="0.2">
      <c r="A35" s="4">
        <v>27</v>
      </c>
      <c r="B35" s="8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>
        <f t="shared" si="1"/>
        <v>0</v>
      </c>
      <c r="S35" s="41" t="str">
        <f t="shared" si="2"/>
        <v/>
      </c>
    </row>
    <row r="36" spans="1:19" x14ac:dyDescent="0.2">
      <c r="A36" s="4">
        <v>28</v>
      </c>
      <c r="B36" s="8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>
        <f t="shared" si="1"/>
        <v>0</v>
      </c>
      <c r="S36" s="41" t="str">
        <f t="shared" si="2"/>
        <v/>
      </c>
    </row>
    <row r="37" spans="1:19" x14ac:dyDescent="0.2">
      <c r="A37" s="4">
        <v>29</v>
      </c>
      <c r="B37" s="8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>
        <f t="shared" si="1"/>
        <v>0</v>
      </c>
      <c r="S37" s="41" t="str">
        <f t="shared" si="2"/>
        <v/>
      </c>
    </row>
    <row r="38" spans="1:19" x14ac:dyDescent="0.2">
      <c r="A38" s="4">
        <v>30</v>
      </c>
      <c r="B38" s="8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>
        <f t="shared" si="1"/>
        <v>0</v>
      </c>
      <c r="S38" s="41" t="str">
        <f t="shared" si="2"/>
        <v/>
      </c>
    </row>
    <row r="39" spans="1:19" x14ac:dyDescent="0.2">
      <c r="A39" s="4">
        <v>31</v>
      </c>
      <c r="B39" s="8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>
        <f t="shared" si="1"/>
        <v>0</v>
      </c>
      <c r="S39" s="41" t="str">
        <f t="shared" si="2"/>
        <v/>
      </c>
    </row>
    <row r="40" spans="1:19" x14ac:dyDescent="0.2">
      <c r="A40" s="4">
        <v>32</v>
      </c>
      <c r="B40" s="8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>
        <f t="shared" si="1"/>
        <v>0</v>
      </c>
      <c r="S40" s="41" t="str">
        <f t="shared" si="2"/>
        <v/>
      </c>
    </row>
    <row r="41" spans="1:19" x14ac:dyDescent="0.2">
      <c r="A41" s="4">
        <v>33</v>
      </c>
      <c r="B41" s="8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>
        <f t="shared" si="1"/>
        <v>0</v>
      </c>
      <c r="S41" s="41" t="str">
        <f t="shared" si="2"/>
        <v/>
      </c>
    </row>
    <row r="42" spans="1:19" x14ac:dyDescent="0.2">
      <c r="A42" s="4">
        <v>34</v>
      </c>
      <c r="B42" s="8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>
        <f t="shared" si="1"/>
        <v>0</v>
      </c>
      <c r="S42" s="41" t="str">
        <f t="shared" si="2"/>
        <v/>
      </c>
    </row>
    <row r="43" spans="1:19" x14ac:dyDescent="0.2">
      <c r="A43" s="4">
        <v>35</v>
      </c>
      <c r="B43" s="8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>
        <f t="shared" si="1"/>
        <v>0</v>
      </c>
      <c r="S43" s="41" t="str">
        <f t="shared" si="2"/>
        <v/>
      </c>
    </row>
    <row r="44" spans="1:19" x14ac:dyDescent="0.2">
      <c r="A44" s="4">
        <v>36</v>
      </c>
      <c r="B44" s="8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>
        <f t="shared" si="1"/>
        <v>0</v>
      </c>
      <c r="S44" s="41" t="str">
        <f t="shared" si="2"/>
        <v/>
      </c>
    </row>
    <row r="45" spans="1:19" x14ac:dyDescent="0.2">
      <c r="A45" s="4">
        <v>37</v>
      </c>
      <c r="B45" s="8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>
        <f t="shared" si="1"/>
        <v>0</v>
      </c>
      <c r="S45" s="41" t="str">
        <f t="shared" si="2"/>
        <v/>
      </c>
    </row>
    <row r="46" spans="1:19" x14ac:dyDescent="0.2">
      <c r="A46" s="4">
        <v>38</v>
      </c>
      <c r="B46" s="8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>
        <f t="shared" si="1"/>
        <v>0</v>
      </c>
      <c r="S46" s="41" t="str">
        <f t="shared" si="2"/>
        <v/>
      </c>
    </row>
    <row r="47" spans="1:19" x14ac:dyDescent="0.2">
      <c r="A47" s="4">
        <v>39</v>
      </c>
      <c r="B47" s="8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>
        <f t="shared" si="1"/>
        <v>0</v>
      </c>
      <c r="S47" s="41" t="str">
        <f t="shared" si="2"/>
        <v/>
      </c>
    </row>
    <row r="48" spans="1:19" x14ac:dyDescent="0.2">
      <c r="A48" s="4">
        <v>40</v>
      </c>
      <c r="B48" s="8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>
        <f t="shared" si="1"/>
        <v>0</v>
      </c>
      <c r="S48" s="41" t="str">
        <f t="shared" si="2"/>
        <v/>
      </c>
    </row>
    <row r="49" spans="1:19" x14ac:dyDescent="0.2">
      <c r="A49" s="4">
        <v>41</v>
      </c>
      <c r="B49" s="8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>
        <f t="shared" si="1"/>
        <v>0</v>
      </c>
      <c r="S49" s="41" t="str">
        <f t="shared" si="2"/>
        <v/>
      </c>
    </row>
    <row r="50" spans="1:19" x14ac:dyDescent="0.2">
      <c r="A50" s="4">
        <v>42</v>
      </c>
      <c r="B50" s="8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>
        <f t="shared" si="1"/>
        <v>0</v>
      </c>
      <c r="S50" s="41" t="str">
        <f t="shared" si="2"/>
        <v/>
      </c>
    </row>
    <row r="51" spans="1:19" x14ac:dyDescent="0.2">
      <c r="A51" s="4">
        <v>43</v>
      </c>
      <c r="B51" s="8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>
        <f t="shared" si="1"/>
        <v>0</v>
      </c>
      <c r="S51" s="41" t="str">
        <f t="shared" si="2"/>
        <v/>
      </c>
    </row>
    <row r="52" spans="1:19" x14ac:dyDescent="0.2">
      <c r="A52" s="4">
        <v>44</v>
      </c>
      <c r="B52" s="8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>
        <f t="shared" si="1"/>
        <v>0</v>
      </c>
      <c r="S52" s="41" t="str">
        <f t="shared" si="2"/>
        <v/>
      </c>
    </row>
    <row r="53" spans="1:19" x14ac:dyDescent="0.2">
      <c r="A53" s="4">
        <v>45</v>
      </c>
      <c r="B53" s="8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>
        <f t="shared" si="1"/>
        <v>0</v>
      </c>
      <c r="S53" s="41" t="str">
        <f t="shared" si="2"/>
        <v/>
      </c>
    </row>
    <row r="54" spans="1:19" x14ac:dyDescent="0.2">
      <c r="A54" s="4">
        <v>46</v>
      </c>
      <c r="B54" s="8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>
        <f t="shared" si="1"/>
        <v>0</v>
      </c>
      <c r="S54" s="41" t="str">
        <f t="shared" si="2"/>
        <v/>
      </c>
    </row>
    <row r="55" spans="1:19" x14ac:dyDescent="0.2">
      <c r="A55" s="4">
        <v>47</v>
      </c>
      <c r="B55" s="8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>
        <f t="shared" si="1"/>
        <v>0</v>
      </c>
      <c r="S55" s="41" t="str">
        <f t="shared" si="2"/>
        <v/>
      </c>
    </row>
    <row r="56" spans="1:19" x14ac:dyDescent="0.2">
      <c r="A56" s="4">
        <v>48</v>
      </c>
      <c r="B56" s="8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>
        <f t="shared" si="1"/>
        <v>0</v>
      </c>
      <c r="S56" s="41" t="str">
        <f t="shared" si="2"/>
        <v/>
      </c>
    </row>
    <row r="57" spans="1:19" x14ac:dyDescent="0.2">
      <c r="A57" s="4">
        <v>49</v>
      </c>
      <c r="B57" s="8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>
        <f t="shared" si="1"/>
        <v>0</v>
      </c>
      <c r="S57" s="41" t="str">
        <f t="shared" si="2"/>
        <v/>
      </c>
    </row>
    <row r="58" spans="1:19" x14ac:dyDescent="0.2">
      <c r="A58" s="4">
        <v>50</v>
      </c>
      <c r="B58" s="8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>
        <f t="shared" si="1"/>
        <v>0</v>
      </c>
      <c r="S58" s="41" t="str">
        <f t="shared" si="2"/>
        <v/>
      </c>
    </row>
    <row r="59" spans="1:19" x14ac:dyDescent="0.2">
      <c r="A59" s="4">
        <v>51</v>
      </c>
      <c r="B59" s="8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>
        <f t="shared" si="1"/>
        <v>0</v>
      </c>
      <c r="S59" s="41" t="str">
        <f t="shared" si="2"/>
        <v/>
      </c>
    </row>
    <row r="60" spans="1:19" x14ac:dyDescent="0.2">
      <c r="A60" s="4">
        <v>52</v>
      </c>
      <c r="B60" s="8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>
        <f t="shared" si="1"/>
        <v>0</v>
      </c>
      <c r="S60" s="41" t="str">
        <f t="shared" si="2"/>
        <v/>
      </c>
    </row>
    <row r="61" spans="1:19" x14ac:dyDescent="0.2">
      <c r="A61" s="4">
        <v>53</v>
      </c>
      <c r="B61" s="8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>
        <f t="shared" si="1"/>
        <v>0</v>
      </c>
      <c r="S61" s="41" t="str">
        <f t="shared" si="2"/>
        <v/>
      </c>
    </row>
    <row r="62" spans="1:19" x14ac:dyDescent="0.2">
      <c r="A62" s="4">
        <v>54</v>
      </c>
      <c r="B62" s="8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>
        <f t="shared" si="1"/>
        <v>0</v>
      </c>
      <c r="S62" s="41" t="str">
        <f t="shared" si="2"/>
        <v/>
      </c>
    </row>
    <row r="63" spans="1:19" x14ac:dyDescent="0.2">
      <c r="A63" s="4">
        <v>55</v>
      </c>
      <c r="B63" s="8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>
        <f t="shared" si="1"/>
        <v>0</v>
      </c>
      <c r="S63" s="41" t="str">
        <f t="shared" si="2"/>
        <v/>
      </c>
    </row>
    <row r="64" spans="1:19" x14ac:dyDescent="0.2">
      <c r="A64" s="4">
        <v>56</v>
      </c>
      <c r="B64" s="8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>
        <f t="shared" si="1"/>
        <v>0</v>
      </c>
      <c r="S64" s="41" t="str">
        <f t="shared" si="2"/>
        <v/>
      </c>
    </row>
    <row r="65" spans="1:19" x14ac:dyDescent="0.2">
      <c r="A65" s="4">
        <v>57</v>
      </c>
      <c r="B65" s="8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>
        <f t="shared" si="1"/>
        <v>0</v>
      </c>
      <c r="S65" s="41" t="str">
        <f t="shared" si="2"/>
        <v/>
      </c>
    </row>
    <row r="66" spans="1:19" x14ac:dyDescent="0.2">
      <c r="A66" s="4">
        <v>58</v>
      </c>
      <c r="B66" s="8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>
        <f t="shared" si="1"/>
        <v>0</v>
      </c>
      <c r="S66" s="41" t="str">
        <f t="shared" si="2"/>
        <v/>
      </c>
    </row>
    <row r="67" spans="1:19" x14ac:dyDescent="0.2">
      <c r="A67" s="4">
        <v>59</v>
      </c>
      <c r="B67" s="8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>
        <f t="shared" si="1"/>
        <v>0</v>
      </c>
      <c r="S67" s="41" t="str">
        <f t="shared" si="2"/>
        <v/>
      </c>
    </row>
    <row r="68" spans="1:19" x14ac:dyDescent="0.2">
      <c r="A68" s="4">
        <v>60</v>
      </c>
      <c r="B68" s="8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>
        <f t="shared" si="1"/>
        <v>0</v>
      </c>
      <c r="S68" s="41" t="str">
        <f t="shared" si="2"/>
        <v/>
      </c>
    </row>
    <row r="69" spans="1:19" x14ac:dyDescent="0.2">
      <c r="A69" s="4">
        <v>61</v>
      </c>
      <c r="B69" s="8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>
        <f t="shared" si="1"/>
        <v>0</v>
      </c>
      <c r="S69" s="41" t="str">
        <f t="shared" si="2"/>
        <v/>
      </c>
    </row>
    <row r="70" spans="1:19" x14ac:dyDescent="0.2">
      <c r="A70" s="4">
        <v>62</v>
      </c>
      <c r="B70" s="8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>
        <f t="shared" si="1"/>
        <v>0</v>
      </c>
      <c r="S70" s="41" t="str">
        <f t="shared" si="2"/>
        <v/>
      </c>
    </row>
    <row r="71" spans="1:19" x14ac:dyDescent="0.2">
      <c r="A71" s="4">
        <v>63</v>
      </c>
      <c r="B71" s="8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>
        <f t="shared" si="1"/>
        <v>0</v>
      </c>
      <c r="S71" s="41" t="str">
        <f t="shared" si="2"/>
        <v/>
      </c>
    </row>
    <row r="72" spans="1:19" x14ac:dyDescent="0.2">
      <c r="A72" s="4">
        <v>64</v>
      </c>
      <c r="B72" s="8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>
        <f t="shared" si="1"/>
        <v>0</v>
      </c>
      <c r="S72" s="41" t="str">
        <f t="shared" si="2"/>
        <v/>
      </c>
    </row>
    <row r="73" spans="1:19" x14ac:dyDescent="0.2">
      <c r="A73" s="4">
        <v>65</v>
      </c>
      <c r="B73" s="8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>
        <f t="shared" si="1"/>
        <v>0</v>
      </c>
      <c r="S73" s="41" t="str">
        <f t="shared" si="2"/>
        <v/>
      </c>
    </row>
    <row r="74" spans="1:19" x14ac:dyDescent="0.2">
      <c r="A74" s="4">
        <v>66</v>
      </c>
      <c r="B74" s="8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3">E74*F74</f>
        <v>0</v>
      </c>
      <c r="R74" s="41">
        <f t="shared" ref="R74:R137" si="4">Q74+(Q74*H74)</f>
        <v>0</v>
      </c>
      <c r="S74" s="41" t="str">
        <f t="shared" ref="S74:S137" si="5">IF(O74=$V$3,R74-(R74*G74),IF(O74=$V$4,-P74,""))</f>
        <v/>
      </c>
    </row>
    <row r="75" spans="1:19" x14ac:dyDescent="0.2">
      <c r="A75" s="4">
        <v>67</v>
      </c>
      <c r="B75" s="8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3"/>
        <v>0</v>
      </c>
      <c r="R75" s="41">
        <f t="shared" si="4"/>
        <v>0</v>
      </c>
      <c r="S75" s="41" t="str">
        <f t="shared" si="5"/>
        <v/>
      </c>
    </row>
    <row r="76" spans="1:19" x14ac:dyDescent="0.2">
      <c r="A76" s="4">
        <v>68</v>
      </c>
      <c r="B76" s="8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3"/>
        <v>0</v>
      </c>
      <c r="R76" s="41">
        <f t="shared" si="4"/>
        <v>0</v>
      </c>
      <c r="S76" s="41" t="str">
        <f t="shared" si="5"/>
        <v/>
      </c>
    </row>
    <row r="77" spans="1:19" x14ac:dyDescent="0.2">
      <c r="A77" s="4">
        <v>69</v>
      </c>
      <c r="B77" s="8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3"/>
        <v>0</v>
      </c>
      <c r="R77" s="41">
        <f t="shared" si="4"/>
        <v>0</v>
      </c>
      <c r="S77" s="41" t="str">
        <f t="shared" si="5"/>
        <v/>
      </c>
    </row>
    <row r="78" spans="1:19" x14ac:dyDescent="0.2">
      <c r="A78" s="4">
        <v>70</v>
      </c>
      <c r="B78" s="8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3"/>
        <v>0</v>
      </c>
      <c r="R78" s="41">
        <f t="shared" si="4"/>
        <v>0</v>
      </c>
      <c r="S78" s="41" t="str">
        <f t="shared" si="5"/>
        <v/>
      </c>
    </row>
    <row r="79" spans="1:19" x14ac:dyDescent="0.2">
      <c r="A79" s="4">
        <v>71</v>
      </c>
      <c r="B79" s="8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3"/>
        <v>0</v>
      </c>
      <c r="R79" s="41">
        <f t="shared" si="4"/>
        <v>0</v>
      </c>
      <c r="S79" s="41" t="str">
        <f t="shared" si="5"/>
        <v/>
      </c>
    </row>
    <row r="80" spans="1:19" x14ac:dyDescent="0.2">
      <c r="A80" s="4">
        <v>72</v>
      </c>
      <c r="B80" s="8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3"/>
        <v>0</v>
      </c>
      <c r="R80" s="41">
        <f t="shared" si="4"/>
        <v>0</v>
      </c>
      <c r="S80" s="41" t="str">
        <f t="shared" si="5"/>
        <v/>
      </c>
    </row>
    <row r="81" spans="1:19" x14ac:dyDescent="0.2">
      <c r="A81" s="4">
        <v>73</v>
      </c>
      <c r="B81" s="8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3"/>
        <v>0</v>
      </c>
      <c r="R81" s="41">
        <f t="shared" si="4"/>
        <v>0</v>
      </c>
      <c r="S81" s="41" t="str">
        <f t="shared" si="5"/>
        <v/>
      </c>
    </row>
    <row r="82" spans="1:19" x14ac:dyDescent="0.2">
      <c r="A82" s="4">
        <v>74</v>
      </c>
      <c r="B82" s="8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3"/>
        <v>0</v>
      </c>
      <c r="R82" s="41">
        <f t="shared" si="4"/>
        <v>0</v>
      </c>
      <c r="S82" s="41" t="str">
        <f t="shared" si="5"/>
        <v/>
      </c>
    </row>
    <row r="83" spans="1:19" x14ac:dyDescent="0.2">
      <c r="A83" s="4">
        <v>75</v>
      </c>
      <c r="B83" s="8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3"/>
        <v>0</v>
      </c>
      <c r="R83" s="41">
        <f t="shared" si="4"/>
        <v>0</v>
      </c>
      <c r="S83" s="41" t="str">
        <f t="shared" si="5"/>
        <v/>
      </c>
    </row>
    <row r="84" spans="1:19" x14ac:dyDescent="0.2">
      <c r="A84" s="4">
        <v>76</v>
      </c>
      <c r="B84" s="8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3"/>
        <v>0</v>
      </c>
      <c r="R84" s="41">
        <f t="shared" si="4"/>
        <v>0</v>
      </c>
      <c r="S84" s="41" t="str">
        <f t="shared" si="5"/>
        <v/>
      </c>
    </row>
    <row r="85" spans="1:19" x14ac:dyDescent="0.2">
      <c r="A85" s="4">
        <v>77</v>
      </c>
      <c r="B85" s="8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3"/>
        <v>0</v>
      </c>
      <c r="R85" s="41">
        <f t="shared" si="4"/>
        <v>0</v>
      </c>
      <c r="S85" s="41" t="str">
        <f t="shared" si="5"/>
        <v/>
      </c>
    </row>
    <row r="86" spans="1:19" x14ac:dyDescent="0.2">
      <c r="A86" s="4">
        <v>78</v>
      </c>
      <c r="B86" s="8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3"/>
        <v>0</v>
      </c>
      <c r="R86" s="41">
        <f t="shared" si="4"/>
        <v>0</v>
      </c>
      <c r="S86" s="41" t="str">
        <f t="shared" si="5"/>
        <v/>
      </c>
    </row>
    <row r="87" spans="1:19" x14ac:dyDescent="0.2">
      <c r="A87" s="4">
        <v>79</v>
      </c>
      <c r="B87" s="8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3"/>
        <v>0</v>
      </c>
      <c r="R87" s="41">
        <f t="shared" si="4"/>
        <v>0</v>
      </c>
      <c r="S87" s="41" t="str">
        <f t="shared" si="5"/>
        <v/>
      </c>
    </row>
    <row r="88" spans="1:19" x14ac:dyDescent="0.2">
      <c r="A88" s="4">
        <v>80</v>
      </c>
      <c r="B88" s="8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3"/>
        <v>0</v>
      </c>
      <c r="R88" s="41">
        <f t="shared" si="4"/>
        <v>0</v>
      </c>
      <c r="S88" s="41" t="str">
        <f t="shared" si="5"/>
        <v/>
      </c>
    </row>
    <row r="89" spans="1:19" x14ac:dyDescent="0.2">
      <c r="A89" s="4">
        <v>81</v>
      </c>
      <c r="B89" s="8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3"/>
        <v>0</v>
      </c>
      <c r="R89" s="41">
        <f t="shared" si="4"/>
        <v>0</v>
      </c>
      <c r="S89" s="41" t="str">
        <f t="shared" si="5"/>
        <v/>
      </c>
    </row>
    <row r="90" spans="1:19" x14ac:dyDescent="0.2">
      <c r="A90" s="4">
        <v>82</v>
      </c>
      <c r="B90" s="8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3"/>
        <v>0</v>
      </c>
      <c r="R90" s="41">
        <f t="shared" si="4"/>
        <v>0</v>
      </c>
      <c r="S90" s="41" t="str">
        <f t="shared" si="5"/>
        <v/>
      </c>
    </row>
    <row r="91" spans="1:19" x14ac:dyDescent="0.2">
      <c r="A91" s="4">
        <v>83</v>
      </c>
      <c r="B91" s="8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3"/>
        <v>0</v>
      </c>
      <c r="R91" s="41">
        <f t="shared" si="4"/>
        <v>0</v>
      </c>
      <c r="S91" s="41" t="str">
        <f t="shared" si="5"/>
        <v/>
      </c>
    </row>
    <row r="92" spans="1:19" x14ac:dyDescent="0.2">
      <c r="A92" s="4">
        <v>84</v>
      </c>
      <c r="B92" s="8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3"/>
        <v>0</v>
      </c>
      <c r="R92" s="41">
        <f t="shared" si="4"/>
        <v>0</v>
      </c>
      <c r="S92" s="41" t="str">
        <f t="shared" si="5"/>
        <v/>
      </c>
    </row>
    <row r="93" spans="1:19" x14ac:dyDescent="0.2">
      <c r="A93" s="4">
        <v>85</v>
      </c>
      <c r="B93" s="8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3"/>
        <v>0</v>
      </c>
      <c r="R93" s="41">
        <f t="shared" si="4"/>
        <v>0</v>
      </c>
      <c r="S93" s="41" t="str">
        <f t="shared" si="5"/>
        <v/>
      </c>
    </row>
    <row r="94" spans="1:19" x14ac:dyDescent="0.2">
      <c r="A94" s="4">
        <v>86</v>
      </c>
      <c r="B94" s="8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3"/>
        <v>0</v>
      </c>
      <c r="R94" s="41">
        <f t="shared" si="4"/>
        <v>0</v>
      </c>
      <c r="S94" s="41" t="str">
        <f t="shared" si="5"/>
        <v/>
      </c>
    </row>
    <row r="95" spans="1:19" x14ac:dyDescent="0.2">
      <c r="A95" s="4">
        <v>87</v>
      </c>
      <c r="B95" s="8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3"/>
        <v>0</v>
      </c>
      <c r="R95" s="41">
        <f t="shared" si="4"/>
        <v>0</v>
      </c>
      <c r="S95" s="41" t="str">
        <f t="shared" si="5"/>
        <v/>
      </c>
    </row>
    <row r="96" spans="1:19" x14ac:dyDescent="0.2">
      <c r="A96" s="4">
        <v>88</v>
      </c>
      <c r="B96" s="8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3"/>
        <v>0</v>
      </c>
      <c r="R96" s="41">
        <f t="shared" si="4"/>
        <v>0</v>
      </c>
      <c r="S96" s="41" t="str">
        <f t="shared" si="5"/>
        <v/>
      </c>
    </row>
    <row r="97" spans="1:19" x14ac:dyDescent="0.2">
      <c r="A97" s="4">
        <v>89</v>
      </c>
      <c r="B97" s="8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3"/>
        <v>0</v>
      </c>
      <c r="R97" s="41">
        <f t="shared" si="4"/>
        <v>0</v>
      </c>
      <c r="S97" s="41" t="str">
        <f t="shared" si="5"/>
        <v/>
      </c>
    </row>
    <row r="98" spans="1:19" x14ac:dyDescent="0.2">
      <c r="A98" s="4">
        <v>90</v>
      </c>
      <c r="B98" s="8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3"/>
        <v>0</v>
      </c>
      <c r="R98" s="41">
        <f t="shared" si="4"/>
        <v>0</v>
      </c>
      <c r="S98" s="41" t="str">
        <f t="shared" si="5"/>
        <v/>
      </c>
    </row>
    <row r="99" spans="1:19" x14ac:dyDescent="0.2">
      <c r="A99" s="4">
        <v>91</v>
      </c>
      <c r="B99" s="8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3"/>
        <v>0</v>
      </c>
      <c r="R99" s="41">
        <f t="shared" si="4"/>
        <v>0</v>
      </c>
      <c r="S99" s="41" t="str">
        <f t="shared" si="5"/>
        <v/>
      </c>
    </row>
    <row r="100" spans="1:19" x14ac:dyDescent="0.2">
      <c r="A100" s="4">
        <v>92</v>
      </c>
      <c r="B100" s="8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3"/>
        <v>0</v>
      </c>
      <c r="R100" s="41">
        <f t="shared" si="4"/>
        <v>0</v>
      </c>
      <c r="S100" s="41" t="str">
        <f t="shared" si="5"/>
        <v/>
      </c>
    </row>
    <row r="101" spans="1:19" x14ac:dyDescent="0.2">
      <c r="A101" s="4">
        <v>93</v>
      </c>
      <c r="B101" s="8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3"/>
        <v>0</v>
      </c>
      <c r="R101" s="41">
        <f t="shared" si="4"/>
        <v>0</v>
      </c>
      <c r="S101" s="41" t="str">
        <f t="shared" si="5"/>
        <v/>
      </c>
    </row>
    <row r="102" spans="1:19" x14ac:dyDescent="0.2">
      <c r="A102" s="4">
        <v>94</v>
      </c>
      <c r="B102" s="8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3"/>
        <v>0</v>
      </c>
      <c r="R102" s="41">
        <f t="shared" si="4"/>
        <v>0</v>
      </c>
      <c r="S102" s="41" t="str">
        <f t="shared" si="5"/>
        <v/>
      </c>
    </row>
    <row r="103" spans="1:19" x14ac:dyDescent="0.2">
      <c r="A103" s="4">
        <v>95</v>
      </c>
      <c r="B103" s="8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3"/>
        <v>0</v>
      </c>
      <c r="R103" s="41">
        <f t="shared" si="4"/>
        <v>0</v>
      </c>
      <c r="S103" s="41" t="str">
        <f t="shared" si="5"/>
        <v/>
      </c>
    </row>
    <row r="104" spans="1:19" x14ac:dyDescent="0.2">
      <c r="A104" s="4">
        <v>96</v>
      </c>
      <c r="B104" s="8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3"/>
        <v>0</v>
      </c>
      <c r="R104" s="41">
        <f t="shared" si="4"/>
        <v>0</v>
      </c>
      <c r="S104" s="41" t="str">
        <f t="shared" si="5"/>
        <v/>
      </c>
    </row>
    <row r="105" spans="1:19" x14ac:dyDescent="0.2">
      <c r="A105" s="4">
        <v>97</v>
      </c>
      <c r="B105" s="8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3"/>
        <v>0</v>
      </c>
      <c r="R105" s="41">
        <f t="shared" si="4"/>
        <v>0</v>
      </c>
      <c r="S105" s="41" t="str">
        <f t="shared" si="5"/>
        <v/>
      </c>
    </row>
    <row r="106" spans="1:19" x14ac:dyDescent="0.2">
      <c r="A106" s="4">
        <v>98</v>
      </c>
      <c r="B106" s="8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3"/>
        <v>0</v>
      </c>
      <c r="R106" s="41">
        <f t="shared" si="4"/>
        <v>0</v>
      </c>
      <c r="S106" s="41" t="str">
        <f t="shared" si="5"/>
        <v/>
      </c>
    </row>
    <row r="107" spans="1:19" x14ac:dyDescent="0.2">
      <c r="A107" s="4">
        <v>99</v>
      </c>
      <c r="B107" s="8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3"/>
        <v>0</v>
      </c>
      <c r="R107" s="41">
        <f t="shared" si="4"/>
        <v>0</v>
      </c>
      <c r="S107" s="41" t="str">
        <f t="shared" si="5"/>
        <v/>
      </c>
    </row>
    <row r="108" spans="1:19" x14ac:dyDescent="0.2">
      <c r="A108" s="4">
        <v>100</v>
      </c>
      <c r="B108" s="8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3"/>
        <v>0</v>
      </c>
      <c r="R108" s="41">
        <f t="shared" si="4"/>
        <v>0</v>
      </c>
      <c r="S108" s="41" t="str">
        <f t="shared" si="5"/>
        <v/>
      </c>
    </row>
    <row r="109" spans="1:19" x14ac:dyDescent="0.2">
      <c r="A109" s="4">
        <v>101</v>
      </c>
      <c r="B109" s="8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3"/>
        <v>0</v>
      </c>
      <c r="R109" s="41">
        <f t="shared" si="4"/>
        <v>0</v>
      </c>
      <c r="S109" s="41" t="str">
        <f t="shared" si="5"/>
        <v/>
      </c>
    </row>
    <row r="110" spans="1:19" x14ac:dyDescent="0.2">
      <c r="A110" s="4">
        <v>102</v>
      </c>
      <c r="B110" s="8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3"/>
        <v>0</v>
      </c>
      <c r="R110" s="41">
        <f t="shared" si="4"/>
        <v>0</v>
      </c>
      <c r="S110" s="41" t="str">
        <f t="shared" si="5"/>
        <v/>
      </c>
    </row>
    <row r="111" spans="1:19" x14ac:dyDescent="0.2">
      <c r="A111" s="4">
        <v>103</v>
      </c>
      <c r="B111" s="8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3"/>
        <v>0</v>
      </c>
      <c r="R111" s="41">
        <f t="shared" si="4"/>
        <v>0</v>
      </c>
      <c r="S111" s="41" t="str">
        <f t="shared" si="5"/>
        <v/>
      </c>
    </row>
    <row r="112" spans="1:19" x14ac:dyDescent="0.2">
      <c r="A112" s="4">
        <v>104</v>
      </c>
      <c r="B112" s="8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3"/>
        <v>0</v>
      </c>
      <c r="R112" s="41">
        <f t="shared" si="4"/>
        <v>0</v>
      </c>
      <c r="S112" s="41" t="str">
        <f t="shared" si="5"/>
        <v/>
      </c>
    </row>
    <row r="113" spans="1:19" x14ac:dyDescent="0.2">
      <c r="A113" s="4">
        <v>105</v>
      </c>
      <c r="B113" s="8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3"/>
        <v>0</v>
      </c>
      <c r="R113" s="41">
        <f t="shared" si="4"/>
        <v>0</v>
      </c>
      <c r="S113" s="41" t="str">
        <f t="shared" si="5"/>
        <v/>
      </c>
    </row>
    <row r="114" spans="1:19" x14ac:dyDescent="0.2">
      <c r="A114" s="4">
        <v>106</v>
      </c>
      <c r="B114" s="8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3"/>
        <v>0</v>
      </c>
      <c r="R114" s="41">
        <f t="shared" si="4"/>
        <v>0</v>
      </c>
      <c r="S114" s="41" t="str">
        <f t="shared" si="5"/>
        <v/>
      </c>
    </row>
    <row r="115" spans="1:19" x14ac:dyDescent="0.2">
      <c r="A115" s="4">
        <v>107</v>
      </c>
      <c r="B115" s="8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3"/>
        <v>0</v>
      </c>
      <c r="R115" s="41">
        <f t="shared" si="4"/>
        <v>0</v>
      </c>
      <c r="S115" s="41" t="str">
        <f t="shared" si="5"/>
        <v/>
      </c>
    </row>
    <row r="116" spans="1:19" x14ac:dyDescent="0.2">
      <c r="A116" s="4">
        <v>108</v>
      </c>
      <c r="B116" s="8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3"/>
        <v>0</v>
      </c>
      <c r="R116" s="41">
        <f t="shared" si="4"/>
        <v>0</v>
      </c>
      <c r="S116" s="41" t="str">
        <f t="shared" si="5"/>
        <v/>
      </c>
    </row>
    <row r="117" spans="1:19" x14ac:dyDescent="0.2">
      <c r="A117" s="4">
        <v>109</v>
      </c>
      <c r="B117" s="8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3"/>
        <v>0</v>
      </c>
      <c r="R117" s="41">
        <f t="shared" si="4"/>
        <v>0</v>
      </c>
      <c r="S117" s="41" t="str">
        <f t="shared" si="5"/>
        <v/>
      </c>
    </row>
    <row r="118" spans="1:19" x14ac:dyDescent="0.2">
      <c r="A118" s="4">
        <v>110</v>
      </c>
      <c r="B118" s="8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3"/>
        <v>0</v>
      </c>
      <c r="R118" s="41">
        <f t="shared" si="4"/>
        <v>0</v>
      </c>
      <c r="S118" s="41" t="str">
        <f t="shared" si="5"/>
        <v/>
      </c>
    </row>
    <row r="119" spans="1:19" x14ac:dyDescent="0.2">
      <c r="A119" s="4">
        <v>111</v>
      </c>
      <c r="B119" s="8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3"/>
        <v>0</v>
      </c>
      <c r="R119" s="41">
        <f t="shared" si="4"/>
        <v>0</v>
      </c>
      <c r="S119" s="41" t="str">
        <f t="shared" si="5"/>
        <v/>
      </c>
    </row>
    <row r="120" spans="1:19" x14ac:dyDescent="0.2">
      <c r="A120" s="4">
        <v>112</v>
      </c>
      <c r="B120" s="8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3"/>
        <v>0</v>
      </c>
      <c r="R120" s="41">
        <f t="shared" si="4"/>
        <v>0</v>
      </c>
      <c r="S120" s="41" t="str">
        <f t="shared" si="5"/>
        <v/>
      </c>
    </row>
    <row r="121" spans="1:19" x14ac:dyDescent="0.2">
      <c r="A121" s="4">
        <v>113</v>
      </c>
      <c r="B121" s="8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3"/>
        <v>0</v>
      </c>
      <c r="R121" s="41">
        <f t="shared" si="4"/>
        <v>0</v>
      </c>
      <c r="S121" s="41" t="str">
        <f t="shared" si="5"/>
        <v/>
      </c>
    </row>
    <row r="122" spans="1:19" x14ac:dyDescent="0.2">
      <c r="A122" s="4">
        <v>114</v>
      </c>
      <c r="B122" s="8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3"/>
        <v>0</v>
      </c>
      <c r="R122" s="41">
        <f t="shared" si="4"/>
        <v>0</v>
      </c>
      <c r="S122" s="41" t="str">
        <f t="shared" si="5"/>
        <v/>
      </c>
    </row>
    <row r="123" spans="1:19" x14ac:dyDescent="0.2">
      <c r="A123" s="4">
        <v>115</v>
      </c>
      <c r="B123" s="8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3"/>
        <v>0</v>
      </c>
      <c r="R123" s="41">
        <f t="shared" si="4"/>
        <v>0</v>
      </c>
      <c r="S123" s="41" t="str">
        <f t="shared" si="5"/>
        <v/>
      </c>
    </row>
    <row r="124" spans="1:19" x14ac:dyDescent="0.2">
      <c r="A124" s="4">
        <v>116</v>
      </c>
      <c r="B124" s="8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3"/>
        <v>0</v>
      </c>
      <c r="R124" s="41">
        <f t="shared" si="4"/>
        <v>0</v>
      </c>
      <c r="S124" s="41" t="str">
        <f t="shared" si="5"/>
        <v/>
      </c>
    </row>
    <row r="125" spans="1:19" x14ac:dyDescent="0.2">
      <c r="A125" s="4">
        <v>117</v>
      </c>
      <c r="B125" s="8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3"/>
        <v>0</v>
      </c>
      <c r="R125" s="41">
        <f t="shared" si="4"/>
        <v>0</v>
      </c>
      <c r="S125" s="41" t="str">
        <f t="shared" si="5"/>
        <v/>
      </c>
    </row>
    <row r="126" spans="1:19" x14ac:dyDescent="0.2">
      <c r="A126" s="4">
        <v>118</v>
      </c>
      <c r="B126" s="8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3"/>
        <v>0</v>
      </c>
      <c r="R126" s="41">
        <f t="shared" si="4"/>
        <v>0</v>
      </c>
      <c r="S126" s="41" t="str">
        <f t="shared" si="5"/>
        <v/>
      </c>
    </row>
    <row r="127" spans="1:19" x14ac:dyDescent="0.2">
      <c r="A127" s="4">
        <v>119</v>
      </c>
      <c r="B127" s="8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3"/>
        <v>0</v>
      </c>
      <c r="R127" s="41">
        <f t="shared" si="4"/>
        <v>0</v>
      </c>
      <c r="S127" s="41" t="str">
        <f t="shared" si="5"/>
        <v/>
      </c>
    </row>
    <row r="128" spans="1:19" x14ac:dyDescent="0.2">
      <c r="A128" s="4">
        <v>120</v>
      </c>
      <c r="B128" s="8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3"/>
        <v>0</v>
      </c>
      <c r="R128" s="41">
        <f t="shared" si="4"/>
        <v>0</v>
      </c>
      <c r="S128" s="41" t="str">
        <f t="shared" si="5"/>
        <v/>
      </c>
    </row>
    <row r="129" spans="1:19" x14ac:dyDescent="0.2">
      <c r="A129" s="4">
        <v>121</v>
      </c>
      <c r="B129" s="8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3"/>
        <v>0</v>
      </c>
      <c r="R129" s="41">
        <f t="shared" si="4"/>
        <v>0</v>
      </c>
      <c r="S129" s="41" t="str">
        <f t="shared" si="5"/>
        <v/>
      </c>
    </row>
    <row r="130" spans="1:19" x14ac:dyDescent="0.2">
      <c r="A130" s="4">
        <v>122</v>
      </c>
      <c r="B130" s="8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3"/>
        <v>0</v>
      </c>
      <c r="R130" s="41">
        <f t="shared" si="4"/>
        <v>0</v>
      </c>
      <c r="S130" s="41" t="str">
        <f t="shared" si="5"/>
        <v/>
      </c>
    </row>
    <row r="131" spans="1:19" x14ac:dyDescent="0.2">
      <c r="A131" s="4">
        <v>123</v>
      </c>
      <c r="B131" s="8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3"/>
        <v>0</v>
      </c>
      <c r="R131" s="41">
        <f t="shared" si="4"/>
        <v>0</v>
      </c>
      <c r="S131" s="41" t="str">
        <f t="shared" si="5"/>
        <v/>
      </c>
    </row>
    <row r="132" spans="1:19" x14ac:dyDescent="0.2">
      <c r="A132" s="4">
        <v>124</v>
      </c>
      <c r="B132" s="8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3"/>
        <v>0</v>
      </c>
      <c r="R132" s="41">
        <f t="shared" si="4"/>
        <v>0</v>
      </c>
      <c r="S132" s="41" t="str">
        <f t="shared" si="5"/>
        <v/>
      </c>
    </row>
    <row r="133" spans="1:19" x14ac:dyDescent="0.2">
      <c r="A133" s="4">
        <v>125</v>
      </c>
      <c r="B133" s="8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3"/>
        <v>0</v>
      </c>
      <c r="R133" s="41">
        <f t="shared" si="4"/>
        <v>0</v>
      </c>
      <c r="S133" s="41" t="str">
        <f t="shared" si="5"/>
        <v/>
      </c>
    </row>
    <row r="134" spans="1:19" x14ac:dyDescent="0.2">
      <c r="A134" s="4">
        <v>126</v>
      </c>
      <c r="B134" s="8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3"/>
        <v>0</v>
      </c>
      <c r="R134" s="41">
        <f t="shared" si="4"/>
        <v>0</v>
      </c>
      <c r="S134" s="41" t="str">
        <f t="shared" si="5"/>
        <v/>
      </c>
    </row>
    <row r="135" spans="1:19" x14ac:dyDescent="0.2">
      <c r="A135" s="4">
        <v>127</v>
      </c>
      <c r="B135" s="8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3"/>
        <v>0</v>
      </c>
      <c r="R135" s="41">
        <f t="shared" si="4"/>
        <v>0</v>
      </c>
      <c r="S135" s="41" t="str">
        <f t="shared" si="5"/>
        <v/>
      </c>
    </row>
    <row r="136" spans="1:19" x14ac:dyDescent="0.2">
      <c r="A136" s="4">
        <v>128</v>
      </c>
      <c r="B136" s="8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3"/>
        <v>0</v>
      </c>
      <c r="R136" s="41">
        <f t="shared" si="4"/>
        <v>0</v>
      </c>
      <c r="S136" s="41" t="str">
        <f t="shared" si="5"/>
        <v/>
      </c>
    </row>
    <row r="137" spans="1:19" x14ac:dyDescent="0.2">
      <c r="A137" s="4">
        <v>129</v>
      </c>
      <c r="B137" s="8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3"/>
        <v>0</v>
      </c>
      <c r="R137" s="41">
        <f t="shared" si="4"/>
        <v>0</v>
      </c>
      <c r="S137" s="41" t="str">
        <f t="shared" si="5"/>
        <v/>
      </c>
    </row>
    <row r="138" spans="1:19" x14ac:dyDescent="0.2">
      <c r="A138" s="4">
        <v>130</v>
      </c>
      <c r="B138" s="8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6">E138*F138</f>
        <v>0</v>
      </c>
      <c r="R138" s="41">
        <f t="shared" ref="R138:R201" si="7">Q138+(Q138*H138)</f>
        <v>0</v>
      </c>
      <c r="S138" s="41" t="str">
        <f t="shared" ref="S138:S201" si="8">IF(O138=$V$3,R138-(R138*G138),IF(O138=$V$4,-P138,""))</f>
        <v/>
      </c>
    </row>
    <row r="139" spans="1:19" x14ac:dyDescent="0.2">
      <c r="A139" s="4">
        <v>131</v>
      </c>
      <c r="B139" s="8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6"/>
        <v>0</v>
      </c>
      <c r="R139" s="41">
        <f t="shared" si="7"/>
        <v>0</v>
      </c>
      <c r="S139" s="41" t="str">
        <f t="shared" si="8"/>
        <v/>
      </c>
    </row>
    <row r="140" spans="1:19" x14ac:dyDescent="0.2">
      <c r="A140" s="4">
        <v>132</v>
      </c>
      <c r="B140" s="8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6"/>
        <v>0</v>
      </c>
      <c r="R140" s="41">
        <f t="shared" si="7"/>
        <v>0</v>
      </c>
      <c r="S140" s="41" t="str">
        <f t="shared" si="8"/>
        <v/>
      </c>
    </row>
    <row r="141" spans="1:19" x14ac:dyDescent="0.2">
      <c r="A141" s="4">
        <v>133</v>
      </c>
      <c r="B141" s="8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6"/>
        <v>0</v>
      </c>
      <c r="R141" s="41">
        <f t="shared" si="7"/>
        <v>0</v>
      </c>
      <c r="S141" s="41" t="str">
        <f t="shared" si="8"/>
        <v/>
      </c>
    </row>
    <row r="142" spans="1:19" x14ac:dyDescent="0.2">
      <c r="A142" s="4">
        <v>134</v>
      </c>
      <c r="B142" s="8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6"/>
        <v>0</v>
      </c>
      <c r="R142" s="41">
        <f t="shared" si="7"/>
        <v>0</v>
      </c>
      <c r="S142" s="41" t="str">
        <f t="shared" si="8"/>
        <v/>
      </c>
    </row>
    <row r="143" spans="1:19" x14ac:dyDescent="0.2">
      <c r="A143" s="4">
        <v>135</v>
      </c>
      <c r="B143" s="8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6"/>
        <v>0</v>
      </c>
      <c r="R143" s="41">
        <f t="shared" si="7"/>
        <v>0</v>
      </c>
      <c r="S143" s="41" t="str">
        <f t="shared" si="8"/>
        <v/>
      </c>
    </row>
    <row r="144" spans="1:19" x14ac:dyDescent="0.2">
      <c r="A144" s="4">
        <v>136</v>
      </c>
      <c r="B144" s="8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6"/>
        <v>0</v>
      </c>
      <c r="R144" s="41">
        <f t="shared" si="7"/>
        <v>0</v>
      </c>
      <c r="S144" s="41" t="str">
        <f t="shared" si="8"/>
        <v/>
      </c>
    </row>
    <row r="145" spans="1:19" x14ac:dyDescent="0.2">
      <c r="A145" s="4">
        <v>137</v>
      </c>
      <c r="B145" s="8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6"/>
        <v>0</v>
      </c>
      <c r="R145" s="41">
        <f t="shared" si="7"/>
        <v>0</v>
      </c>
      <c r="S145" s="41" t="str">
        <f t="shared" si="8"/>
        <v/>
      </c>
    </row>
    <row r="146" spans="1:19" x14ac:dyDescent="0.2">
      <c r="A146" s="4">
        <v>138</v>
      </c>
      <c r="B146" s="8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6"/>
        <v>0</v>
      </c>
      <c r="R146" s="41">
        <f t="shared" si="7"/>
        <v>0</v>
      </c>
      <c r="S146" s="41" t="str">
        <f t="shared" si="8"/>
        <v/>
      </c>
    </row>
    <row r="147" spans="1:19" x14ac:dyDescent="0.2">
      <c r="A147" s="4">
        <v>139</v>
      </c>
      <c r="B147" s="8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6"/>
        <v>0</v>
      </c>
      <c r="R147" s="41">
        <f t="shared" si="7"/>
        <v>0</v>
      </c>
      <c r="S147" s="41" t="str">
        <f t="shared" si="8"/>
        <v/>
      </c>
    </row>
    <row r="148" spans="1:19" x14ac:dyDescent="0.2">
      <c r="A148" s="4">
        <v>140</v>
      </c>
      <c r="B148" s="8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6"/>
        <v>0</v>
      </c>
      <c r="R148" s="41">
        <f t="shared" si="7"/>
        <v>0</v>
      </c>
      <c r="S148" s="41" t="str">
        <f t="shared" si="8"/>
        <v/>
      </c>
    </row>
    <row r="149" spans="1:19" x14ac:dyDescent="0.2">
      <c r="A149" s="4">
        <v>141</v>
      </c>
      <c r="B149" s="8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6"/>
        <v>0</v>
      </c>
      <c r="R149" s="41">
        <f t="shared" si="7"/>
        <v>0</v>
      </c>
      <c r="S149" s="41" t="str">
        <f t="shared" si="8"/>
        <v/>
      </c>
    </row>
    <row r="150" spans="1:19" x14ac:dyDescent="0.2">
      <c r="A150" s="4">
        <v>142</v>
      </c>
      <c r="B150" s="8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6"/>
        <v>0</v>
      </c>
      <c r="R150" s="41">
        <f t="shared" si="7"/>
        <v>0</v>
      </c>
      <c r="S150" s="41" t="str">
        <f t="shared" si="8"/>
        <v/>
      </c>
    </row>
    <row r="151" spans="1:19" x14ac:dyDescent="0.2">
      <c r="A151" s="4">
        <v>143</v>
      </c>
      <c r="B151" s="8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6"/>
        <v>0</v>
      </c>
      <c r="R151" s="41">
        <f t="shared" si="7"/>
        <v>0</v>
      </c>
      <c r="S151" s="41" t="str">
        <f t="shared" si="8"/>
        <v/>
      </c>
    </row>
    <row r="152" spans="1:19" x14ac:dyDescent="0.2">
      <c r="A152" s="4">
        <v>144</v>
      </c>
      <c r="B152" s="8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6"/>
        <v>0</v>
      </c>
      <c r="R152" s="41">
        <f t="shared" si="7"/>
        <v>0</v>
      </c>
      <c r="S152" s="41" t="str">
        <f t="shared" si="8"/>
        <v/>
      </c>
    </row>
    <row r="153" spans="1:19" x14ac:dyDescent="0.2">
      <c r="A153" s="4">
        <v>145</v>
      </c>
      <c r="B153" s="8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6"/>
        <v>0</v>
      </c>
      <c r="R153" s="41">
        <f t="shared" si="7"/>
        <v>0</v>
      </c>
      <c r="S153" s="41" t="str">
        <f t="shared" si="8"/>
        <v/>
      </c>
    </row>
    <row r="154" spans="1:19" x14ac:dyDescent="0.2">
      <c r="A154" s="4">
        <v>146</v>
      </c>
      <c r="B154" s="8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6"/>
        <v>0</v>
      </c>
      <c r="R154" s="41">
        <f t="shared" si="7"/>
        <v>0</v>
      </c>
      <c r="S154" s="41" t="str">
        <f t="shared" si="8"/>
        <v/>
      </c>
    </row>
    <row r="155" spans="1:19" x14ac:dyDescent="0.2">
      <c r="A155" s="4">
        <v>147</v>
      </c>
      <c r="B155" s="8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6"/>
        <v>0</v>
      </c>
      <c r="R155" s="41">
        <f t="shared" si="7"/>
        <v>0</v>
      </c>
      <c r="S155" s="41" t="str">
        <f t="shared" si="8"/>
        <v/>
      </c>
    </row>
    <row r="156" spans="1:19" x14ac:dyDescent="0.2">
      <c r="A156" s="4">
        <v>148</v>
      </c>
      <c r="B156" s="8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6"/>
        <v>0</v>
      </c>
      <c r="R156" s="41">
        <f t="shared" si="7"/>
        <v>0</v>
      </c>
      <c r="S156" s="41" t="str">
        <f t="shared" si="8"/>
        <v/>
      </c>
    </row>
    <row r="157" spans="1:19" x14ac:dyDescent="0.2">
      <c r="A157" s="4">
        <v>149</v>
      </c>
      <c r="B157" s="8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6"/>
        <v>0</v>
      </c>
      <c r="R157" s="41">
        <f t="shared" si="7"/>
        <v>0</v>
      </c>
      <c r="S157" s="41" t="str">
        <f t="shared" si="8"/>
        <v/>
      </c>
    </row>
    <row r="158" spans="1:19" x14ac:dyDescent="0.2">
      <c r="A158" s="4">
        <v>150</v>
      </c>
      <c r="B158" s="8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6"/>
        <v>0</v>
      </c>
      <c r="R158" s="41">
        <f t="shared" si="7"/>
        <v>0</v>
      </c>
      <c r="S158" s="41" t="str">
        <f t="shared" si="8"/>
        <v/>
      </c>
    </row>
    <row r="159" spans="1:19" x14ac:dyDescent="0.2">
      <c r="A159" s="4">
        <v>151</v>
      </c>
      <c r="B159" s="8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6"/>
        <v>0</v>
      </c>
      <c r="R159" s="41">
        <f t="shared" si="7"/>
        <v>0</v>
      </c>
      <c r="S159" s="41" t="str">
        <f t="shared" si="8"/>
        <v/>
      </c>
    </row>
    <row r="160" spans="1:19" x14ac:dyDescent="0.2">
      <c r="A160" s="4">
        <v>152</v>
      </c>
      <c r="B160" s="8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6"/>
        <v>0</v>
      </c>
      <c r="R160" s="41">
        <f t="shared" si="7"/>
        <v>0</v>
      </c>
      <c r="S160" s="41" t="str">
        <f t="shared" si="8"/>
        <v/>
      </c>
    </row>
    <row r="161" spans="1:19" x14ac:dyDescent="0.2">
      <c r="A161" s="4">
        <v>153</v>
      </c>
      <c r="B161" s="8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6"/>
        <v>0</v>
      </c>
      <c r="R161" s="41">
        <f t="shared" si="7"/>
        <v>0</v>
      </c>
      <c r="S161" s="41" t="str">
        <f t="shared" si="8"/>
        <v/>
      </c>
    </row>
    <row r="162" spans="1:19" x14ac:dyDescent="0.2">
      <c r="A162" s="4">
        <v>154</v>
      </c>
      <c r="B162" s="8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6"/>
        <v>0</v>
      </c>
      <c r="R162" s="41">
        <f t="shared" si="7"/>
        <v>0</v>
      </c>
      <c r="S162" s="41" t="str">
        <f t="shared" si="8"/>
        <v/>
      </c>
    </row>
    <row r="163" spans="1:19" x14ac:dyDescent="0.2">
      <c r="A163" s="4">
        <v>155</v>
      </c>
      <c r="B163" s="8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6"/>
        <v>0</v>
      </c>
      <c r="R163" s="41">
        <f t="shared" si="7"/>
        <v>0</v>
      </c>
      <c r="S163" s="41" t="str">
        <f t="shared" si="8"/>
        <v/>
      </c>
    </row>
    <row r="164" spans="1:19" x14ac:dyDescent="0.2">
      <c r="A164" s="4">
        <v>156</v>
      </c>
      <c r="B164" s="8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6"/>
        <v>0</v>
      </c>
      <c r="R164" s="41">
        <f t="shared" si="7"/>
        <v>0</v>
      </c>
      <c r="S164" s="41" t="str">
        <f t="shared" si="8"/>
        <v/>
      </c>
    </row>
    <row r="165" spans="1:19" x14ac:dyDescent="0.2">
      <c r="A165" s="4">
        <v>157</v>
      </c>
      <c r="B165" s="8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6"/>
        <v>0</v>
      </c>
      <c r="R165" s="41">
        <f t="shared" si="7"/>
        <v>0</v>
      </c>
      <c r="S165" s="41" t="str">
        <f t="shared" si="8"/>
        <v/>
      </c>
    </row>
    <row r="166" spans="1:19" x14ac:dyDescent="0.2">
      <c r="A166" s="4">
        <v>158</v>
      </c>
      <c r="B166" s="8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6"/>
        <v>0</v>
      </c>
      <c r="R166" s="41">
        <f t="shared" si="7"/>
        <v>0</v>
      </c>
      <c r="S166" s="41" t="str">
        <f t="shared" si="8"/>
        <v/>
      </c>
    </row>
    <row r="167" spans="1:19" x14ac:dyDescent="0.2">
      <c r="A167" s="4">
        <v>159</v>
      </c>
      <c r="B167" s="8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6"/>
        <v>0</v>
      </c>
      <c r="R167" s="41">
        <f t="shared" si="7"/>
        <v>0</v>
      </c>
      <c r="S167" s="41" t="str">
        <f t="shared" si="8"/>
        <v/>
      </c>
    </row>
    <row r="168" spans="1:19" x14ac:dyDescent="0.2">
      <c r="A168" s="4">
        <v>160</v>
      </c>
      <c r="B168" s="8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6"/>
        <v>0</v>
      </c>
      <c r="R168" s="41">
        <f t="shared" si="7"/>
        <v>0</v>
      </c>
      <c r="S168" s="41" t="str">
        <f t="shared" si="8"/>
        <v/>
      </c>
    </row>
    <row r="169" spans="1:19" x14ac:dyDescent="0.2">
      <c r="A169" s="4">
        <v>161</v>
      </c>
      <c r="B169" s="8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6"/>
        <v>0</v>
      </c>
      <c r="R169" s="41">
        <f t="shared" si="7"/>
        <v>0</v>
      </c>
      <c r="S169" s="41" t="str">
        <f t="shared" si="8"/>
        <v/>
      </c>
    </row>
    <row r="170" spans="1:19" x14ac:dyDescent="0.2">
      <c r="A170" s="4">
        <v>162</v>
      </c>
      <c r="B170" s="8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6"/>
        <v>0</v>
      </c>
      <c r="R170" s="41">
        <f t="shared" si="7"/>
        <v>0</v>
      </c>
      <c r="S170" s="41" t="str">
        <f t="shared" si="8"/>
        <v/>
      </c>
    </row>
    <row r="171" spans="1:19" x14ac:dyDescent="0.2">
      <c r="A171" s="4">
        <v>163</v>
      </c>
      <c r="B171" s="8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6"/>
        <v>0</v>
      </c>
      <c r="R171" s="41">
        <f t="shared" si="7"/>
        <v>0</v>
      </c>
      <c r="S171" s="41" t="str">
        <f t="shared" si="8"/>
        <v/>
      </c>
    </row>
    <row r="172" spans="1:19" x14ac:dyDescent="0.2">
      <c r="A172" s="4">
        <v>164</v>
      </c>
      <c r="B172" s="8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6"/>
        <v>0</v>
      </c>
      <c r="R172" s="41">
        <f t="shared" si="7"/>
        <v>0</v>
      </c>
      <c r="S172" s="41" t="str">
        <f t="shared" si="8"/>
        <v/>
      </c>
    </row>
    <row r="173" spans="1:19" x14ac:dyDescent="0.2">
      <c r="A173" s="4">
        <v>165</v>
      </c>
      <c r="B173" s="8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6"/>
        <v>0</v>
      </c>
      <c r="R173" s="41">
        <f t="shared" si="7"/>
        <v>0</v>
      </c>
      <c r="S173" s="41" t="str">
        <f t="shared" si="8"/>
        <v/>
      </c>
    </row>
    <row r="174" spans="1:19" x14ac:dyDescent="0.2">
      <c r="A174" s="4">
        <v>166</v>
      </c>
      <c r="B174" s="8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6"/>
        <v>0</v>
      </c>
      <c r="R174" s="41">
        <f t="shared" si="7"/>
        <v>0</v>
      </c>
      <c r="S174" s="41" t="str">
        <f t="shared" si="8"/>
        <v/>
      </c>
    </row>
    <row r="175" spans="1:19" x14ac:dyDescent="0.2">
      <c r="A175" s="4">
        <v>167</v>
      </c>
      <c r="B175" s="8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6"/>
        <v>0</v>
      </c>
      <c r="R175" s="41">
        <f t="shared" si="7"/>
        <v>0</v>
      </c>
      <c r="S175" s="41" t="str">
        <f t="shared" si="8"/>
        <v/>
      </c>
    </row>
    <row r="176" spans="1:19" x14ac:dyDescent="0.2">
      <c r="A176" s="4">
        <v>168</v>
      </c>
      <c r="B176" s="8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6"/>
        <v>0</v>
      </c>
      <c r="R176" s="41">
        <f t="shared" si="7"/>
        <v>0</v>
      </c>
      <c r="S176" s="41" t="str">
        <f t="shared" si="8"/>
        <v/>
      </c>
    </row>
    <row r="177" spans="1:19" x14ac:dyDescent="0.2">
      <c r="A177" s="4">
        <v>169</v>
      </c>
      <c r="B177" s="8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6"/>
        <v>0</v>
      </c>
      <c r="R177" s="41">
        <f t="shared" si="7"/>
        <v>0</v>
      </c>
      <c r="S177" s="41" t="str">
        <f t="shared" si="8"/>
        <v/>
      </c>
    </row>
    <row r="178" spans="1:19" x14ac:dyDescent="0.2">
      <c r="A178" s="4">
        <v>170</v>
      </c>
      <c r="B178" s="8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6"/>
        <v>0</v>
      </c>
      <c r="R178" s="41">
        <f t="shared" si="7"/>
        <v>0</v>
      </c>
      <c r="S178" s="41" t="str">
        <f t="shared" si="8"/>
        <v/>
      </c>
    </row>
    <row r="179" spans="1:19" x14ac:dyDescent="0.2">
      <c r="A179" s="4">
        <v>171</v>
      </c>
      <c r="B179" s="8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6"/>
        <v>0</v>
      </c>
      <c r="R179" s="41">
        <f t="shared" si="7"/>
        <v>0</v>
      </c>
      <c r="S179" s="41" t="str">
        <f t="shared" si="8"/>
        <v/>
      </c>
    </row>
    <row r="180" spans="1:19" x14ac:dyDescent="0.2">
      <c r="A180" s="4">
        <v>172</v>
      </c>
      <c r="B180" s="8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6"/>
        <v>0</v>
      </c>
      <c r="R180" s="41">
        <f t="shared" si="7"/>
        <v>0</v>
      </c>
      <c r="S180" s="41" t="str">
        <f t="shared" si="8"/>
        <v/>
      </c>
    </row>
    <row r="181" spans="1:19" x14ac:dyDescent="0.2">
      <c r="A181" s="4">
        <v>173</v>
      </c>
      <c r="B181" s="8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6"/>
        <v>0</v>
      </c>
      <c r="R181" s="41">
        <f t="shared" si="7"/>
        <v>0</v>
      </c>
      <c r="S181" s="41" t="str">
        <f t="shared" si="8"/>
        <v/>
      </c>
    </row>
    <row r="182" spans="1:19" x14ac:dyDescent="0.2">
      <c r="A182" s="4">
        <v>174</v>
      </c>
      <c r="B182" s="8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6"/>
        <v>0</v>
      </c>
      <c r="R182" s="41">
        <f t="shared" si="7"/>
        <v>0</v>
      </c>
      <c r="S182" s="41" t="str">
        <f t="shared" si="8"/>
        <v/>
      </c>
    </row>
    <row r="183" spans="1:19" x14ac:dyDescent="0.2">
      <c r="A183" s="4">
        <v>175</v>
      </c>
      <c r="B183" s="8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6"/>
        <v>0</v>
      </c>
      <c r="R183" s="41">
        <f t="shared" si="7"/>
        <v>0</v>
      </c>
      <c r="S183" s="41" t="str">
        <f t="shared" si="8"/>
        <v/>
      </c>
    </row>
    <row r="184" spans="1:19" x14ac:dyDescent="0.2">
      <c r="A184" s="4">
        <v>176</v>
      </c>
      <c r="B184" s="8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6"/>
        <v>0</v>
      </c>
      <c r="R184" s="41">
        <f t="shared" si="7"/>
        <v>0</v>
      </c>
      <c r="S184" s="41" t="str">
        <f t="shared" si="8"/>
        <v/>
      </c>
    </row>
    <row r="185" spans="1:19" x14ac:dyDescent="0.2">
      <c r="A185" s="4">
        <v>177</v>
      </c>
      <c r="B185" s="8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6"/>
        <v>0</v>
      </c>
      <c r="R185" s="41">
        <f t="shared" si="7"/>
        <v>0</v>
      </c>
      <c r="S185" s="41" t="str">
        <f t="shared" si="8"/>
        <v/>
      </c>
    </row>
    <row r="186" spans="1:19" x14ac:dyDescent="0.2">
      <c r="A186" s="4">
        <v>178</v>
      </c>
      <c r="B186" s="8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6"/>
        <v>0</v>
      </c>
      <c r="R186" s="41">
        <f t="shared" si="7"/>
        <v>0</v>
      </c>
      <c r="S186" s="41" t="str">
        <f t="shared" si="8"/>
        <v/>
      </c>
    </row>
    <row r="187" spans="1:19" x14ac:dyDescent="0.2">
      <c r="A187" s="4">
        <v>179</v>
      </c>
      <c r="B187" s="8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6"/>
        <v>0</v>
      </c>
      <c r="R187" s="41">
        <f t="shared" si="7"/>
        <v>0</v>
      </c>
      <c r="S187" s="41" t="str">
        <f t="shared" si="8"/>
        <v/>
      </c>
    </row>
    <row r="188" spans="1:19" x14ac:dyDescent="0.2">
      <c r="A188" s="4">
        <v>180</v>
      </c>
      <c r="B188" s="8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6"/>
        <v>0</v>
      </c>
      <c r="R188" s="41">
        <f t="shared" si="7"/>
        <v>0</v>
      </c>
      <c r="S188" s="41" t="str">
        <f t="shared" si="8"/>
        <v/>
      </c>
    </row>
    <row r="189" spans="1:19" x14ac:dyDescent="0.2">
      <c r="A189" s="4">
        <v>181</v>
      </c>
      <c r="B189" s="8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6"/>
        <v>0</v>
      </c>
      <c r="R189" s="41">
        <f t="shared" si="7"/>
        <v>0</v>
      </c>
      <c r="S189" s="41" t="str">
        <f t="shared" si="8"/>
        <v/>
      </c>
    </row>
    <row r="190" spans="1:19" x14ac:dyDescent="0.2">
      <c r="A190" s="4">
        <v>182</v>
      </c>
      <c r="B190" s="8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6"/>
        <v>0</v>
      </c>
      <c r="R190" s="41">
        <f t="shared" si="7"/>
        <v>0</v>
      </c>
      <c r="S190" s="41" t="str">
        <f t="shared" si="8"/>
        <v/>
      </c>
    </row>
    <row r="191" spans="1:19" x14ac:dyDescent="0.2">
      <c r="A191" s="4">
        <v>183</v>
      </c>
      <c r="B191" s="8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6"/>
        <v>0</v>
      </c>
      <c r="R191" s="41">
        <f t="shared" si="7"/>
        <v>0</v>
      </c>
      <c r="S191" s="41" t="str">
        <f t="shared" si="8"/>
        <v/>
      </c>
    </row>
    <row r="192" spans="1:19" x14ac:dyDescent="0.2">
      <c r="A192" s="4">
        <v>184</v>
      </c>
      <c r="B192" s="8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6"/>
        <v>0</v>
      </c>
      <c r="R192" s="41">
        <f t="shared" si="7"/>
        <v>0</v>
      </c>
      <c r="S192" s="41" t="str">
        <f t="shared" si="8"/>
        <v/>
      </c>
    </row>
    <row r="193" spans="1:19" x14ac:dyDescent="0.2">
      <c r="A193" s="4">
        <v>185</v>
      </c>
      <c r="B193" s="8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6"/>
        <v>0</v>
      </c>
      <c r="R193" s="41">
        <f t="shared" si="7"/>
        <v>0</v>
      </c>
      <c r="S193" s="41" t="str">
        <f t="shared" si="8"/>
        <v/>
      </c>
    </row>
    <row r="194" spans="1:19" x14ac:dyDescent="0.2">
      <c r="A194" s="4">
        <v>186</v>
      </c>
      <c r="B194" s="8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6"/>
        <v>0</v>
      </c>
      <c r="R194" s="41">
        <f t="shared" si="7"/>
        <v>0</v>
      </c>
      <c r="S194" s="41" t="str">
        <f t="shared" si="8"/>
        <v/>
      </c>
    </row>
    <row r="195" spans="1:19" x14ac:dyDescent="0.2">
      <c r="A195" s="4">
        <v>187</v>
      </c>
      <c r="B195" s="8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6"/>
        <v>0</v>
      </c>
      <c r="R195" s="41">
        <f t="shared" si="7"/>
        <v>0</v>
      </c>
      <c r="S195" s="41" t="str">
        <f t="shared" si="8"/>
        <v/>
      </c>
    </row>
    <row r="196" spans="1:19" x14ac:dyDescent="0.2">
      <c r="A196" s="4">
        <v>188</v>
      </c>
      <c r="B196" s="8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6"/>
        <v>0</v>
      </c>
      <c r="R196" s="41">
        <f t="shared" si="7"/>
        <v>0</v>
      </c>
      <c r="S196" s="41" t="str">
        <f t="shared" si="8"/>
        <v/>
      </c>
    </row>
    <row r="197" spans="1:19" x14ac:dyDescent="0.2">
      <c r="A197" s="4">
        <v>189</v>
      </c>
      <c r="B197" s="8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6"/>
        <v>0</v>
      </c>
      <c r="R197" s="41">
        <f t="shared" si="7"/>
        <v>0</v>
      </c>
      <c r="S197" s="41" t="str">
        <f t="shared" si="8"/>
        <v/>
      </c>
    </row>
    <row r="198" spans="1:19" x14ac:dyDescent="0.2">
      <c r="A198" s="4">
        <v>190</v>
      </c>
      <c r="B198" s="8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6"/>
        <v>0</v>
      </c>
      <c r="R198" s="41">
        <f t="shared" si="7"/>
        <v>0</v>
      </c>
      <c r="S198" s="41" t="str">
        <f t="shared" si="8"/>
        <v/>
      </c>
    </row>
    <row r="199" spans="1:19" x14ac:dyDescent="0.2">
      <c r="A199" s="4">
        <v>191</v>
      </c>
      <c r="B199" s="8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6"/>
        <v>0</v>
      </c>
      <c r="R199" s="41">
        <f t="shared" si="7"/>
        <v>0</v>
      </c>
      <c r="S199" s="41" t="str">
        <f t="shared" si="8"/>
        <v/>
      </c>
    </row>
    <row r="200" spans="1:19" x14ac:dyDescent="0.2">
      <c r="A200" s="4">
        <v>192</v>
      </c>
      <c r="B200" s="8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6"/>
        <v>0</v>
      </c>
      <c r="R200" s="41">
        <f t="shared" si="7"/>
        <v>0</v>
      </c>
      <c r="S200" s="41" t="str">
        <f t="shared" si="8"/>
        <v/>
      </c>
    </row>
    <row r="201" spans="1:19" x14ac:dyDescent="0.2">
      <c r="A201" s="4">
        <v>193</v>
      </c>
      <c r="B201" s="8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6"/>
        <v>0</v>
      </c>
      <c r="R201" s="41">
        <f t="shared" si="7"/>
        <v>0</v>
      </c>
      <c r="S201" s="41" t="str">
        <f t="shared" si="8"/>
        <v/>
      </c>
    </row>
    <row r="202" spans="1:19" x14ac:dyDescent="0.2">
      <c r="A202" s="4">
        <v>194</v>
      </c>
      <c r="B202" s="8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9">E202*F202</f>
        <v>0</v>
      </c>
      <c r="R202" s="41">
        <f t="shared" ref="R202:R208" si="10">Q202+(Q202*H202)</f>
        <v>0</v>
      </c>
      <c r="S202" s="41" t="str">
        <f t="shared" ref="S202:S208" si="11">IF(O202=$V$3,R202-(R202*G202),IF(O202=$V$4,-P202,""))</f>
        <v/>
      </c>
    </row>
    <row r="203" spans="1:19" x14ac:dyDescent="0.2">
      <c r="A203" s="4">
        <v>195</v>
      </c>
      <c r="B203" s="8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9"/>
        <v>0</v>
      </c>
      <c r="R203" s="41">
        <f t="shared" si="10"/>
        <v>0</v>
      </c>
      <c r="S203" s="41" t="str">
        <f t="shared" si="11"/>
        <v/>
      </c>
    </row>
    <row r="204" spans="1:19" x14ac:dyDescent="0.2">
      <c r="A204" s="4">
        <v>196</v>
      </c>
      <c r="B204" s="8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9"/>
        <v>0</v>
      </c>
      <c r="R204" s="41">
        <f t="shared" si="10"/>
        <v>0</v>
      </c>
      <c r="S204" s="41" t="str">
        <f t="shared" si="11"/>
        <v/>
      </c>
    </row>
    <row r="205" spans="1:19" x14ac:dyDescent="0.2">
      <c r="A205" s="4">
        <v>197</v>
      </c>
      <c r="B205" s="8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9"/>
        <v>0</v>
      </c>
      <c r="R205" s="41">
        <f t="shared" si="10"/>
        <v>0</v>
      </c>
      <c r="S205" s="41" t="str">
        <f t="shared" si="11"/>
        <v/>
      </c>
    </row>
    <row r="206" spans="1:19" x14ac:dyDescent="0.2">
      <c r="A206" s="4">
        <v>198</v>
      </c>
      <c r="B206" s="8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9"/>
        <v>0</v>
      </c>
      <c r="R206" s="41">
        <f t="shared" si="10"/>
        <v>0</v>
      </c>
      <c r="S206" s="41" t="str">
        <f t="shared" si="11"/>
        <v/>
      </c>
    </row>
    <row r="207" spans="1:19" x14ac:dyDescent="0.2">
      <c r="A207" s="4">
        <v>199</v>
      </c>
      <c r="B207" s="8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9"/>
        <v>0</v>
      </c>
      <c r="R207" s="41">
        <f t="shared" si="10"/>
        <v>0</v>
      </c>
      <c r="S207" s="41" t="str">
        <f t="shared" si="11"/>
        <v/>
      </c>
    </row>
    <row r="208" spans="1:19" x14ac:dyDescent="0.2">
      <c r="A208" s="4">
        <v>200</v>
      </c>
      <c r="B208" s="8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9"/>
        <v>0</v>
      </c>
      <c r="R208" s="41">
        <f t="shared" si="10"/>
        <v>0</v>
      </c>
      <c r="S208" s="41" t="str">
        <f t="shared" si="11"/>
        <v/>
      </c>
    </row>
  </sheetData>
  <autoFilter ref="A8:S208" xr:uid="{00000000-0009-0000-0000-000009000000}"/>
  <mergeCells count="2">
    <mergeCell ref="A1:C1"/>
    <mergeCell ref="E1:G1"/>
  </mergeCells>
  <conditionalFormatting sqref="S1:S8 T8 S209:S1048576">
    <cfRule type="cellIs" dxfId="80" priority="4" operator="equal">
      <formula>"ERROR"</formula>
    </cfRule>
  </conditionalFormatting>
  <conditionalFormatting sqref="D4">
    <cfRule type="cellIs" dxfId="79" priority="2" operator="greaterThan">
      <formula>0</formula>
    </cfRule>
    <cfRule type="cellIs" dxfId="78" priority="3" operator="lessThanOrEqual">
      <formula>0</formula>
    </cfRule>
  </conditionalFormatting>
  <conditionalFormatting sqref="S9:S208">
    <cfRule type="cellIs" dxfId="77" priority="1" operator="equal">
      <formula>"ERROR"</formula>
    </cfRule>
  </conditionalFormatting>
  <dataValidations count="1">
    <dataValidation type="list" allowBlank="1" showInputMessage="1" showErrorMessage="1" sqref="O9:O1048576" xr:uid="{47B561AF-AA47-D049-A690-0B9EFE73877B}">
      <formula1>$V$3:$V$4</formula1>
    </dataValidation>
  </dataValidations>
  <hyperlinks>
    <hyperlink ref="E1:G1" location="'Master Sheet'!A1" display="GO BACK TO MASTER SHEET" xr:uid="{4AB7363A-C0D1-044D-AAA7-5B8F9EEA4AB5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E761F6A9-CA5F-5C4D-988C-A6ADBAAA01E3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E044497C-F21B-6049-B2D0-AF5C3E1FBA40}">
          <x14:formula1>
            <xm:f>'Master Sheet'!$AE$5:$AE$28</xm:f>
          </x14:formula1>
          <xm:sqref>D9:D17 D19:D1048576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37DDD-7105-D346-A303-8390E78CFA88}">
  <sheetPr codeName="Sheet35"/>
  <dimension ref="A1:W208"/>
  <sheetViews>
    <sheetView showGridLines="0" zoomScale="85" workbookViewId="0">
      <pane ySplit="8" topLeftCell="A9" activePane="bottomLeft" state="frozen"/>
      <selection activeCell="B1" sqref="B1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0.33203125" style="79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8" width="16" customWidth="1"/>
    <col min="19" max="19" width="26" style="42" customWidth="1"/>
  </cols>
  <sheetData>
    <row r="1" spans="1:23" ht="24" customHeight="1" x14ac:dyDescent="0.2">
      <c r="A1" s="86" t="str">
        <f ca="1">VLOOKUP(A2,'Master Sheet'!J5:K39,2)</f>
        <v>HTG Chor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S1"/>
    </row>
    <row r="2" spans="1:23" ht="20" thickBot="1" x14ac:dyDescent="0.3">
      <c r="A2" s="48" t="str" cm="1">
        <f t="array" aca="1" ref="A2" ca="1">MID(CELL("filename",A1),FIND("]",CELL("filename",A1))+1,99)</f>
        <v>C006</v>
      </c>
      <c r="F2"/>
      <c r="G2"/>
      <c r="H2"/>
      <c r="I2"/>
      <c r="J2"/>
      <c r="K2"/>
      <c r="L2"/>
      <c r="M2"/>
      <c r="N2"/>
      <c r="P2"/>
      <c r="S2"/>
    </row>
    <row r="3" spans="1:23" ht="16" thickBot="1" x14ac:dyDescent="0.25">
      <c r="A3" s="3"/>
      <c r="F3"/>
      <c r="G3"/>
      <c r="H3"/>
      <c r="I3"/>
      <c r="J3"/>
      <c r="K3"/>
      <c r="L3"/>
      <c r="M3"/>
      <c r="N3"/>
      <c r="P3"/>
      <c r="S3"/>
      <c r="V3" s="43" t="s">
        <v>83</v>
      </c>
      <c r="W3" s="44"/>
    </row>
    <row r="4" spans="1:23" ht="16" thickBot="1" x14ac:dyDescent="0.25">
      <c r="A4" s="3"/>
      <c r="C4" s="20" t="s">
        <v>201</v>
      </c>
      <c r="D4" s="50">
        <f>SUM(S9:S1048576)</f>
        <v>274320.39999999991</v>
      </c>
      <c r="F4"/>
      <c r="G4"/>
      <c r="H4"/>
      <c r="I4"/>
      <c r="J4"/>
      <c r="K4"/>
      <c r="L4"/>
      <c r="M4"/>
      <c r="N4"/>
      <c r="P4"/>
      <c r="S4"/>
      <c r="V4" s="30" t="s">
        <v>198</v>
      </c>
      <c r="W4" s="45"/>
    </row>
    <row r="5" spans="1:23" x14ac:dyDescent="0.2">
      <c r="A5" s="3"/>
      <c r="F5"/>
      <c r="G5"/>
      <c r="H5"/>
      <c r="I5"/>
      <c r="J5"/>
      <c r="K5"/>
      <c r="L5"/>
      <c r="M5"/>
      <c r="N5"/>
      <c r="P5"/>
      <c r="S5"/>
    </row>
    <row r="6" spans="1:23" x14ac:dyDescent="0.2">
      <c r="A6" s="3"/>
      <c r="F6"/>
      <c r="G6"/>
      <c r="H6"/>
      <c r="I6"/>
      <c r="J6"/>
      <c r="K6"/>
      <c r="L6"/>
      <c r="M6"/>
      <c r="N6"/>
      <c r="P6"/>
      <c r="S6"/>
    </row>
    <row r="7" spans="1:23" x14ac:dyDescent="0.2">
      <c r="A7" s="3"/>
      <c r="F7"/>
      <c r="G7"/>
      <c r="H7"/>
      <c r="I7"/>
      <c r="J7"/>
      <c r="K7"/>
      <c r="L7"/>
      <c r="M7"/>
      <c r="N7"/>
      <c r="P7"/>
      <c r="S7"/>
    </row>
    <row r="8" spans="1:23" ht="36" customHeight="1" x14ac:dyDescent="0.2">
      <c r="A8" s="1" t="s">
        <v>70</v>
      </c>
      <c r="B8" s="80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226</v>
      </c>
      <c r="S8" s="1" t="s">
        <v>196</v>
      </c>
    </row>
    <row r="9" spans="1:23" x14ac:dyDescent="0.2">
      <c r="A9" s="4">
        <v>1</v>
      </c>
      <c r="B9" s="81">
        <v>46086</v>
      </c>
      <c r="C9" s="6"/>
      <c r="D9" s="6" t="s">
        <v>105</v>
      </c>
      <c r="E9" s="7">
        <v>5</v>
      </c>
      <c r="F9" s="41">
        <v>14000</v>
      </c>
      <c r="G9" s="46">
        <v>0.01</v>
      </c>
      <c r="H9" s="39">
        <v>0.18</v>
      </c>
      <c r="I9" s="41"/>
      <c r="J9" s="41"/>
      <c r="K9" s="41"/>
      <c r="L9" s="41"/>
      <c r="M9" s="41"/>
      <c r="N9" s="41"/>
      <c r="O9" s="6" t="s">
        <v>83</v>
      </c>
      <c r="P9" s="41"/>
      <c r="Q9" s="41">
        <f>E9*F9</f>
        <v>70000</v>
      </c>
      <c r="R9" s="41">
        <f>Q9+(Q9*H9)</f>
        <v>82600</v>
      </c>
      <c r="S9" s="41">
        <f>IF(O9=$V$3,R9-(R9*G9),IF(O9=$V$4,-P9,""))</f>
        <v>81774</v>
      </c>
      <c r="T9">
        <v>287</v>
      </c>
    </row>
    <row r="10" spans="1:23" x14ac:dyDescent="0.2">
      <c r="A10" s="4">
        <v>2</v>
      </c>
      <c r="B10" s="81">
        <v>46096</v>
      </c>
      <c r="C10" s="6"/>
      <c r="D10" s="6" t="s">
        <v>105</v>
      </c>
      <c r="E10" s="7">
        <v>60</v>
      </c>
      <c r="F10" s="41">
        <v>14000</v>
      </c>
      <c r="G10" s="46">
        <v>0.01</v>
      </c>
      <c r="H10" s="39">
        <v>0.18</v>
      </c>
      <c r="I10" s="41"/>
      <c r="J10" s="41"/>
      <c r="K10" s="41"/>
      <c r="L10" s="41"/>
      <c r="M10" s="41"/>
      <c r="N10" s="41"/>
      <c r="O10" s="6" t="s">
        <v>83</v>
      </c>
      <c r="P10" s="41"/>
      <c r="Q10" s="41">
        <f t="shared" ref="Q10:Q73" si="0">E10*F10</f>
        <v>840000</v>
      </c>
      <c r="R10" s="41">
        <f t="shared" ref="R10:R73" si="1">Q10+(Q10*H10)</f>
        <v>991200</v>
      </c>
      <c r="S10" s="41">
        <f t="shared" ref="S10:S73" si="2">IF(O10=$V$3,R10-(R10*G10),IF(O10=$V$4,-P10,""))</f>
        <v>981288</v>
      </c>
    </row>
    <row r="11" spans="1:23" x14ac:dyDescent="0.2">
      <c r="A11" s="4">
        <v>3</v>
      </c>
      <c r="B11" s="81">
        <v>46079</v>
      </c>
      <c r="C11" s="6"/>
      <c r="D11" s="6" t="s">
        <v>105</v>
      </c>
      <c r="E11" s="7">
        <v>4</v>
      </c>
      <c r="F11" s="41">
        <v>14000</v>
      </c>
      <c r="G11" s="46">
        <v>0.01</v>
      </c>
      <c r="H11" s="39">
        <v>0.18</v>
      </c>
      <c r="I11" s="41"/>
      <c r="J11" s="41"/>
      <c r="K11" s="41"/>
      <c r="L11" s="41"/>
      <c r="M11" s="41"/>
      <c r="N11" s="41"/>
      <c r="O11" s="6" t="s">
        <v>83</v>
      </c>
      <c r="P11" s="41"/>
      <c r="Q11" s="41">
        <f t="shared" si="0"/>
        <v>56000</v>
      </c>
      <c r="R11" s="41">
        <f t="shared" si="1"/>
        <v>66080</v>
      </c>
      <c r="S11" s="41">
        <f t="shared" si="2"/>
        <v>65419.199999999997</v>
      </c>
    </row>
    <row r="12" spans="1:23" x14ac:dyDescent="0.2">
      <c r="A12" s="4">
        <v>4</v>
      </c>
      <c r="B12" s="81">
        <v>46080</v>
      </c>
      <c r="C12" s="6"/>
      <c r="D12" s="6" t="s">
        <v>105</v>
      </c>
      <c r="E12" s="7">
        <v>4</v>
      </c>
      <c r="F12" s="41">
        <v>14000</v>
      </c>
      <c r="G12" s="46">
        <v>0.01</v>
      </c>
      <c r="H12" s="39">
        <v>0.18</v>
      </c>
      <c r="I12" s="41"/>
      <c r="J12" s="41"/>
      <c r="K12" s="41"/>
      <c r="L12" s="41"/>
      <c r="M12" s="41"/>
      <c r="N12" s="41"/>
      <c r="O12" s="6" t="s">
        <v>83</v>
      </c>
      <c r="P12" s="41"/>
      <c r="Q12" s="41">
        <f t="shared" si="0"/>
        <v>56000</v>
      </c>
      <c r="R12" s="41">
        <f t="shared" si="1"/>
        <v>66080</v>
      </c>
      <c r="S12" s="41">
        <f t="shared" si="2"/>
        <v>65419.199999999997</v>
      </c>
      <c r="T12">
        <v>282</v>
      </c>
    </row>
    <row r="13" spans="1:23" x14ac:dyDescent="0.2">
      <c r="A13" s="4">
        <v>5</v>
      </c>
      <c r="B13" s="81">
        <v>46094</v>
      </c>
      <c r="C13" s="6"/>
      <c r="D13" s="6" t="s">
        <v>105</v>
      </c>
      <c r="E13" s="7">
        <v>30</v>
      </c>
      <c r="F13" s="41">
        <v>14000</v>
      </c>
      <c r="G13" s="46">
        <v>0.01</v>
      </c>
      <c r="H13" s="39">
        <v>0.18</v>
      </c>
      <c r="I13" s="41"/>
      <c r="J13" s="41"/>
      <c r="K13" s="41"/>
      <c r="L13" s="41"/>
      <c r="M13" s="41"/>
      <c r="N13" s="41"/>
      <c r="O13" s="6" t="s">
        <v>83</v>
      </c>
      <c r="P13" s="41"/>
      <c r="Q13" s="41">
        <f t="shared" si="0"/>
        <v>420000</v>
      </c>
      <c r="R13" s="41">
        <f t="shared" si="1"/>
        <v>495600</v>
      </c>
      <c r="S13" s="41">
        <f t="shared" si="2"/>
        <v>490644</v>
      </c>
    </row>
    <row r="14" spans="1:23" x14ac:dyDescent="0.2">
      <c r="A14" s="4">
        <v>6</v>
      </c>
      <c r="B14" s="81">
        <v>46079</v>
      </c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 t="s">
        <v>198</v>
      </c>
      <c r="P14" s="41">
        <v>66080</v>
      </c>
      <c r="Q14" s="41">
        <f t="shared" si="0"/>
        <v>0</v>
      </c>
      <c r="R14" s="41">
        <f t="shared" si="1"/>
        <v>0</v>
      </c>
      <c r="S14" s="41">
        <f t="shared" si="2"/>
        <v>-66080</v>
      </c>
    </row>
    <row r="15" spans="1:23" x14ac:dyDescent="0.2">
      <c r="A15" s="4">
        <v>7</v>
      </c>
      <c r="B15" s="81">
        <v>46080</v>
      </c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 t="s">
        <v>198</v>
      </c>
      <c r="P15" s="41">
        <v>66080</v>
      </c>
      <c r="Q15" s="41">
        <f t="shared" si="0"/>
        <v>0</v>
      </c>
      <c r="R15" s="41">
        <f t="shared" si="1"/>
        <v>0</v>
      </c>
      <c r="S15" s="41">
        <f t="shared" si="2"/>
        <v>-66080</v>
      </c>
    </row>
    <row r="16" spans="1:23" x14ac:dyDescent="0.2">
      <c r="A16" s="4">
        <v>8</v>
      </c>
      <c r="B16" s="81">
        <v>46085</v>
      </c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 t="s">
        <v>198</v>
      </c>
      <c r="P16" s="41">
        <v>66080</v>
      </c>
      <c r="Q16" s="41">
        <f t="shared" si="0"/>
        <v>0</v>
      </c>
      <c r="R16" s="41">
        <f t="shared" si="1"/>
        <v>0</v>
      </c>
      <c r="S16" s="41">
        <f t="shared" si="2"/>
        <v>-66080</v>
      </c>
    </row>
    <row r="17" spans="1:20" x14ac:dyDescent="0.2">
      <c r="A17" s="4">
        <v>9</v>
      </c>
      <c r="B17" s="81">
        <v>46086</v>
      </c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 t="s">
        <v>198</v>
      </c>
      <c r="P17" s="41">
        <v>16520</v>
      </c>
      <c r="Q17" s="41">
        <f t="shared" si="0"/>
        <v>0</v>
      </c>
      <c r="R17" s="41">
        <f t="shared" si="1"/>
        <v>0</v>
      </c>
      <c r="S17" s="41">
        <f t="shared" si="2"/>
        <v>-16520</v>
      </c>
    </row>
    <row r="18" spans="1:20" x14ac:dyDescent="0.2">
      <c r="A18" s="4">
        <v>10</v>
      </c>
      <c r="B18" s="81">
        <v>46093</v>
      </c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 t="s">
        <v>198</v>
      </c>
      <c r="P18" s="41">
        <v>1650000</v>
      </c>
      <c r="Q18" s="41">
        <f t="shared" si="0"/>
        <v>0</v>
      </c>
      <c r="R18" s="41">
        <f t="shared" si="1"/>
        <v>0</v>
      </c>
      <c r="S18" s="41">
        <f t="shared" si="2"/>
        <v>-1650000</v>
      </c>
    </row>
    <row r="19" spans="1:20" x14ac:dyDescent="0.2">
      <c r="A19" s="4">
        <v>11</v>
      </c>
      <c r="B19" s="81">
        <v>46098</v>
      </c>
      <c r="C19" s="6"/>
      <c r="D19" s="6" t="s">
        <v>105</v>
      </c>
      <c r="E19" s="7">
        <v>60</v>
      </c>
      <c r="F19" s="41">
        <v>14000</v>
      </c>
      <c r="G19" s="46">
        <v>0.01</v>
      </c>
      <c r="H19" s="39">
        <v>0.18</v>
      </c>
      <c r="I19" s="41"/>
      <c r="J19" s="41"/>
      <c r="K19" s="41"/>
      <c r="L19" s="41"/>
      <c r="M19" s="41"/>
      <c r="N19" s="41"/>
      <c r="O19" s="6" t="s">
        <v>83</v>
      </c>
      <c r="P19" s="41"/>
      <c r="Q19" s="41">
        <f>E19*F19</f>
        <v>840000</v>
      </c>
      <c r="R19" s="41">
        <f>Q19+(Q19*H19)</f>
        <v>991200</v>
      </c>
      <c r="S19" s="41">
        <f>IF(O19=$V$3,R19-(R19*G19),IF(O19=$V$4,-P19,""))</f>
        <v>981288</v>
      </c>
      <c r="T19">
        <v>305</v>
      </c>
    </row>
    <row r="20" spans="1:20" x14ac:dyDescent="0.2">
      <c r="A20" s="4">
        <v>12</v>
      </c>
      <c r="B20" s="81">
        <v>46111</v>
      </c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 t="s">
        <v>198</v>
      </c>
      <c r="P20" s="41">
        <v>690300</v>
      </c>
      <c r="Q20" s="41">
        <f>E20*F20</f>
        <v>0</v>
      </c>
      <c r="R20" s="41">
        <f>Q20+(Q20*H20)</f>
        <v>0</v>
      </c>
      <c r="S20" s="41">
        <f>IF(O20=$V$3,R20-(R20*G20),IF(O20=$V$4,-P20,""))</f>
        <v>-690300</v>
      </c>
    </row>
    <row r="21" spans="1:20" x14ac:dyDescent="0.2">
      <c r="A21" s="4">
        <v>13</v>
      </c>
      <c r="B21" s="81">
        <v>46112</v>
      </c>
      <c r="C21" s="6"/>
      <c r="D21" s="6" t="s">
        <v>105</v>
      </c>
      <c r="E21" s="7">
        <v>10</v>
      </c>
      <c r="F21" s="41">
        <v>14000</v>
      </c>
      <c r="G21" s="46">
        <v>0.01</v>
      </c>
      <c r="H21" s="39">
        <v>0.18</v>
      </c>
      <c r="I21" s="41"/>
      <c r="J21" s="41"/>
      <c r="K21" s="41"/>
      <c r="L21" s="41"/>
      <c r="M21" s="41"/>
      <c r="N21" s="41"/>
      <c r="O21" s="6" t="s">
        <v>83</v>
      </c>
      <c r="P21" s="41"/>
      <c r="Q21" s="41">
        <f>E21*F21</f>
        <v>140000</v>
      </c>
      <c r="R21" s="41">
        <f>Q21+(Q21*H21)</f>
        <v>165200</v>
      </c>
      <c r="S21" s="41">
        <f>IF(O21=$V$3,R21-(R21*G21),IF(O21=$V$4,-P21,""))</f>
        <v>163548</v>
      </c>
      <c r="T21">
        <v>322</v>
      </c>
    </row>
    <row r="22" spans="1:20" x14ac:dyDescent="0.2">
      <c r="A22" s="4">
        <v>14</v>
      </c>
      <c r="B22" s="81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>
        <f t="shared" si="1"/>
        <v>0</v>
      </c>
      <c r="S22" s="41" t="str">
        <f t="shared" si="2"/>
        <v/>
      </c>
    </row>
    <row r="23" spans="1:20" x14ac:dyDescent="0.2">
      <c r="A23" s="4">
        <v>15</v>
      </c>
      <c r="B23" s="81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>
        <f t="shared" si="1"/>
        <v>0</v>
      </c>
      <c r="S23" s="41" t="str">
        <f t="shared" si="2"/>
        <v/>
      </c>
    </row>
    <row r="24" spans="1:20" x14ac:dyDescent="0.2">
      <c r="A24" s="4">
        <v>16</v>
      </c>
      <c r="B24" s="81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>
        <f t="shared" si="1"/>
        <v>0</v>
      </c>
      <c r="S24" s="41" t="str">
        <f t="shared" si="2"/>
        <v/>
      </c>
    </row>
    <row r="25" spans="1:20" x14ac:dyDescent="0.2">
      <c r="A25" s="4">
        <v>17</v>
      </c>
      <c r="B25" s="81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>
        <f t="shared" si="1"/>
        <v>0</v>
      </c>
      <c r="S25" s="41" t="str">
        <f t="shared" si="2"/>
        <v/>
      </c>
    </row>
    <row r="26" spans="1:20" x14ac:dyDescent="0.2">
      <c r="A26" s="4">
        <v>18</v>
      </c>
      <c r="B26" s="81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>
        <f t="shared" si="1"/>
        <v>0</v>
      </c>
      <c r="S26" s="41" t="str">
        <f t="shared" si="2"/>
        <v/>
      </c>
    </row>
    <row r="27" spans="1:20" x14ac:dyDescent="0.2">
      <c r="A27" s="4">
        <v>19</v>
      </c>
      <c r="B27" s="81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>
        <f t="shared" si="1"/>
        <v>0</v>
      </c>
      <c r="S27" s="41" t="str">
        <f t="shared" si="2"/>
        <v/>
      </c>
    </row>
    <row r="28" spans="1:20" x14ac:dyDescent="0.2">
      <c r="A28" s="4">
        <v>20</v>
      </c>
      <c r="B28" s="81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>
        <f t="shared" si="1"/>
        <v>0</v>
      </c>
      <c r="S28" s="41" t="str">
        <f t="shared" si="2"/>
        <v/>
      </c>
    </row>
    <row r="29" spans="1:20" x14ac:dyDescent="0.2">
      <c r="A29" s="4">
        <v>21</v>
      </c>
      <c r="B29" s="81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>
        <f t="shared" si="1"/>
        <v>0</v>
      </c>
      <c r="S29" s="41" t="str">
        <f t="shared" si="2"/>
        <v/>
      </c>
    </row>
    <row r="30" spans="1:20" x14ac:dyDescent="0.2">
      <c r="A30" s="4">
        <v>22</v>
      </c>
      <c r="B30" s="81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>
        <f t="shared" si="1"/>
        <v>0</v>
      </c>
      <c r="S30" s="41" t="str">
        <f t="shared" si="2"/>
        <v/>
      </c>
    </row>
    <row r="31" spans="1:20" x14ac:dyDescent="0.2">
      <c r="A31" s="4">
        <v>23</v>
      </c>
      <c r="B31" s="81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>
        <f t="shared" si="1"/>
        <v>0</v>
      </c>
      <c r="S31" s="41" t="str">
        <f t="shared" si="2"/>
        <v/>
      </c>
    </row>
    <row r="32" spans="1:20" x14ac:dyDescent="0.2">
      <c r="A32" s="4">
        <v>24</v>
      </c>
      <c r="B32" s="81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>
        <f t="shared" si="1"/>
        <v>0</v>
      </c>
      <c r="S32" s="41" t="str">
        <f t="shared" si="2"/>
        <v/>
      </c>
    </row>
    <row r="33" spans="1:19" x14ac:dyDescent="0.2">
      <c r="A33" s="4">
        <v>25</v>
      </c>
      <c r="B33" s="81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>
        <f t="shared" si="1"/>
        <v>0</v>
      </c>
      <c r="S33" s="41" t="str">
        <f t="shared" si="2"/>
        <v/>
      </c>
    </row>
    <row r="34" spans="1:19" x14ac:dyDescent="0.2">
      <c r="A34" s="4">
        <v>26</v>
      </c>
      <c r="B34" s="81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>
        <f t="shared" si="1"/>
        <v>0</v>
      </c>
      <c r="S34" s="41" t="str">
        <f t="shared" si="2"/>
        <v/>
      </c>
    </row>
    <row r="35" spans="1:19" x14ac:dyDescent="0.2">
      <c r="A35" s="4">
        <v>27</v>
      </c>
      <c r="B35" s="81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>
        <f t="shared" si="1"/>
        <v>0</v>
      </c>
      <c r="S35" s="41" t="str">
        <f t="shared" si="2"/>
        <v/>
      </c>
    </row>
    <row r="36" spans="1:19" x14ac:dyDescent="0.2">
      <c r="A36" s="4">
        <v>28</v>
      </c>
      <c r="B36" s="81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>
        <f t="shared" si="1"/>
        <v>0</v>
      </c>
      <c r="S36" s="41" t="str">
        <f t="shared" si="2"/>
        <v/>
      </c>
    </row>
    <row r="37" spans="1:19" x14ac:dyDescent="0.2">
      <c r="A37" s="4">
        <v>29</v>
      </c>
      <c r="B37" s="81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>
        <f t="shared" si="1"/>
        <v>0</v>
      </c>
      <c r="S37" s="41" t="str">
        <f t="shared" si="2"/>
        <v/>
      </c>
    </row>
    <row r="38" spans="1:19" x14ac:dyDescent="0.2">
      <c r="A38" s="4">
        <v>30</v>
      </c>
      <c r="B38" s="81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>
        <f t="shared" si="1"/>
        <v>0</v>
      </c>
      <c r="S38" s="41" t="str">
        <f t="shared" si="2"/>
        <v/>
      </c>
    </row>
    <row r="39" spans="1:19" x14ac:dyDescent="0.2">
      <c r="A39" s="4">
        <v>31</v>
      </c>
      <c r="B39" s="81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>
        <f t="shared" si="1"/>
        <v>0</v>
      </c>
      <c r="S39" s="41" t="str">
        <f t="shared" si="2"/>
        <v/>
      </c>
    </row>
    <row r="40" spans="1:19" x14ac:dyDescent="0.2">
      <c r="A40" s="4">
        <v>32</v>
      </c>
      <c r="B40" s="81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>
        <f t="shared" si="1"/>
        <v>0</v>
      </c>
      <c r="S40" s="41" t="str">
        <f t="shared" si="2"/>
        <v/>
      </c>
    </row>
    <row r="41" spans="1:19" x14ac:dyDescent="0.2">
      <c r="A41" s="4">
        <v>33</v>
      </c>
      <c r="B41" s="81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>
        <f t="shared" si="1"/>
        <v>0</v>
      </c>
      <c r="S41" s="41" t="str">
        <f t="shared" si="2"/>
        <v/>
      </c>
    </row>
    <row r="42" spans="1:19" x14ac:dyDescent="0.2">
      <c r="A42" s="4">
        <v>34</v>
      </c>
      <c r="B42" s="81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>
        <f t="shared" si="1"/>
        <v>0</v>
      </c>
      <c r="S42" s="41" t="str">
        <f t="shared" si="2"/>
        <v/>
      </c>
    </row>
    <row r="43" spans="1:19" x14ac:dyDescent="0.2">
      <c r="A43" s="4">
        <v>35</v>
      </c>
      <c r="B43" s="81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>
        <f t="shared" si="1"/>
        <v>0</v>
      </c>
      <c r="S43" s="41" t="str">
        <f t="shared" si="2"/>
        <v/>
      </c>
    </row>
    <row r="44" spans="1:19" x14ac:dyDescent="0.2">
      <c r="A44" s="4">
        <v>36</v>
      </c>
      <c r="B44" s="81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>
        <f t="shared" si="1"/>
        <v>0</v>
      </c>
      <c r="S44" s="41" t="str">
        <f t="shared" si="2"/>
        <v/>
      </c>
    </row>
    <row r="45" spans="1:19" x14ac:dyDescent="0.2">
      <c r="A45" s="4">
        <v>37</v>
      </c>
      <c r="B45" s="81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>
        <f t="shared" si="1"/>
        <v>0</v>
      </c>
      <c r="S45" s="41" t="str">
        <f t="shared" si="2"/>
        <v/>
      </c>
    </row>
    <row r="46" spans="1:19" x14ac:dyDescent="0.2">
      <c r="A46" s="4">
        <v>38</v>
      </c>
      <c r="B46" s="81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>
        <f t="shared" si="1"/>
        <v>0</v>
      </c>
      <c r="S46" s="41" t="str">
        <f t="shared" si="2"/>
        <v/>
      </c>
    </row>
    <row r="47" spans="1:19" x14ac:dyDescent="0.2">
      <c r="A47" s="4">
        <v>39</v>
      </c>
      <c r="B47" s="81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>
        <f t="shared" si="1"/>
        <v>0</v>
      </c>
      <c r="S47" s="41" t="str">
        <f t="shared" si="2"/>
        <v/>
      </c>
    </row>
    <row r="48" spans="1:19" x14ac:dyDescent="0.2">
      <c r="A48" s="4">
        <v>40</v>
      </c>
      <c r="B48" s="81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>
        <f t="shared" si="1"/>
        <v>0</v>
      </c>
      <c r="S48" s="41" t="str">
        <f t="shared" si="2"/>
        <v/>
      </c>
    </row>
    <row r="49" spans="1:19" x14ac:dyDescent="0.2">
      <c r="A49" s="4">
        <v>41</v>
      </c>
      <c r="B49" s="81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>
        <f t="shared" si="1"/>
        <v>0</v>
      </c>
      <c r="S49" s="41" t="str">
        <f t="shared" si="2"/>
        <v/>
      </c>
    </row>
    <row r="50" spans="1:19" x14ac:dyDescent="0.2">
      <c r="A50" s="4">
        <v>42</v>
      </c>
      <c r="B50" s="81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>
        <f t="shared" si="1"/>
        <v>0</v>
      </c>
      <c r="S50" s="41" t="str">
        <f t="shared" si="2"/>
        <v/>
      </c>
    </row>
    <row r="51" spans="1:19" x14ac:dyDescent="0.2">
      <c r="A51" s="4">
        <v>43</v>
      </c>
      <c r="B51" s="81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>
        <f t="shared" si="1"/>
        <v>0</v>
      </c>
      <c r="S51" s="41" t="str">
        <f t="shared" si="2"/>
        <v/>
      </c>
    </row>
    <row r="52" spans="1:19" x14ac:dyDescent="0.2">
      <c r="A52" s="4">
        <v>44</v>
      </c>
      <c r="B52" s="81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>
        <f t="shared" si="1"/>
        <v>0</v>
      </c>
      <c r="S52" s="41" t="str">
        <f t="shared" si="2"/>
        <v/>
      </c>
    </row>
    <row r="53" spans="1:19" x14ac:dyDescent="0.2">
      <c r="A53" s="4">
        <v>45</v>
      </c>
      <c r="B53" s="81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>
        <f t="shared" si="1"/>
        <v>0</v>
      </c>
      <c r="S53" s="41" t="str">
        <f t="shared" si="2"/>
        <v/>
      </c>
    </row>
    <row r="54" spans="1:19" x14ac:dyDescent="0.2">
      <c r="A54" s="4">
        <v>46</v>
      </c>
      <c r="B54" s="81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>
        <f t="shared" si="1"/>
        <v>0</v>
      </c>
      <c r="S54" s="41" t="str">
        <f t="shared" si="2"/>
        <v/>
      </c>
    </row>
    <row r="55" spans="1:19" x14ac:dyDescent="0.2">
      <c r="A55" s="4">
        <v>47</v>
      </c>
      <c r="B55" s="81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>
        <f t="shared" si="1"/>
        <v>0</v>
      </c>
      <c r="S55" s="41" t="str">
        <f t="shared" si="2"/>
        <v/>
      </c>
    </row>
    <row r="56" spans="1:19" x14ac:dyDescent="0.2">
      <c r="A56" s="4">
        <v>48</v>
      </c>
      <c r="B56" s="81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>
        <f t="shared" si="1"/>
        <v>0</v>
      </c>
      <c r="S56" s="41" t="str">
        <f t="shared" si="2"/>
        <v/>
      </c>
    </row>
    <row r="57" spans="1:19" x14ac:dyDescent="0.2">
      <c r="A57" s="4">
        <v>49</v>
      </c>
      <c r="B57" s="81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>
        <f t="shared" si="1"/>
        <v>0</v>
      </c>
      <c r="S57" s="41" t="str">
        <f t="shared" si="2"/>
        <v/>
      </c>
    </row>
    <row r="58" spans="1:19" x14ac:dyDescent="0.2">
      <c r="A58" s="4">
        <v>50</v>
      </c>
      <c r="B58" s="81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>
        <f t="shared" si="1"/>
        <v>0</v>
      </c>
      <c r="S58" s="41" t="str">
        <f t="shared" si="2"/>
        <v/>
      </c>
    </row>
    <row r="59" spans="1:19" x14ac:dyDescent="0.2">
      <c r="A59" s="4">
        <v>51</v>
      </c>
      <c r="B59" s="81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>
        <f t="shared" si="1"/>
        <v>0</v>
      </c>
      <c r="S59" s="41" t="str">
        <f t="shared" si="2"/>
        <v/>
      </c>
    </row>
    <row r="60" spans="1:19" x14ac:dyDescent="0.2">
      <c r="A60" s="4">
        <v>52</v>
      </c>
      <c r="B60" s="81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>
        <f t="shared" si="1"/>
        <v>0</v>
      </c>
      <c r="S60" s="41" t="str">
        <f t="shared" si="2"/>
        <v/>
      </c>
    </row>
    <row r="61" spans="1:19" x14ac:dyDescent="0.2">
      <c r="A61" s="4">
        <v>53</v>
      </c>
      <c r="B61" s="81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>
        <f t="shared" si="1"/>
        <v>0</v>
      </c>
      <c r="S61" s="41" t="str">
        <f t="shared" si="2"/>
        <v/>
      </c>
    </row>
    <row r="62" spans="1:19" x14ac:dyDescent="0.2">
      <c r="A62" s="4">
        <v>54</v>
      </c>
      <c r="B62" s="81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>
        <f t="shared" si="1"/>
        <v>0</v>
      </c>
      <c r="S62" s="41" t="str">
        <f t="shared" si="2"/>
        <v/>
      </c>
    </row>
    <row r="63" spans="1:19" x14ac:dyDescent="0.2">
      <c r="A63" s="4">
        <v>55</v>
      </c>
      <c r="B63" s="81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>
        <f t="shared" si="1"/>
        <v>0</v>
      </c>
      <c r="S63" s="41" t="str">
        <f t="shared" si="2"/>
        <v/>
      </c>
    </row>
    <row r="64" spans="1:19" x14ac:dyDescent="0.2">
      <c r="A64" s="4">
        <v>56</v>
      </c>
      <c r="B64" s="81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>
        <f t="shared" si="1"/>
        <v>0</v>
      </c>
      <c r="S64" s="41" t="str">
        <f t="shared" si="2"/>
        <v/>
      </c>
    </row>
    <row r="65" spans="1:19" x14ac:dyDescent="0.2">
      <c r="A65" s="4">
        <v>57</v>
      </c>
      <c r="B65" s="81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>
        <f t="shared" si="1"/>
        <v>0</v>
      </c>
      <c r="S65" s="41" t="str">
        <f t="shared" si="2"/>
        <v/>
      </c>
    </row>
    <row r="66" spans="1:19" x14ac:dyDescent="0.2">
      <c r="A66" s="4">
        <v>58</v>
      </c>
      <c r="B66" s="81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>
        <f t="shared" si="1"/>
        <v>0</v>
      </c>
      <c r="S66" s="41" t="str">
        <f t="shared" si="2"/>
        <v/>
      </c>
    </row>
    <row r="67" spans="1:19" x14ac:dyDescent="0.2">
      <c r="A67" s="4">
        <v>59</v>
      </c>
      <c r="B67" s="81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>
        <f t="shared" si="1"/>
        <v>0</v>
      </c>
      <c r="S67" s="41" t="str">
        <f t="shared" si="2"/>
        <v/>
      </c>
    </row>
    <row r="68" spans="1:19" x14ac:dyDescent="0.2">
      <c r="A68" s="4">
        <v>60</v>
      </c>
      <c r="B68" s="81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>
        <f t="shared" si="1"/>
        <v>0</v>
      </c>
      <c r="S68" s="41" t="str">
        <f t="shared" si="2"/>
        <v/>
      </c>
    </row>
    <row r="69" spans="1:19" x14ac:dyDescent="0.2">
      <c r="A69" s="4">
        <v>61</v>
      </c>
      <c r="B69" s="81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>
        <f t="shared" si="1"/>
        <v>0</v>
      </c>
      <c r="S69" s="41" t="str">
        <f t="shared" si="2"/>
        <v/>
      </c>
    </row>
    <row r="70" spans="1:19" x14ac:dyDescent="0.2">
      <c r="A70" s="4">
        <v>62</v>
      </c>
      <c r="B70" s="81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>
        <f t="shared" si="1"/>
        <v>0</v>
      </c>
      <c r="S70" s="41" t="str">
        <f t="shared" si="2"/>
        <v/>
      </c>
    </row>
    <row r="71" spans="1:19" x14ac:dyDescent="0.2">
      <c r="A71" s="4">
        <v>63</v>
      </c>
      <c r="B71" s="81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>
        <f t="shared" si="1"/>
        <v>0</v>
      </c>
      <c r="S71" s="41" t="str">
        <f t="shared" si="2"/>
        <v/>
      </c>
    </row>
    <row r="72" spans="1:19" x14ac:dyDescent="0.2">
      <c r="A72" s="4">
        <v>64</v>
      </c>
      <c r="B72" s="81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>
        <f t="shared" si="1"/>
        <v>0</v>
      </c>
      <c r="S72" s="41" t="str">
        <f t="shared" si="2"/>
        <v/>
      </c>
    </row>
    <row r="73" spans="1:19" x14ac:dyDescent="0.2">
      <c r="A73" s="4">
        <v>65</v>
      </c>
      <c r="B73" s="81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>
        <f t="shared" si="1"/>
        <v>0</v>
      </c>
      <c r="S73" s="41" t="str">
        <f t="shared" si="2"/>
        <v/>
      </c>
    </row>
    <row r="74" spans="1:19" x14ac:dyDescent="0.2">
      <c r="A74" s="4">
        <v>66</v>
      </c>
      <c r="B74" s="81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3">E74*F74</f>
        <v>0</v>
      </c>
      <c r="R74" s="41">
        <f t="shared" ref="R74:R137" si="4">Q74+(Q74*H74)</f>
        <v>0</v>
      </c>
      <c r="S74" s="41" t="str">
        <f t="shared" ref="S74:S137" si="5">IF(O74=$V$3,R74-(R74*G74),IF(O74=$V$4,-P74,""))</f>
        <v/>
      </c>
    </row>
    <row r="75" spans="1:19" x14ac:dyDescent="0.2">
      <c r="A75" s="4">
        <v>67</v>
      </c>
      <c r="B75" s="81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3"/>
        <v>0</v>
      </c>
      <c r="R75" s="41">
        <f t="shared" si="4"/>
        <v>0</v>
      </c>
      <c r="S75" s="41" t="str">
        <f t="shared" si="5"/>
        <v/>
      </c>
    </row>
    <row r="76" spans="1:19" x14ac:dyDescent="0.2">
      <c r="A76" s="4">
        <v>68</v>
      </c>
      <c r="B76" s="81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3"/>
        <v>0</v>
      </c>
      <c r="R76" s="41">
        <f t="shared" si="4"/>
        <v>0</v>
      </c>
      <c r="S76" s="41" t="str">
        <f t="shared" si="5"/>
        <v/>
      </c>
    </row>
    <row r="77" spans="1:19" x14ac:dyDescent="0.2">
      <c r="A77" s="4">
        <v>69</v>
      </c>
      <c r="B77" s="81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3"/>
        <v>0</v>
      </c>
      <c r="R77" s="41">
        <f t="shared" si="4"/>
        <v>0</v>
      </c>
      <c r="S77" s="41" t="str">
        <f t="shared" si="5"/>
        <v/>
      </c>
    </row>
    <row r="78" spans="1:19" x14ac:dyDescent="0.2">
      <c r="A78" s="4">
        <v>70</v>
      </c>
      <c r="B78" s="81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3"/>
        <v>0</v>
      </c>
      <c r="R78" s="41">
        <f t="shared" si="4"/>
        <v>0</v>
      </c>
      <c r="S78" s="41" t="str">
        <f t="shared" si="5"/>
        <v/>
      </c>
    </row>
    <row r="79" spans="1:19" x14ac:dyDescent="0.2">
      <c r="A79" s="4">
        <v>71</v>
      </c>
      <c r="B79" s="81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3"/>
        <v>0</v>
      </c>
      <c r="R79" s="41">
        <f t="shared" si="4"/>
        <v>0</v>
      </c>
      <c r="S79" s="41" t="str">
        <f t="shared" si="5"/>
        <v/>
      </c>
    </row>
    <row r="80" spans="1:19" x14ac:dyDescent="0.2">
      <c r="A80" s="4">
        <v>72</v>
      </c>
      <c r="B80" s="81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3"/>
        <v>0</v>
      </c>
      <c r="R80" s="41">
        <f t="shared" si="4"/>
        <v>0</v>
      </c>
      <c r="S80" s="41" t="str">
        <f t="shared" si="5"/>
        <v/>
      </c>
    </row>
    <row r="81" spans="1:19" x14ac:dyDescent="0.2">
      <c r="A81" s="4">
        <v>73</v>
      </c>
      <c r="B81" s="81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3"/>
        <v>0</v>
      </c>
      <c r="R81" s="41">
        <f t="shared" si="4"/>
        <v>0</v>
      </c>
      <c r="S81" s="41" t="str">
        <f t="shared" si="5"/>
        <v/>
      </c>
    </row>
    <row r="82" spans="1:19" x14ac:dyDescent="0.2">
      <c r="A82" s="4">
        <v>74</v>
      </c>
      <c r="B82" s="81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3"/>
        <v>0</v>
      </c>
      <c r="R82" s="41">
        <f t="shared" si="4"/>
        <v>0</v>
      </c>
      <c r="S82" s="41" t="str">
        <f t="shared" si="5"/>
        <v/>
      </c>
    </row>
    <row r="83" spans="1:19" x14ac:dyDescent="0.2">
      <c r="A83" s="4">
        <v>75</v>
      </c>
      <c r="B83" s="81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3"/>
        <v>0</v>
      </c>
      <c r="R83" s="41">
        <f t="shared" si="4"/>
        <v>0</v>
      </c>
      <c r="S83" s="41" t="str">
        <f t="shared" si="5"/>
        <v/>
      </c>
    </row>
    <row r="84" spans="1:19" x14ac:dyDescent="0.2">
      <c r="A84" s="4">
        <v>76</v>
      </c>
      <c r="B84" s="81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3"/>
        <v>0</v>
      </c>
      <c r="R84" s="41">
        <f t="shared" si="4"/>
        <v>0</v>
      </c>
      <c r="S84" s="41" t="str">
        <f t="shared" si="5"/>
        <v/>
      </c>
    </row>
    <row r="85" spans="1:19" x14ac:dyDescent="0.2">
      <c r="A85" s="4">
        <v>77</v>
      </c>
      <c r="B85" s="81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3"/>
        <v>0</v>
      </c>
      <c r="R85" s="41">
        <f t="shared" si="4"/>
        <v>0</v>
      </c>
      <c r="S85" s="41" t="str">
        <f t="shared" si="5"/>
        <v/>
      </c>
    </row>
    <row r="86" spans="1:19" x14ac:dyDescent="0.2">
      <c r="A86" s="4">
        <v>78</v>
      </c>
      <c r="B86" s="81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3"/>
        <v>0</v>
      </c>
      <c r="R86" s="41">
        <f t="shared" si="4"/>
        <v>0</v>
      </c>
      <c r="S86" s="41" t="str">
        <f t="shared" si="5"/>
        <v/>
      </c>
    </row>
    <row r="87" spans="1:19" x14ac:dyDescent="0.2">
      <c r="A87" s="4">
        <v>79</v>
      </c>
      <c r="B87" s="81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3"/>
        <v>0</v>
      </c>
      <c r="R87" s="41">
        <f t="shared" si="4"/>
        <v>0</v>
      </c>
      <c r="S87" s="41" t="str">
        <f t="shared" si="5"/>
        <v/>
      </c>
    </row>
    <row r="88" spans="1:19" x14ac:dyDescent="0.2">
      <c r="A88" s="4">
        <v>80</v>
      </c>
      <c r="B88" s="81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3"/>
        <v>0</v>
      </c>
      <c r="R88" s="41">
        <f t="shared" si="4"/>
        <v>0</v>
      </c>
      <c r="S88" s="41" t="str">
        <f t="shared" si="5"/>
        <v/>
      </c>
    </row>
    <row r="89" spans="1:19" x14ac:dyDescent="0.2">
      <c r="A89" s="4">
        <v>81</v>
      </c>
      <c r="B89" s="81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3"/>
        <v>0</v>
      </c>
      <c r="R89" s="41">
        <f t="shared" si="4"/>
        <v>0</v>
      </c>
      <c r="S89" s="41" t="str">
        <f t="shared" si="5"/>
        <v/>
      </c>
    </row>
    <row r="90" spans="1:19" x14ac:dyDescent="0.2">
      <c r="A90" s="4">
        <v>82</v>
      </c>
      <c r="B90" s="81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3"/>
        <v>0</v>
      </c>
      <c r="R90" s="41">
        <f t="shared" si="4"/>
        <v>0</v>
      </c>
      <c r="S90" s="41" t="str">
        <f t="shared" si="5"/>
        <v/>
      </c>
    </row>
    <row r="91" spans="1:19" x14ac:dyDescent="0.2">
      <c r="A91" s="4">
        <v>83</v>
      </c>
      <c r="B91" s="81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3"/>
        <v>0</v>
      </c>
      <c r="R91" s="41">
        <f t="shared" si="4"/>
        <v>0</v>
      </c>
      <c r="S91" s="41" t="str">
        <f t="shared" si="5"/>
        <v/>
      </c>
    </row>
    <row r="92" spans="1:19" x14ac:dyDescent="0.2">
      <c r="A92" s="4">
        <v>84</v>
      </c>
      <c r="B92" s="81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3"/>
        <v>0</v>
      </c>
      <c r="R92" s="41">
        <f t="shared" si="4"/>
        <v>0</v>
      </c>
      <c r="S92" s="41" t="str">
        <f t="shared" si="5"/>
        <v/>
      </c>
    </row>
    <row r="93" spans="1:19" x14ac:dyDescent="0.2">
      <c r="A93" s="4">
        <v>85</v>
      </c>
      <c r="B93" s="81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3"/>
        <v>0</v>
      </c>
      <c r="R93" s="41">
        <f t="shared" si="4"/>
        <v>0</v>
      </c>
      <c r="S93" s="41" t="str">
        <f t="shared" si="5"/>
        <v/>
      </c>
    </row>
    <row r="94" spans="1:19" x14ac:dyDescent="0.2">
      <c r="A94" s="4">
        <v>86</v>
      </c>
      <c r="B94" s="81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3"/>
        <v>0</v>
      </c>
      <c r="R94" s="41">
        <f t="shared" si="4"/>
        <v>0</v>
      </c>
      <c r="S94" s="41" t="str">
        <f t="shared" si="5"/>
        <v/>
      </c>
    </row>
    <row r="95" spans="1:19" x14ac:dyDescent="0.2">
      <c r="A95" s="4">
        <v>87</v>
      </c>
      <c r="B95" s="81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3"/>
        <v>0</v>
      </c>
      <c r="R95" s="41">
        <f t="shared" si="4"/>
        <v>0</v>
      </c>
      <c r="S95" s="41" t="str">
        <f t="shared" si="5"/>
        <v/>
      </c>
    </row>
    <row r="96" spans="1:19" x14ac:dyDescent="0.2">
      <c r="A96" s="4">
        <v>88</v>
      </c>
      <c r="B96" s="81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3"/>
        <v>0</v>
      </c>
      <c r="R96" s="41">
        <f t="shared" si="4"/>
        <v>0</v>
      </c>
      <c r="S96" s="41" t="str">
        <f t="shared" si="5"/>
        <v/>
      </c>
    </row>
    <row r="97" spans="1:19" x14ac:dyDescent="0.2">
      <c r="A97" s="4">
        <v>89</v>
      </c>
      <c r="B97" s="81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3"/>
        <v>0</v>
      </c>
      <c r="R97" s="41">
        <f t="shared" si="4"/>
        <v>0</v>
      </c>
      <c r="S97" s="41" t="str">
        <f t="shared" si="5"/>
        <v/>
      </c>
    </row>
    <row r="98" spans="1:19" x14ac:dyDescent="0.2">
      <c r="A98" s="4">
        <v>90</v>
      </c>
      <c r="B98" s="81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3"/>
        <v>0</v>
      </c>
      <c r="R98" s="41">
        <f t="shared" si="4"/>
        <v>0</v>
      </c>
      <c r="S98" s="41" t="str">
        <f t="shared" si="5"/>
        <v/>
      </c>
    </row>
    <row r="99" spans="1:19" x14ac:dyDescent="0.2">
      <c r="A99" s="4">
        <v>91</v>
      </c>
      <c r="B99" s="81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3"/>
        <v>0</v>
      </c>
      <c r="R99" s="41">
        <f t="shared" si="4"/>
        <v>0</v>
      </c>
      <c r="S99" s="41" t="str">
        <f t="shared" si="5"/>
        <v/>
      </c>
    </row>
    <row r="100" spans="1:19" x14ac:dyDescent="0.2">
      <c r="A100" s="4">
        <v>92</v>
      </c>
      <c r="B100" s="81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3"/>
        <v>0</v>
      </c>
      <c r="R100" s="41">
        <f t="shared" si="4"/>
        <v>0</v>
      </c>
      <c r="S100" s="41" t="str">
        <f t="shared" si="5"/>
        <v/>
      </c>
    </row>
    <row r="101" spans="1:19" x14ac:dyDescent="0.2">
      <c r="A101" s="4">
        <v>93</v>
      </c>
      <c r="B101" s="81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3"/>
        <v>0</v>
      </c>
      <c r="R101" s="41">
        <f t="shared" si="4"/>
        <v>0</v>
      </c>
      <c r="S101" s="41" t="str">
        <f t="shared" si="5"/>
        <v/>
      </c>
    </row>
    <row r="102" spans="1:19" x14ac:dyDescent="0.2">
      <c r="A102" s="4">
        <v>94</v>
      </c>
      <c r="B102" s="81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3"/>
        <v>0</v>
      </c>
      <c r="R102" s="41">
        <f t="shared" si="4"/>
        <v>0</v>
      </c>
      <c r="S102" s="41" t="str">
        <f t="shared" si="5"/>
        <v/>
      </c>
    </row>
    <row r="103" spans="1:19" x14ac:dyDescent="0.2">
      <c r="A103" s="4">
        <v>95</v>
      </c>
      <c r="B103" s="81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3"/>
        <v>0</v>
      </c>
      <c r="R103" s="41">
        <f t="shared" si="4"/>
        <v>0</v>
      </c>
      <c r="S103" s="41" t="str">
        <f t="shared" si="5"/>
        <v/>
      </c>
    </row>
    <row r="104" spans="1:19" x14ac:dyDescent="0.2">
      <c r="A104" s="4">
        <v>96</v>
      </c>
      <c r="B104" s="81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3"/>
        <v>0</v>
      </c>
      <c r="R104" s="41">
        <f t="shared" si="4"/>
        <v>0</v>
      </c>
      <c r="S104" s="41" t="str">
        <f t="shared" si="5"/>
        <v/>
      </c>
    </row>
    <row r="105" spans="1:19" x14ac:dyDescent="0.2">
      <c r="A105" s="4">
        <v>97</v>
      </c>
      <c r="B105" s="81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3"/>
        <v>0</v>
      </c>
      <c r="R105" s="41">
        <f t="shared" si="4"/>
        <v>0</v>
      </c>
      <c r="S105" s="41" t="str">
        <f t="shared" si="5"/>
        <v/>
      </c>
    </row>
    <row r="106" spans="1:19" x14ac:dyDescent="0.2">
      <c r="A106" s="4">
        <v>98</v>
      </c>
      <c r="B106" s="81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3"/>
        <v>0</v>
      </c>
      <c r="R106" s="41">
        <f t="shared" si="4"/>
        <v>0</v>
      </c>
      <c r="S106" s="41" t="str">
        <f t="shared" si="5"/>
        <v/>
      </c>
    </row>
    <row r="107" spans="1:19" x14ac:dyDescent="0.2">
      <c r="A107" s="4">
        <v>99</v>
      </c>
      <c r="B107" s="81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3"/>
        <v>0</v>
      </c>
      <c r="R107" s="41">
        <f t="shared" si="4"/>
        <v>0</v>
      </c>
      <c r="S107" s="41" t="str">
        <f t="shared" si="5"/>
        <v/>
      </c>
    </row>
    <row r="108" spans="1:19" x14ac:dyDescent="0.2">
      <c r="A108" s="4">
        <v>100</v>
      </c>
      <c r="B108" s="81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3"/>
        <v>0</v>
      </c>
      <c r="R108" s="41">
        <f t="shared" si="4"/>
        <v>0</v>
      </c>
      <c r="S108" s="41" t="str">
        <f t="shared" si="5"/>
        <v/>
      </c>
    </row>
    <row r="109" spans="1:19" x14ac:dyDescent="0.2">
      <c r="A109" s="4">
        <v>101</v>
      </c>
      <c r="B109" s="81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3"/>
        <v>0</v>
      </c>
      <c r="R109" s="41">
        <f t="shared" si="4"/>
        <v>0</v>
      </c>
      <c r="S109" s="41" t="str">
        <f t="shared" si="5"/>
        <v/>
      </c>
    </row>
    <row r="110" spans="1:19" x14ac:dyDescent="0.2">
      <c r="A110" s="4">
        <v>102</v>
      </c>
      <c r="B110" s="81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3"/>
        <v>0</v>
      </c>
      <c r="R110" s="41">
        <f t="shared" si="4"/>
        <v>0</v>
      </c>
      <c r="S110" s="41" t="str">
        <f t="shared" si="5"/>
        <v/>
      </c>
    </row>
    <row r="111" spans="1:19" x14ac:dyDescent="0.2">
      <c r="A111" s="4">
        <v>103</v>
      </c>
      <c r="B111" s="81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3"/>
        <v>0</v>
      </c>
      <c r="R111" s="41">
        <f t="shared" si="4"/>
        <v>0</v>
      </c>
      <c r="S111" s="41" t="str">
        <f t="shared" si="5"/>
        <v/>
      </c>
    </row>
    <row r="112" spans="1:19" x14ac:dyDescent="0.2">
      <c r="A112" s="4">
        <v>104</v>
      </c>
      <c r="B112" s="81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3"/>
        <v>0</v>
      </c>
      <c r="R112" s="41">
        <f t="shared" si="4"/>
        <v>0</v>
      </c>
      <c r="S112" s="41" t="str">
        <f t="shared" si="5"/>
        <v/>
      </c>
    </row>
    <row r="113" spans="1:19" x14ac:dyDescent="0.2">
      <c r="A113" s="4">
        <v>105</v>
      </c>
      <c r="B113" s="81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3"/>
        <v>0</v>
      </c>
      <c r="R113" s="41">
        <f t="shared" si="4"/>
        <v>0</v>
      </c>
      <c r="S113" s="41" t="str">
        <f t="shared" si="5"/>
        <v/>
      </c>
    </row>
    <row r="114" spans="1:19" x14ac:dyDescent="0.2">
      <c r="A114" s="4">
        <v>106</v>
      </c>
      <c r="B114" s="81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3"/>
        <v>0</v>
      </c>
      <c r="R114" s="41">
        <f t="shared" si="4"/>
        <v>0</v>
      </c>
      <c r="S114" s="41" t="str">
        <f t="shared" si="5"/>
        <v/>
      </c>
    </row>
    <row r="115" spans="1:19" x14ac:dyDescent="0.2">
      <c r="A115" s="4">
        <v>107</v>
      </c>
      <c r="B115" s="81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3"/>
        <v>0</v>
      </c>
      <c r="R115" s="41">
        <f t="shared" si="4"/>
        <v>0</v>
      </c>
      <c r="S115" s="41" t="str">
        <f t="shared" si="5"/>
        <v/>
      </c>
    </row>
    <row r="116" spans="1:19" x14ac:dyDescent="0.2">
      <c r="A116" s="4">
        <v>108</v>
      </c>
      <c r="B116" s="81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3"/>
        <v>0</v>
      </c>
      <c r="R116" s="41">
        <f t="shared" si="4"/>
        <v>0</v>
      </c>
      <c r="S116" s="41" t="str">
        <f t="shared" si="5"/>
        <v/>
      </c>
    </row>
    <row r="117" spans="1:19" x14ac:dyDescent="0.2">
      <c r="A117" s="4">
        <v>109</v>
      </c>
      <c r="B117" s="81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3"/>
        <v>0</v>
      </c>
      <c r="R117" s="41">
        <f t="shared" si="4"/>
        <v>0</v>
      </c>
      <c r="S117" s="41" t="str">
        <f t="shared" si="5"/>
        <v/>
      </c>
    </row>
    <row r="118" spans="1:19" x14ac:dyDescent="0.2">
      <c r="A118" s="4">
        <v>110</v>
      </c>
      <c r="B118" s="81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3"/>
        <v>0</v>
      </c>
      <c r="R118" s="41">
        <f t="shared" si="4"/>
        <v>0</v>
      </c>
      <c r="S118" s="41" t="str">
        <f t="shared" si="5"/>
        <v/>
      </c>
    </row>
    <row r="119" spans="1:19" x14ac:dyDescent="0.2">
      <c r="A119" s="4">
        <v>111</v>
      </c>
      <c r="B119" s="81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3"/>
        <v>0</v>
      </c>
      <c r="R119" s="41">
        <f t="shared" si="4"/>
        <v>0</v>
      </c>
      <c r="S119" s="41" t="str">
        <f t="shared" si="5"/>
        <v/>
      </c>
    </row>
    <row r="120" spans="1:19" x14ac:dyDescent="0.2">
      <c r="A120" s="4">
        <v>112</v>
      </c>
      <c r="B120" s="81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3"/>
        <v>0</v>
      </c>
      <c r="R120" s="41">
        <f t="shared" si="4"/>
        <v>0</v>
      </c>
      <c r="S120" s="41" t="str">
        <f t="shared" si="5"/>
        <v/>
      </c>
    </row>
    <row r="121" spans="1:19" x14ac:dyDescent="0.2">
      <c r="A121" s="4">
        <v>113</v>
      </c>
      <c r="B121" s="81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3"/>
        <v>0</v>
      </c>
      <c r="R121" s="41">
        <f t="shared" si="4"/>
        <v>0</v>
      </c>
      <c r="S121" s="41" t="str">
        <f t="shared" si="5"/>
        <v/>
      </c>
    </row>
    <row r="122" spans="1:19" x14ac:dyDescent="0.2">
      <c r="A122" s="4">
        <v>114</v>
      </c>
      <c r="B122" s="81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3"/>
        <v>0</v>
      </c>
      <c r="R122" s="41">
        <f t="shared" si="4"/>
        <v>0</v>
      </c>
      <c r="S122" s="41" t="str">
        <f t="shared" si="5"/>
        <v/>
      </c>
    </row>
    <row r="123" spans="1:19" x14ac:dyDescent="0.2">
      <c r="A123" s="4">
        <v>115</v>
      </c>
      <c r="B123" s="81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3"/>
        <v>0</v>
      </c>
      <c r="R123" s="41">
        <f t="shared" si="4"/>
        <v>0</v>
      </c>
      <c r="S123" s="41" t="str">
        <f t="shared" si="5"/>
        <v/>
      </c>
    </row>
    <row r="124" spans="1:19" x14ac:dyDescent="0.2">
      <c r="A124" s="4">
        <v>116</v>
      </c>
      <c r="B124" s="81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3"/>
        <v>0</v>
      </c>
      <c r="R124" s="41">
        <f t="shared" si="4"/>
        <v>0</v>
      </c>
      <c r="S124" s="41" t="str">
        <f t="shared" si="5"/>
        <v/>
      </c>
    </row>
    <row r="125" spans="1:19" x14ac:dyDescent="0.2">
      <c r="A125" s="4">
        <v>117</v>
      </c>
      <c r="B125" s="81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3"/>
        <v>0</v>
      </c>
      <c r="R125" s="41">
        <f t="shared" si="4"/>
        <v>0</v>
      </c>
      <c r="S125" s="41" t="str">
        <f t="shared" si="5"/>
        <v/>
      </c>
    </row>
    <row r="126" spans="1:19" x14ac:dyDescent="0.2">
      <c r="A126" s="4">
        <v>118</v>
      </c>
      <c r="B126" s="81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3"/>
        <v>0</v>
      </c>
      <c r="R126" s="41">
        <f t="shared" si="4"/>
        <v>0</v>
      </c>
      <c r="S126" s="41" t="str">
        <f t="shared" si="5"/>
        <v/>
      </c>
    </row>
    <row r="127" spans="1:19" x14ac:dyDescent="0.2">
      <c r="A127" s="4">
        <v>119</v>
      </c>
      <c r="B127" s="81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3"/>
        <v>0</v>
      </c>
      <c r="R127" s="41">
        <f t="shared" si="4"/>
        <v>0</v>
      </c>
      <c r="S127" s="41" t="str">
        <f t="shared" si="5"/>
        <v/>
      </c>
    </row>
    <row r="128" spans="1:19" x14ac:dyDescent="0.2">
      <c r="A128" s="4">
        <v>120</v>
      </c>
      <c r="B128" s="81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3"/>
        <v>0</v>
      </c>
      <c r="R128" s="41">
        <f t="shared" si="4"/>
        <v>0</v>
      </c>
      <c r="S128" s="41" t="str">
        <f t="shared" si="5"/>
        <v/>
      </c>
    </row>
    <row r="129" spans="1:19" x14ac:dyDescent="0.2">
      <c r="A129" s="4">
        <v>121</v>
      </c>
      <c r="B129" s="81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3"/>
        <v>0</v>
      </c>
      <c r="R129" s="41">
        <f t="shared" si="4"/>
        <v>0</v>
      </c>
      <c r="S129" s="41" t="str">
        <f t="shared" si="5"/>
        <v/>
      </c>
    </row>
    <row r="130" spans="1:19" x14ac:dyDescent="0.2">
      <c r="A130" s="4">
        <v>122</v>
      </c>
      <c r="B130" s="81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3"/>
        <v>0</v>
      </c>
      <c r="R130" s="41">
        <f t="shared" si="4"/>
        <v>0</v>
      </c>
      <c r="S130" s="41" t="str">
        <f t="shared" si="5"/>
        <v/>
      </c>
    </row>
    <row r="131" spans="1:19" x14ac:dyDescent="0.2">
      <c r="A131" s="4">
        <v>123</v>
      </c>
      <c r="B131" s="81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3"/>
        <v>0</v>
      </c>
      <c r="R131" s="41">
        <f t="shared" si="4"/>
        <v>0</v>
      </c>
      <c r="S131" s="41" t="str">
        <f t="shared" si="5"/>
        <v/>
      </c>
    </row>
    <row r="132" spans="1:19" x14ac:dyDescent="0.2">
      <c r="A132" s="4">
        <v>124</v>
      </c>
      <c r="B132" s="81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3"/>
        <v>0</v>
      </c>
      <c r="R132" s="41">
        <f t="shared" si="4"/>
        <v>0</v>
      </c>
      <c r="S132" s="41" t="str">
        <f t="shared" si="5"/>
        <v/>
      </c>
    </row>
    <row r="133" spans="1:19" x14ac:dyDescent="0.2">
      <c r="A133" s="4">
        <v>125</v>
      </c>
      <c r="B133" s="81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3"/>
        <v>0</v>
      </c>
      <c r="R133" s="41">
        <f t="shared" si="4"/>
        <v>0</v>
      </c>
      <c r="S133" s="41" t="str">
        <f t="shared" si="5"/>
        <v/>
      </c>
    </row>
    <row r="134" spans="1:19" x14ac:dyDescent="0.2">
      <c r="A134" s="4">
        <v>126</v>
      </c>
      <c r="B134" s="81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3"/>
        <v>0</v>
      </c>
      <c r="R134" s="41">
        <f t="shared" si="4"/>
        <v>0</v>
      </c>
      <c r="S134" s="41" t="str">
        <f t="shared" si="5"/>
        <v/>
      </c>
    </row>
    <row r="135" spans="1:19" x14ac:dyDescent="0.2">
      <c r="A135" s="4">
        <v>127</v>
      </c>
      <c r="B135" s="81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3"/>
        <v>0</v>
      </c>
      <c r="R135" s="41">
        <f t="shared" si="4"/>
        <v>0</v>
      </c>
      <c r="S135" s="41" t="str">
        <f t="shared" si="5"/>
        <v/>
      </c>
    </row>
    <row r="136" spans="1:19" x14ac:dyDescent="0.2">
      <c r="A136" s="4">
        <v>128</v>
      </c>
      <c r="B136" s="81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3"/>
        <v>0</v>
      </c>
      <c r="R136" s="41">
        <f t="shared" si="4"/>
        <v>0</v>
      </c>
      <c r="S136" s="41" t="str">
        <f t="shared" si="5"/>
        <v/>
      </c>
    </row>
    <row r="137" spans="1:19" x14ac:dyDescent="0.2">
      <c r="A137" s="4">
        <v>129</v>
      </c>
      <c r="B137" s="81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3"/>
        <v>0</v>
      </c>
      <c r="R137" s="41">
        <f t="shared" si="4"/>
        <v>0</v>
      </c>
      <c r="S137" s="41" t="str">
        <f t="shared" si="5"/>
        <v/>
      </c>
    </row>
    <row r="138" spans="1:19" x14ac:dyDescent="0.2">
      <c r="A138" s="4">
        <v>130</v>
      </c>
      <c r="B138" s="81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6">E138*F138</f>
        <v>0</v>
      </c>
      <c r="R138" s="41">
        <f t="shared" ref="R138:R201" si="7">Q138+(Q138*H138)</f>
        <v>0</v>
      </c>
      <c r="S138" s="41" t="str">
        <f t="shared" ref="S138:S201" si="8">IF(O138=$V$3,R138-(R138*G138),IF(O138=$V$4,-P138,""))</f>
        <v/>
      </c>
    </row>
    <row r="139" spans="1:19" x14ac:dyDescent="0.2">
      <c r="A139" s="4">
        <v>131</v>
      </c>
      <c r="B139" s="81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6"/>
        <v>0</v>
      </c>
      <c r="R139" s="41">
        <f t="shared" si="7"/>
        <v>0</v>
      </c>
      <c r="S139" s="41" t="str">
        <f t="shared" si="8"/>
        <v/>
      </c>
    </row>
    <row r="140" spans="1:19" x14ac:dyDescent="0.2">
      <c r="A140" s="4">
        <v>132</v>
      </c>
      <c r="B140" s="81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6"/>
        <v>0</v>
      </c>
      <c r="R140" s="41">
        <f t="shared" si="7"/>
        <v>0</v>
      </c>
      <c r="S140" s="41" t="str">
        <f t="shared" si="8"/>
        <v/>
      </c>
    </row>
    <row r="141" spans="1:19" x14ac:dyDescent="0.2">
      <c r="A141" s="4">
        <v>133</v>
      </c>
      <c r="B141" s="81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6"/>
        <v>0</v>
      </c>
      <c r="R141" s="41">
        <f t="shared" si="7"/>
        <v>0</v>
      </c>
      <c r="S141" s="41" t="str">
        <f t="shared" si="8"/>
        <v/>
      </c>
    </row>
    <row r="142" spans="1:19" x14ac:dyDescent="0.2">
      <c r="A142" s="4">
        <v>134</v>
      </c>
      <c r="B142" s="81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6"/>
        <v>0</v>
      </c>
      <c r="R142" s="41">
        <f t="shared" si="7"/>
        <v>0</v>
      </c>
      <c r="S142" s="41" t="str">
        <f t="shared" si="8"/>
        <v/>
      </c>
    </row>
    <row r="143" spans="1:19" x14ac:dyDescent="0.2">
      <c r="A143" s="4">
        <v>135</v>
      </c>
      <c r="B143" s="81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6"/>
        <v>0</v>
      </c>
      <c r="R143" s="41">
        <f t="shared" si="7"/>
        <v>0</v>
      </c>
      <c r="S143" s="41" t="str">
        <f t="shared" si="8"/>
        <v/>
      </c>
    </row>
    <row r="144" spans="1:19" x14ac:dyDescent="0.2">
      <c r="A144" s="4">
        <v>136</v>
      </c>
      <c r="B144" s="81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6"/>
        <v>0</v>
      </c>
      <c r="R144" s="41">
        <f t="shared" si="7"/>
        <v>0</v>
      </c>
      <c r="S144" s="41" t="str">
        <f t="shared" si="8"/>
        <v/>
      </c>
    </row>
    <row r="145" spans="1:19" x14ac:dyDescent="0.2">
      <c r="A145" s="4">
        <v>137</v>
      </c>
      <c r="B145" s="81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6"/>
        <v>0</v>
      </c>
      <c r="R145" s="41">
        <f t="shared" si="7"/>
        <v>0</v>
      </c>
      <c r="S145" s="41" t="str">
        <f t="shared" si="8"/>
        <v/>
      </c>
    </row>
    <row r="146" spans="1:19" x14ac:dyDescent="0.2">
      <c r="A146" s="4">
        <v>138</v>
      </c>
      <c r="B146" s="81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6"/>
        <v>0</v>
      </c>
      <c r="R146" s="41">
        <f t="shared" si="7"/>
        <v>0</v>
      </c>
      <c r="S146" s="41" t="str">
        <f t="shared" si="8"/>
        <v/>
      </c>
    </row>
    <row r="147" spans="1:19" x14ac:dyDescent="0.2">
      <c r="A147" s="4">
        <v>139</v>
      </c>
      <c r="B147" s="81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6"/>
        <v>0</v>
      </c>
      <c r="R147" s="41">
        <f t="shared" si="7"/>
        <v>0</v>
      </c>
      <c r="S147" s="41" t="str">
        <f t="shared" si="8"/>
        <v/>
      </c>
    </row>
    <row r="148" spans="1:19" x14ac:dyDescent="0.2">
      <c r="A148" s="4">
        <v>140</v>
      </c>
      <c r="B148" s="81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6"/>
        <v>0</v>
      </c>
      <c r="R148" s="41">
        <f t="shared" si="7"/>
        <v>0</v>
      </c>
      <c r="S148" s="41" t="str">
        <f t="shared" si="8"/>
        <v/>
      </c>
    </row>
    <row r="149" spans="1:19" x14ac:dyDescent="0.2">
      <c r="A149" s="4">
        <v>141</v>
      </c>
      <c r="B149" s="81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6"/>
        <v>0</v>
      </c>
      <c r="R149" s="41">
        <f t="shared" si="7"/>
        <v>0</v>
      </c>
      <c r="S149" s="41" t="str">
        <f t="shared" si="8"/>
        <v/>
      </c>
    </row>
    <row r="150" spans="1:19" x14ac:dyDescent="0.2">
      <c r="A150" s="4">
        <v>142</v>
      </c>
      <c r="B150" s="81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6"/>
        <v>0</v>
      </c>
      <c r="R150" s="41">
        <f t="shared" si="7"/>
        <v>0</v>
      </c>
      <c r="S150" s="41" t="str">
        <f t="shared" si="8"/>
        <v/>
      </c>
    </row>
    <row r="151" spans="1:19" x14ac:dyDescent="0.2">
      <c r="A151" s="4">
        <v>143</v>
      </c>
      <c r="B151" s="81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6"/>
        <v>0</v>
      </c>
      <c r="R151" s="41">
        <f t="shared" si="7"/>
        <v>0</v>
      </c>
      <c r="S151" s="41" t="str">
        <f t="shared" si="8"/>
        <v/>
      </c>
    </row>
    <row r="152" spans="1:19" x14ac:dyDescent="0.2">
      <c r="A152" s="4">
        <v>144</v>
      </c>
      <c r="B152" s="81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6"/>
        <v>0</v>
      </c>
      <c r="R152" s="41">
        <f t="shared" si="7"/>
        <v>0</v>
      </c>
      <c r="S152" s="41" t="str">
        <f t="shared" si="8"/>
        <v/>
      </c>
    </row>
    <row r="153" spans="1:19" x14ac:dyDescent="0.2">
      <c r="A153" s="4">
        <v>145</v>
      </c>
      <c r="B153" s="81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6"/>
        <v>0</v>
      </c>
      <c r="R153" s="41">
        <f t="shared" si="7"/>
        <v>0</v>
      </c>
      <c r="S153" s="41" t="str">
        <f t="shared" si="8"/>
        <v/>
      </c>
    </row>
    <row r="154" spans="1:19" x14ac:dyDescent="0.2">
      <c r="A154" s="4">
        <v>146</v>
      </c>
      <c r="B154" s="81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6"/>
        <v>0</v>
      </c>
      <c r="R154" s="41">
        <f t="shared" si="7"/>
        <v>0</v>
      </c>
      <c r="S154" s="41" t="str">
        <f t="shared" si="8"/>
        <v/>
      </c>
    </row>
    <row r="155" spans="1:19" x14ac:dyDescent="0.2">
      <c r="A155" s="4">
        <v>147</v>
      </c>
      <c r="B155" s="81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6"/>
        <v>0</v>
      </c>
      <c r="R155" s="41">
        <f t="shared" si="7"/>
        <v>0</v>
      </c>
      <c r="S155" s="41" t="str">
        <f t="shared" si="8"/>
        <v/>
      </c>
    </row>
    <row r="156" spans="1:19" x14ac:dyDescent="0.2">
      <c r="A156" s="4">
        <v>148</v>
      </c>
      <c r="B156" s="81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6"/>
        <v>0</v>
      </c>
      <c r="R156" s="41">
        <f t="shared" si="7"/>
        <v>0</v>
      </c>
      <c r="S156" s="41" t="str">
        <f t="shared" si="8"/>
        <v/>
      </c>
    </row>
    <row r="157" spans="1:19" x14ac:dyDescent="0.2">
      <c r="A157" s="4">
        <v>149</v>
      </c>
      <c r="B157" s="81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6"/>
        <v>0</v>
      </c>
      <c r="R157" s="41">
        <f t="shared" si="7"/>
        <v>0</v>
      </c>
      <c r="S157" s="41" t="str">
        <f t="shared" si="8"/>
        <v/>
      </c>
    </row>
    <row r="158" spans="1:19" x14ac:dyDescent="0.2">
      <c r="A158" s="4">
        <v>150</v>
      </c>
      <c r="B158" s="81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6"/>
        <v>0</v>
      </c>
      <c r="R158" s="41">
        <f t="shared" si="7"/>
        <v>0</v>
      </c>
      <c r="S158" s="41" t="str">
        <f t="shared" si="8"/>
        <v/>
      </c>
    </row>
    <row r="159" spans="1:19" x14ac:dyDescent="0.2">
      <c r="A159" s="4">
        <v>151</v>
      </c>
      <c r="B159" s="81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6"/>
        <v>0</v>
      </c>
      <c r="R159" s="41">
        <f t="shared" si="7"/>
        <v>0</v>
      </c>
      <c r="S159" s="41" t="str">
        <f t="shared" si="8"/>
        <v/>
      </c>
    </row>
    <row r="160" spans="1:19" x14ac:dyDescent="0.2">
      <c r="A160" s="4">
        <v>152</v>
      </c>
      <c r="B160" s="81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6"/>
        <v>0</v>
      </c>
      <c r="R160" s="41">
        <f t="shared" si="7"/>
        <v>0</v>
      </c>
      <c r="S160" s="41" t="str">
        <f t="shared" si="8"/>
        <v/>
      </c>
    </row>
    <row r="161" spans="1:19" x14ac:dyDescent="0.2">
      <c r="A161" s="4">
        <v>153</v>
      </c>
      <c r="B161" s="81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6"/>
        <v>0</v>
      </c>
      <c r="R161" s="41">
        <f t="shared" si="7"/>
        <v>0</v>
      </c>
      <c r="S161" s="41" t="str">
        <f t="shared" si="8"/>
        <v/>
      </c>
    </row>
    <row r="162" spans="1:19" x14ac:dyDescent="0.2">
      <c r="A162" s="4">
        <v>154</v>
      </c>
      <c r="B162" s="81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6"/>
        <v>0</v>
      </c>
      <c r="R162" s="41">
        <f t="shared" si="7"/>
        <v>0</v>
      </c>
      <c r="S162" s="41" t="str">
        <f t="shared" si="8"/>
        <v/>
      </c>
    </row>
    <row r="163" spans="1:19" x14ac:dyDescent="0.2">
      <c r="A163" s="4">
        <v>155</v>
      </c>
      <c r="B163" s="81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6"/>
        <v>0</v>
      </c>
      <c r="R163" s="41">
        <f t="shared" si="7"/>
        <v>0</v>
      </c>
      <c r="S163" s="41" t="str">
        <f t="shared" si="8"/>
        <v/>
      </c>
    </row>
    <row r="164" spans="1:19" x14ac:dyDescent="0.2">
      <c r="A164" s="4">
        <v>156</v>
      </c>
      <c r="B164" s="81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6"/>
        <v>0</v>
      </c>
      <c r="R164" s="41">
        <f t="shared" si="7"/>
        <v>0</v>
      </c>
      <c r="S164" s="41" t="str">
        <f t="shared" si="8"/>
        <v/>
      </c>
    </row>
    <row r="165" spans="1:19" x14ac:dyDescent="0.2">
      <c r="A165" s="4">
        <v>157</v>
      </c>
      <c r="B165" s="81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6"/>
        <v>0</v>
      </c>
      <c r="R165" s="41">
        <f t="shared" si="7"/>
        <v>0</v>
      </c>
      <c r="S165" s="41" t="str">
        <f t="shared" si="8"/>
        <v/>
      </c>
    </row>
    <row r="166" spans="1:19" x14ac:dyDescent="0.2">
      <c r="A166" s="4">
        <v>158</v>
      </c>
      <c r="B166" s="81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6"/>
        <v>0</v>
      </c>
      <c r="R166" s="41">
        <f t="shared" si="7"/>
        <v>0</v>
      </c>
      <c r="S166" s="41" t="str">
        <f t="shared" si="8"/>
        <v/>
      </c>
    </row>
    <row r="167" spans="1:19" x14ac:dyDescent="0.2">
      <c r="A167" s="4">
        <v>159</v>
      </c>
      <c r="B167" s="81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6"/>
        <v>0</v>
      </c>
      <c r="R167" s="41">
        <f t="shared" si="7"/>
        <v>0</v>
      </c>
      <c r="S167" s="41" t="str">
        <f t="shared" si="8"/>
        <v/>
      </c>
    </row>
    <row r="168" spans="1:19" x14ac:dyDescent="0.2">
      <c r="A168" s="4">
        <v>160</v>
      </c>
      <c r="B168" s="81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6"/>
        <v>0</v>
      </c>
      <c r="R168" s="41">
        <f t="shared" si="7"/>
        <v>0</v>
      </c>
      <c r="S168" s="41" t="str">
        <f t="shared" si="8"/>
        <v/>
      </c>
    </row>
    <row r="169" spans="1:19" x14ac:dyDescent="0.2">
      <c r="A169" s="4">
        <v>161</v>
      </c>
      <c r="B169" s="81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6"/>
        <v>0</v>
      </c>
      <c r="R169" s="41">
        <f t="shared" si="7"/>
        <v>0</v>
      </c>
      <c r="S169" s="41" t="str">
        <f t="shared" si="8"/>
        <v/>
      </c>
    </row>
    <row r="170" spans="1:19" x14ac:dyDescent="0.2">
      <c r="A170" s="4">
        <v>162</v>
      </c>
      <c r="B170" s="81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6"/>
        <v>0</v>
      </c>
      <c r="R170" s="41">
        <f t="shared" si="7"/>
        <v>0</v>
      </c>
      <c r="S170" s="41" t="str">
        <f t="shared" si="8"/>
        <v/>
      </c>
    </row>
    <row r="171" spans="1:19" x14ac:dyDescent="0.2">
      <c r="A171" s="4">
        <v>163</v>
      </c>
      <c r="B171" s="81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6"/>
        <v>0</v>
      </c>
      <c r="R171" s="41">
        <f t="shared" si="7"/>
        <v>0</v>
      </c>
      <c r="S171" s="41" t="str">
        <f t="shared" si="8"/>
        <v/>
      </c>
    </row>
    <row r="172" spans="1:19" x14ac:dyDescent="0.2">
      <c r="A172" s="4">
        <v>164</v>
      </c>
      <c r="B172" s="81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6"/>
        <v>0</v>
      </c>
      <c r="R172" s="41">
        <f t="shared" si="7"/>
        <v>0</v>
      </c>
      <c r="S172" s="41" t="str">
        <f t="shared" si="8"/>
        <v/>
      </c>
    </row>
    <row r="173" spans="1:19" x14ac:dyDescent="0.2">
      <c r="A173" s="4">
        <v>165</v>
      </c>
      <c r="B173" s="81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6"/>
        <v>0</v>
      </c>
      <c r="R173" s="41">
        <f t="shared" si="7"/>
        <v>0</v>
      </c>
      <c r="S173" s="41" t="str">
        <f t="shared" si="8"/>
        <v/>
      </c>
    </row>
    <row r="174" spans="1:19" x14ac:dyDescent="0.2">
      <c r="A174" s="4">
        <v>166</v>
      </c>
      <c r="B174" s="81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6"/>
        <v>0</v>
      </c>
      <c r="R174" s="41">
        <f t="shared" si="7"/>
        <v>0</v>
      </c>
      <c r="S174" s="41" t="str">
        <f t="shared" si="8"/>
        <v/>
      </c>
    </row>
    <row r="175" spans="1:19" x14ac:dyDescent="0.2">
      <c r="A175" s="4">
        <v>167</v>
      </c>
      <c r="B175" s="81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6"/>
        <v>0</v>
      </c>
      <c r="R175" s="41">
        <f t="shared" si="7"/>
        <v>0</v>
      </c>
      <c r="S175" s="41" t="str">
        <f t="shared" si="8"/>
        <v/>
      </c>
    </row>
    <row r="176" spans="1:19" x14ac:dyDescent="0.2">
      <c r="A176" s="4">
        <v>168</v>
      </c>
      <c r="B176" s="81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6"/>
        <v>0</v>
      </c>
      <c r="R176" s="41">
        <f t="shared" si="7"/>
        <v>0</v>
      </c>
      <c r="S176" s="41" t="str">
        <f t="shared" si="8"/>
        <v/>
      </c>
    </row>
    <row r="177" spans="1:19" x14ac:dyDescent="0.2">
      <c r="A177" s="4">
        <v>169</v>
      </c>
      <c r="B177" s="81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6"/>
        <v>0</v>
      </c>
      <c r="R177" s="41">
        <f t="shared" si="7"/>
        <v>0</v>
      </c>
      <c r="S177" s="41" t="str">
        <f t="shared" si="8"/>
        <v/>
      </c>
    </row>
    <row r="178" spans="1:19" x14ac:dyDescent="0.2">
      <c r="A178" s="4">
        <v>170</v>
      </c>
      <c r="B178" s="81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6"/>
        <v>0</v>
      </c>
      <c r="R178" s="41">
        <f t="shared" si="7"/>
        <v>0</v>
      </c>
      <c r="S178" s="41" t="str">
        <f t="shared" si="8"/>
        <v/>
      </c>
    </row>
    <row r="179" spans="1:19" x14ac:dyDescent="0.2">
      <c r="A179" s="4">
        <v>171</v>
      </c>
      <c r="B179" s="81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6"/>
        <v>0</v>
      </c>
      <c r="R179" s="41">
        <f t="shared" si="7"/>
        <v>0</v>
      </c>
      <c r="S179" s="41" t="str">
        <f t="shared" si="8"/>
        <v/>
      </c>
    </row>
    <row r="180" spans="1:19" x14ac:dyDescent="0.2">
      <c r="A180" s="4">
        <v>172</v>
      </c>
      <c r="B180" s="81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6"/>
        <v>0</v>
      </c>
      <c r="R180" s="41">
        <f t="shared" si="7"/>
        <v>0</v>
      </c>
      <c r="S180" s="41" t="str">
        <f t="shared" si="8"/>
        <v/>
      </c>
    </row>
    <row r="181" spans="1:19" x14ac:dyDescent="0.2">
      <c r="A181" s="4">
        <v>173</v>
      </c>
      <c r="B181" s="81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6"/>
        <v>0</v>
      </c>
      <c r="R181" s="41">
        <f t="shared" si="7"/>
        <v>0</v>
      </c>
      <c r="S181" s="41" t="str">
        <f t="shared" si="8"/>
        <v/>
      </c>
    </row>
    <row r="182" spans="1:19" x14ac:dyDescent="0.2">
      <c r="A182" s="4">
        <v>174</v>
      </c>
      <c r="B182" s="81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6"/>
        <v>0</v>
      </c>
      <c r="R182" s="41">
        <f t="shared" si="7"/>
        <v>0</v>
      </c>
      <c r="S182" s="41" t="str">
        <f t="shared" si="8"/>
        <v/>
      </c>
    </row>
    <row r="183" spans="1:19" x14ac:dyDescent="0.2">
      <c r="A183" s="4">
        <v>175</v>
      </c>
      <c r="B183" s="81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6"/>
        <v>0</v>
      </c>
      <c r="R183" s="41">
        <f t="shared" si="7"/>
        <v>0</v>
      </c>
      <c r="S183" s="41" t="str">
        <f t="shared" si="8"/>
        <v/>
      </c>
    </row>
    <row r="184" spans="1:19" x14ac:dyDescent="0.2">
      <c r="A184" s="4">
        <v>176</v>
      </c>
      <c r="B184" s="81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6"/>
        <v>0</v>
      </c>
      <c r="R184" s="41">
        <f t="shared" si="7"/>
        <v>0</v>
      </c>
      <c r="S184" s="41" t="str">
        <f t="shared" si="8"/>
        <v/>
      </c>
    </row>
    <row r="185" spans="1:19" x14ac:dyDescent="0.2">
      <c r="A185" s="4">
        <v>177</v>
      </c>
      <c r="B185" s="81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6"/>
        <v>0</v>
      </c>
      <c r="R185" s="41">
        <f t="shared" si="7"/>
        <v>0</v>
      </c>
      <c r="S185" s="41" t="str">
        <f t="shared" si="8"/>
        <v/>
      </c>
    </row>
    <row r="186" spans="1:19" x14ac:dyDescent="0.2">
      <c r="A186" s="4">
        <v>178</v>
      </c>
      <c r="B186" s="81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6"/>
        <v>0</v>
      </c>
      <c r="R186" s="41">
        <f t="shared" si="7"/>
        <v>0</v>
      </c>
      <c r="S186" s="41" t="str">
        <f t="shared" si="8"/>
        <v/>
      </c>
    </row>
    <row r="187" spans="1:19" x14ac:dyDescent="0.2">
      <c r="A187" s="4">
        <v>179</v>
      </c>
      <c r="B187" s="81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6"/>
        <v>0</v>
      </c>
      <c r="R187" s="41">
        <f t="shared" si="7"/>
        <v>0</v>
      </c>
      <c r="S187" s="41" t="str">
        <f t="shared" si="8"/>
        <v/>
      </c>
    </row>
    <row r="188" spans="1:19" x14ac:dyDescent="0.2">
      <c r="A188" s="4">
        <v>180</v>
      </c>
      <c r="B188" s="81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6"/>
        <v>0</v>
      </c>
      <c r="R188" s="41">
        <f t="shared" si="7"/>
        <v>0</v>
      </c>
      <c r="S188" s="41" t="str">
        <f t="shared" si="8"/>
        <v/>
      </c>
    </row>
    <row r="189" spans="1:19" x14ac:dyDescent="0.2">
      <c r="A189" s="4">
        <v>181</v>
      </c>
      <c r="B189" s="81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6"/>
        <v>0</v>
      </c>
      <c r="R189" s="41">
        <f t="shared" si="7"/>
        <v>0</v>
      </c>
      <c r="S189" s="41" t="str">
        <f t="shared" si="8"/>
        <v/>
      </c>
    </row>
    <row r="190" spans="1:19" x14ac:dyDescent="0.2">
      <c r="A190" s="4">
        <v>182</v>
      </c>
      <c r="B190" s="81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6"/>
        <v>0</v>
      </c>
      <c r="R190" s="41">
        <f t="shared" si="7"/>
        <v>0</v>
      </c>
      <c r="S190" s="41" t="str">
        <f t="shared" si="8"/>
        <v/>
      </c>
    </row>
    <row r="191" spans="1:19" x14ac:dyDescent="0.2">
      <c r="A191" s="4">
        <v>183</v>
      </c>
      <c r="B191" s="81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6"/>
        <v>0</v>
      </c>
      <c r="R191" s="41">
        <f t="shared" si="7"/>
        <v>0</v>
      </c>
      <c r="S191" s="41" t="str">
        <f t="shared" si="8"/>
        <v/>
      </c>
    </row>
    <row r="192" spans="1:19" x14ac:dyDescent="0.2">
      <c r="A192" s="4">
        <v>184</v>
      </c>
      <c r="B192" s="81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6"/>
        <v>0</v>
      </c>
      <c r="R192" s="41">
        <f t="shared" si="7"/>
        <v>0</v>
      </c>
      <c r="S192" s="41" t="str">
        <f t="shared" si="8"/>
        <v/>
      </c>
    </row>
    <row r="193" spans="1:19" x14ac:dyDescent="0.2">
      <c r="A193" s="4">
        <v>185</v>
      </c>
      <c r="B193" s="81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6"/>
        <v>0</v>
      </c>
      <c r="R193" s="41">
        <f t="shared" si="7"/>
        <v>0</v>
      </c>
      <c r="S193" s="41" t="str">
        <f t="shared" si="8"/>
        <v/>
      </c>
    </row>
    <row r="194" spans="1:19" x14ac:dyDescent="0.2">
      <c r="A194" s="4">
        <v>186</v>
      </c>
      <c r="B194" s="81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6"/>
        <v>0</v>
      </c>
      <c r="R194" s="41">
        <f t="shared" si="7"/>
        <v>0</v>
      </c>
      <c r="S194" s="41" t="str">
        <f t="shared" si="8"/>
        <v/>
      </c>
    </row>
    <row r="195" spans="1:19" x14ac:dyDescent="0.2">
      <c r="A195" s="4">
        <v>187</v>
      </c>
      <c r="B195" s="81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6"/>
        <v>0</v>
      </c>
      <c r="R195" s="41">
        <f t="shared" si="7"/>
        <v>0</v>
      </c>
      <c r="S195" s="41" t="str">
        <f t="shared" si="8"/>
        <v/>
      </c>
    </row>
    <row r="196" spans="1:19" x14ac:dyDescent="0.2">
      <c r="A196" s="4">
        <v>188</v>
      </c>
      <c r="B196" s="81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6"/>
        <v>0</v>
      </c>
      <c r="R196" s="41">
        <f t="shared" si="7"/>
        <v>0</v>
      </c>
      <c r="S196" s="41" t="str">
        <f t="shared" si="8"/>
        <v/>
      </c>
    </row>
    <row r="197" spans="1:19" x14ac:dyDescent="0.2">
      <c r="A197" s="4">
        <v>189</v>
      </c>
      <c r="B197" s="81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6"/>
        <v>0</v>
      </c>
      <c r="R197" s="41">
        <f t="shared" si="7"/>
        <v>0</v>
      </c>
      <c r="S197" s="41" t="str">
        <f t="shared" si="8"/>
        <v/>
      </c>
    </row>
    <row r="198" spans="1:19" x14ac:dyDescent="0.2">
      <c r="A198" s="4">
        <v>190</v>
      </c>
      <c r="B198" s="81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6"/>
        <v>0</v>
      </c>
      <c r="R198" s="41">
        <f t="shared" si="7"/>
        <v>0</v>
      </c>
      <c r="S198" s="41" t="str">
        <f t="shared" si="8"/>
        <v/>
      </c>
    </row>
    <row r="199" spans="1:19" x14ac:dyDescent="0.2">
      <c r="A199" s="4">
        <v>191</v>
      </c>
      <c r="B199" s="81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6"/>
        <v>0</v>
      </c>
      <c r="R199" s="41">
        <f t="shared" si="7"/>
        <v>0</v>
      </c>
      <c r="S199" s="41" t="str">
        <f t="shared" si="8"/>
        <v/>
      </c>
    </row>
    <row r="200" spans="1:19" x14ac:dyDescent="0.2">
      <c r="A200" s="4">
        <v>192</v>
      </c>
      <c r="B200" s="81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6"/>
        <v>0</v>
      </c>
      <c r="R200" s="41">
        <f t="shared" si="7"/>
        <v>0</v>
      </c>
      <c r="S200" s="41" t="str">
        <f t="shared" si="8"/>
        <v/>
      </c>
    </row>
    <row r="201" spans="1:19" x14ac:dyDescent="0.2">
      <c r="A201" s="4">
        <v>193</v>
      </c>
      <c r="B201" s="81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6"/>
        <v>0</v>
      </c>
      <c r="R201" s="41">
        <f t="shared" si="7"/>
        <v>0</v>
      </c>
      <c r="S201" s="41" t="str">
        <f t="shared" si="8"/>
        <v/>
      </c>
    </row>
    <row r="202" spans="1:19" x14ac:dyDescent="0.2">
      <c r="A202" s="4">
        <v>194</v>
      </c>
      <c r="B202" s="81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9">E202*F202</f>
        <v>0</v>
      </c>
      <c r="R202" s="41">
        <f t="shared" ref="R202:R208" si="10">Q202+(Q202*H202)</f>
        <v>0</v>
      </c>
      <c r="S202" s="41" t="str">
        <f t="shared" ref="S202:S208" si="11">IF(O202=$V$3,R202-(R202*G202),IF(O202=$V$4,-P202,""))</f>
        <v/>
      </c>
    </row>
    <row r="203" spans="1:19" x14ac:dyDescent="0.2">
      <c r="A203" s="4">
        <v>195</v>
      </c>
      <c r="B203" s="81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9"/>
        <v>0</v>
      </c>
      <c r="R203" s="41">
        <f t="shared" si="10"/>
        <v>0</v>
      </c>
      <c r="S203" s="41" t="str">
        <f t="shared" si="11"/>
        <v/>
      </c>
    </row>
    <row r="204" spans="1:19" x14ac:dyDescent="0.2">
      <c r="A204" s="4">
        <v>196</v>
      </c>
      <c r="B204" s="81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9"/>
        <v>0</v>
      </c>
      <c r="R204" s="41">
        <f t="shared" si="10"/>
        <v>0</v>
      </c>
      <c r="S204" s="41" t="str">
        <f t="shared" si="11"/>
        <v/>
      </c>
    </row>
    <row r="205" spans="1:19" x14ac:dyDescent="0.2">
      <c r="A205" s="4">
        <v>197</v>
      </c>
      <c r="B205" s="81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9"/>
        <v>0</v>
      </c>
      <c r="R205" s="41">
        <f t="shared" si="10"/>
        <v>0</v>
      </c>
      <c r="S205" s="41" t="str">
        <f t="shared" si="11"/>
        <v/>
      </c>
    </row>
    <row r="206" spans="1:19" x14ac:dyDescent="0.2">
      <c r="A206" s="4">
        <v>198</v>
      </c>
      <c r="B206" s="81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9"/>
        <v>0</v>
      </c>
      <c r="R206" s="41">
        <f t="shared" si="10"/>
        <v>0</v>
      </c>
      <c r="S206" s="41" t="str">
        <f t="shared" si="11"/>
        <v/>
      </c>
    </row>
    <row r="207" spans="1:19" x14ac:dyDescent="0.2">
      <c r="A207" s="4">
        <v>199</v>
      </c>
      <c r="B207" s="81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9"/>
        <v>0</v>
      </c>
      <c r="R207" s="41">
        <f t="shared" si="10"/>
        <v>0</v>
      </c>
      <c r="S207" s="41" t="str">
        <f t="shared" si="11"/>
        <v/>
      </c>
    </row>
    <row r="208" spans="1:19" x14ac:dyDescent="0.2">
      <c r="A208" s="4">
        <v>200</v>
      </c>
      <c r="B208" s="81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9"/>
        <v>0</v>
      </c>
      <c r="R208" s="41">
        <f t="shared" si="10"/>
        <v>0</v>
      </c>
      <c r="S208" s="41" t="str">
        <f t="shared" si="11"/>
        <v/>
      </c>
    </row>
  </sheetData>
  <autoFilter ref="A8:S208" xr:uid="{00000000-0009-0000-0000-000009000000}"/>
  <mergeCells count="2">
    <mergeCell ref="A1:C1"/>
    <mergeCell ref="E1:G1"/>
  </mergeCells>
  <conditionalFormatting sqref="S1:S8 S209:S1048576">
    <cfRule type="cellIs" dxfId="76" priority="4" operator="equal">
      <formula>"ERROR"</formula>
    </cfRule>
  </conditionalFormatting>
  <conditionalFormatting sqref="D4">
    <cfRule type="cellIs" dxfId="75" priority="2" operator="greaterThan">
      <formula>0</formula>
    </cfRule>
    <cfRule type="cellIs" dxfId="74" priority="3" operator="lessThanOrEqual">
      <formula>0</formula>
    </cfRule>
  </conditionalFormatting>
  <conditionalFormatting sqref="S9:S208">
    <cfRule type="cellIs" dxfId="73" priority="1" operator="equal">
      <formula>"ERROR"</formula>
    </cfRule>
  </conditionalFormatting>
  <dataValidations count="1">
    <dataValidation type="list" allowBlank="1" showInputMessage="1" showErrorMessage="1" sqref="O9:O1048576" xr:uid="{FAED7E98-111B-CC43-9B7B-0DD7A1F747F2}">
      <formula1>$V$3:$V$4</formula1>
    </dataValidation>
  </dataValidations>
  <hyperlinks>
    <hyperlink ref="E1:G1" location="'Master Sheet'!A1" display="GO BACK TO MASTER SHEET" xr:uid="{2E93D7AD-5126-3146-9E28-0A25A47AB96D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A38A5684-EB2B-324B-89CD-0A8E083DF6E2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01F6008D-C408-A448-B74D-973F570690BC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C7E6-0350-B74D-8F45-6E00177F26C0}">
  <sheetPr codeName="Sheet36"/>
  <dimension ref="A1:V208"/>
  <sheetViews>
    <sheetView showGridLines="0" topLeftCell="C1" zoomScale="90" workbookViewId="0">
      <pane ySplit="8" topLeftCell="A9" activePane="bottomLeft" state="frozen"/>
      <selection activeCell="C1" sqref="C1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Arcroma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C007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72" priority="3" operator="equal">
      <formula>"ERROR"</formula>
    </cfRule>
  </conditionalFormatting>
  <conditionalFormatting sqref="D4">
    <cfRule type="cellIs" dxfId="71" priority="1" operator="greaterThan">
      <formula>0</formula>
    </cfRule>
    <cfRule type="cellIs" dxfId="70" priority="2" operator="lessThanOrEqual">
      <formula>0</formula>
    </cfRule>
  </conditionalFormatting>
  <dataValidations count="1">
    <dataValidation type="list" allowBlank="1" showInputMessage="1" showErrorMessage="1" sqref="O9:O1048576" xr:uid="{134AC471-C386-824B-8A6F-DDDC63B797B7}">
      <formula1>$U$3:$U$4</formula1>
    </dataValidation>
  </dataValidations>
  <hyperlinks>
    <hyperlink ref="E1:G1" location="'Master Sheet'!A1" display="GO BACK TO MASTER SHEET" xr:uid="{5523631C-A1FA-0247-B5C2-3CB78326784E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040C9B95-58AE-764B-8C4C-69B24FCE0A1A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36D7529A-0E63-4C40-A547-05886E375BF6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44191-14B6-434F-9DE3-EAD1AF2DD918}">
  <sheetPr codeName="Sheet37"/>
  <dimension ref="A1:V208"/>
  <sheetViews>
    <sheetView showGridLines="0" zoomScale="90" workbookViewId="0">
      <pane ySplit="8" topLeftCell="A9" activePane="bottomLeft" state="frozen"/>
      <selection pane="bottomLeft" activeCell="B9" sqref="B9:P10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Clariant Pakistan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C008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69" priority="3" operator="equal">
      <formula>"ERROR"</formula>
    </cfRule>
  </conditionalFormatting>
  <conditionalFormatting sqref="D4">
    <cfRule type="cellIs" dxfId="68" priority="1" operator="greaterThan">
      <formula>0</formula>
    </cfRule>
    <cfRule type="cellIs" dxfId="67" priority="2" operator="lessThanOrEqual">
      <formula>0</formula>
    </cfRule>
  </conditionalFormatting>
  <dataValidations count="1">
    <dataValidation type="list" allowBlank="1" showInputMessage="1" showErrorMessage="1" sqref="O9:O1048576" xr:uid="{83FDA673-D5DA-2F43-A9A5-9B41DDB59F38}">
      <formula1>$U$3:$U$4</formula1>
    </dataValidation>
  </dataValidations>
  <hyperlinks>
    <hyperlink ref="E1:G1" location="'Master Sheet'!A1" display="GO BACK TO MASTER SHEET" xr:uid="{B313BD86-4CD7-5E40-87E0-B58232147001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92858CEA-C848-3D42-A3A5-4090F2CE3939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C0460553-E8E2-1D4F-87EF-F53897E6FDE9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1DF3C-39D8-6541-B8A8-0A3F16291B0C}">
  <sheetPr codeName="Sheet38"/>
  <dimension ref="A1:V208"/>
  <sheetViews>
    <sheetView showGridLines="0" zoomScale="90" workbookViewId="0">
      <pane ySplit="8" topLeftCell="A9" activePane="bottomLeft" state="frozen"/>
      <selection pane="bottomLeft" activeCell="B9" sqref="B9:O10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Iftikhar and company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C009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66" priority="3" operator="equal">
      <formula>"ERROR"</formula>
    </cfRule>
  </conditionalFormatting>
  <conditionalFormatting sqref="D4">
    <cfRule type="cellIs" dxfId="65" priority="1" operator="greaterThan">
      <formula>0</formula>
    </cfRule>
    <cfRule type="cellIs" dxfId="64" priority="2" operator="lessThanOrEqual">
      <formula>0</formula>
    </cfRule>
  </conditionalFormatting>
  <dataValidations count="1">
    <dataValidation type="list" allowBlank="1" showInputMessage="1" showErrorMessage="1" sqref="O9:O1048576" xr:uid="{CB85FC6C-8CAD-BA44-ABFE-0959541EA57A}">
      <formula1>$U$3:$U$4</formula1>
    </dataValidation>
  </dataValidations>
  <hyperlinks>
    <hyperlink ref="E1:G1" location="'Master Sheet'!A1" display="GO BACK TO MASTER SHEET" xr:uid="{56CE5449-2CC6-0845-BA60-D36AB32F0476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5EB0DE7C-96CA-8B41-805E-114E60AECCDA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77958F98-4289-BA47-A298-1EF8F126B126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F778-FB80-124A-BA19-A63B03CCEE4B}">
  <sheetPr codeName="Sheet39"/>
  <dimension ref="A1:V208"/>
  <sheetViews>
    <sheetView showGridLines="0" zoomScale="90" workbookViewId="0">
      <pane ySplit="8" topLeftCell="A9" activePane="bottomLeft" state="frozen"/>
      <selection pane="bottomLeft" activeCell="B9" sqref="B9:O11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Descon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C010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63" priority="3" operator="equal">
      <formula>"ERROR"</formula>
    </cfRule>
  </conditionalFormatting>
  <conditionalFormatting sqref="D4">
    <cfRule type="cellIs" dxfId="62" priority="1" operator="greaterThan">
      <formula>0</formula>
    </cfRule>
    <cfRule type="cellIs" dxfId="61" priority="2" operator="lessThanOrEqual">
      <formula>0</formula>
    </cfRule>
  </conditionalFormatting>
  <dataValidations count="1">
    <dataValidation type="list" allowBlank="1" showInputMessage="1" showErrorMessage="1" sqref="O9:O1048576" xr:uid="{73B878B2-00CF-CE4E-AB6C-70E655B6C27E}">
      <formula1>$U$3:$U$4</formula1>
    </dataValidation>
  </dataValidations>
  <hyperlinks>
    <hyperlink ref="E1:G1" location="'Master Sheet'!A1" display="GO BACK TO MASTER SHEET" xr:uid="{0F789DA7-8FA2-F34C-9A4E-5D6DAED07049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C5F2924D-DF5B-B74E-89D9-18ADCBA018E9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DFD943B1-7834-5940-93F8-8653E0FF3DC9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D9FB1-BBDB-7240-8AFB-4F5DD66C52FC}">
  <sheetPr codeName="Sheet40"/>
  <dimension ref="A1:V208"/>
  <sheetViews>
    <sheetView showGridLines="0" zoomScale="90" workbookViewId="0">
      <pane ySplit="8" topLeftCell="A9" activePane="bottomLeft" state="frozen"/>
      <selection pane="bottomLeft" activeCell="B9" sqref="B9:O9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Nimmer Chemical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C011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60" priority="3" operator="equal">
      <formula>"ERROR"</formula>
    </cfRule>
  </conditionalFormatting>
  <conditionalFormatting sqref="D4">
    <cfRule type="cellIs" dxfId="59" priority="1" operator="greaterThan">
      <formula>0</formula>
    </cfRule>
    <cfRule type="cellIs" dxfId="58" priority="2" operator="lessThanOrEqual">
      <formula>0</formula>
    </cfRule>
  </conditionalFormatting>
  <dataValidations count="1">
    <dataValidation type="list" allowBlank="1" showInputMessage="1" showErrorMessage="1" sqref="O9:O1048576" xr:uid="{132DF24C-84C1-B843-BCB6-90F2C1C0DF0D}">
      <formula1>$U$3:$U$4</formula1>
    </dataValidation>
  </dataValidations>
  <hyperlinks>
    <hyperlink ref="E1:G1" location="'Master Sheet'!A1" display="GO BACK TO MASTER SHEET" xr:uid="{7E40F562-0D15-8442-9639-16F97FD19D8A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691C8054-2C3D-4E4D-8F72-CC063C88D9C7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CB7BDF02-A6D3-3A48-8A4B-4C3F82AC3901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15C80-0899-344F-A677-867CE4A3C362}">
  <sheetPr codeName="Sheet41"/>
  <dimension ref="A1:V208"/>
  <sheetViews>
    <sheetView showGridLines="0" zoomScale="90" workbookViewId="0">
      <pane ySplit="8" topLeftCell="A9" activePane="bottomLeft" state="frozen"/>
      <selection pane="bottomLeft" activeCell="B9" sqref="B9:P10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Malcolm Industries / Arshad Chemical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C012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57" priority="3" operator="equal">
      <formula>"ERROR"</formula>
    </cfRule>
  </conditionalFormatting>
  <conditionalFormatting sqref="D4">
    <cfRule type="cellIs" dxfId="56" priority="1" operator="greaterThan">
      <formula>0</formula>
    </cfRule>
    <cfRule type="cellIs" dxfId="55" priority="2" operator="lessThanOrEqual">
      <formula>0</formula>
    </cfRule>
  </conditionalFormatting>
  <dataValidations count="1">
    <dataValidation type="list" allowBlank="1" showInputMessage="1" showErrorMessage="1" sqref="O9:O1048576" xr:uid="{69E359E5-A502-A347-A60E-143C8BBA251E}">
      <formula1>$U$3:$U$4</formula1>
    </dataValidation>
  </dataValidations>
  <hyperlinks>
    <hyperlink ref="E1:G1" location="'Master Sheet'!A1" display="GO BACK TO MASTER SHEET" xr:uid="{26DDF65E-D41D-4A4E-90BA-25F77E73FA9F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17835B5A-9D72-5448-B47A-AEA5253A9E4A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62E4E718-11D4-A14E-8DC2-1566BBC6638A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5FC25-AC16-4643-91F6-47D1983455A2}">
  <sheetPr codeName="Sheet42"/>
  <dimension ref="A1:V208"/>
  <sheetViews>
    <sheetView showGridLines="0" zoomScale="90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Ultra Chemical Nooriabad (Waqas) 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C013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54" priority="3" operator="equal">
      <formula>"ERROR"</formula>
    </cfRule>
  </conditionalFormatting>
  <conditionalFormatting sqref="D4">
    <cfRule type="cellIs" dxfId="53" priority="1" operator="greaterThan">
      <formula>0</formula>
    </cfRule>
    <cfRule type="cellIs" dxfId="52" priority="2" operator="lessThanOrEqual">
      <formula>0</formula>
    </cfRule>
  </conditionalFormatting>
  <dataValidations count="1">
    <dataValidation type="list" allowBlank="1" showInputMessage="1" showErrorMessage="1" sqref="O9:O1048576" xr:uid="{E3CC4A5B-E1A0-654E-8E63-F47D649E4B53}">
      <formula1>$U$3:$U$4</formula1>
    </dataValidation>
  </dataValidations>
  <hyperlinks>
    <hyperlink ref="E1:G1" location="'Master Sheet'!A1" display="GO BACK TO MASTER SHEET" xr:uid="{89C0CD32-E70A-F94B-A6FB-FE58741C48B2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0C1C229A-23B7-684C-AFC6-293DE151EAD8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2603235A-5584-4D49-83B0-FCE909C8EF4A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F1AF-686F-2D41-A81F-F22550EF9B82}">
  <sheetPr codeName="Sheet43"/>
  <dimension ref="A1:W208"/>
  <sheetViews>
    <sheetView showGridLines="0" tabSelected="1" zoomScale="90" workbookViewId="0">
      <pane ySplit="8" topLeftCell="A9" activePane="bottomLeft" state="frozen"/>
      <selection pane="bottomLeft" activeCell="T29" sqref="T29"/>
    </sheetView>
  </sheetViews>
  <sheetFormatPr baseColWidth="10" defaultColWidth="8.83203125" defaultRowHeight="15" x14ac:dyDescent="0.2"/>
  <cols>
    <col min="1" max="1" width="10" customWidth="1"/>
    <col min="2" max="2" width="10.33203125" style="79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8" width="16" customWidth="1"/>
    <col min="19" max="19" width="26" style="42" customWidth="1"/>
  </cols>
  <sheetData>
    <row r="1" spans="1:23" ht="24" customHeight="1" x14ac:dyDescent="0.2">
      <c r="A1" s="86" t="str">
        <f ca="1">VLOOKUP(A2,'Master Sheet'!J5:K39,2)</f>
        <v>Waseem resin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S1"/>
    </row>
    <row r="2" spans="1:23" ht="20" thickBot="1" x14ac:dyDescent="0.3">
      <c r="A2" s="48" t="str" cm="1">
        <f t="array" aca="1" ref="A2" ca="1">MID(CELL("filename",A1),FIND("]",CELL("filename",A1))+1,99)</f>
        <v>C014</v>
      </c>
      <c r="F2"/>
      <c r="G2"/>
      <c r="H2"/>
      <c r="I2"/>
      <c r="J2"/>
      <c r="K2"/>
      <c r="L2"/>
      <c r="M2"/>
      <c r="N2"/>
      <c r="P2"/>
      <c r="S2"/>
    </row>
    <row r="3" spans="1:23" ht="16" thickBot="1" x14ac:dyDescent="0.25">
      <c r="A3" s="3"/>
      <c r="F3"/>
      <c r="G3"/>
      <c r="H3"/>
      <c r="I3"/>
      <c r="J3"/>
      <c r="K3"/>
      <c r="L3"/>
      <c r="M3"/>
      <c r="N3"/>
      <c r="P3"/>
      <c r="S3"/>
      <c r="V3" s="43" t="s">
        <v>83</v>
      </c>
      <c r="W3" s="44"/>
    </row>
    <row r="4" spans="1:23" ht="16" thickBot="1" x14ac:dyDescent="0.25">
      <c r="A4" s="3"/>
      <c r="C4" s="20" t="s">
        <v>201</v>
      </c>
      <c r="D4" s="50">
        <f>SUM(S9:S1048576)</f>
        <v>-1390330</v>
      </c>
      <c r="F4"/>
      <c r="G4"/>
      <c r="H4"/>
      <c r="I4"/>
      <c r="J4"/>
      <c r="K4"/>
      <c r="L4"/>
      <c r="M4"/>
      <c r="N4"/>
      <c r="P4"/>
      <c r="S4"/>
      <c r="V4" s="30" t="s">
        <v>198</v>
      </c>
      <c r="W4" s="45"/>
    </row>
    <row r="5" spans="1:23" x14ac:dyDescent="0.2">
      <c r="A5" s="3"/>
      <c r="F5"/>
      <c r="G5"/>
      <c r="H5"/>
      <c r="I5"/>
      <c r="J5"/>
      <c r="K5"/>
      <c r="L5"/>
      <c r="M5"/>
      <c r="N5"/>
      <c r="P5"/>
      <c r="S5"/>
    </row>
    <row r="6" spans="1:23" x14ac:dyDescent="0.2">
      <c r="A6" s="3"/>
      <c r="F6"/>
      <c r="G6"/>
      <c r="H6"/>
      <c r="I6"/>
      <c r="J6"/>
      <c r="K6"/>
      <c r="L6"/>
      <c r="M6"/>
      <c r="N6"/>
      <c r="P6"/>
      <c r="S6"/>
    </row>
    <row r="7" spans="1:23" x14ac:dyDescent="0.2">
      <c r="A7" s="3"/>
      <c r="F7"/>
      <c r="G7"/>
      <c r="H7"/>
      <c r="I7"/>
      <c r="J7"/>
      <c r="K7"/>
      <c r="L7"/>
      <c r="M7"/>
      <c r="N7"/>
      <c r="P7"/>
      <c r="S7"/>
    </row>
    <row r="8" spans="1:23" ht="36" customHeight="1" x14ac:dyDescent="0.2">
      <c r="A8" s="1" t="s">
        <v>70</v>
      </c>
      <c r="B8" s="80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226</v>
      </c>
      <c r="S8" s="1" t="s">
        <v>196</v>
      </c>
    </row>
    <row r="9" spans="1:23" x14ac:dyDescent="0.2">
      <c r="A9" s="4">
        <v>1</v>
      </c>
      <c r="B9" s="81">
        <v>46074</v>
      </c>
      <c r="C9" s="6" t="s">
        <v>0</v>
      </c>
      <c r="D9" s="6" t="s">
        <v>85</v>
      </c>
      <c r="E9" s="7">
        <v>165</v>
      </c>
      <c r="F9" s="41">
        <v>4475</v>
      </c>
      <c r="G9" s="46"/>
      <c r="H9" s="39"/>
      <c r="I9" s="41"/>
      <c r="J9" s="41"/>
      <c r="K9" s="41"/>
      <c r="L9" s="41"/>
      <c r="M9" s="41"/>
      <c r="N9" s="41"/>
      <c r="O9" s="6" t="s">
        <v>83</v>
      </c>
      <c r="P9" s="41"/>
      <c r="Q9" s="41">
        <f>E9*F9</f>
        <v>738375</v>
      </c>
      <c r="R9" s="41">
        <f>Q9+(Q9*H9)</f>
        <v>738375</v>
      </c>
      <c r="S9" s="41">
        <f>IF(O9=$V$3,R9-(R9*G9),IF(O9=$V$4,-P9,""))</f>
        <v>738375</v>
      </c>
    </row>
    <row r="10" spans="1:23" x14ac:dyDescent="0.2">
      <c r="A10" s="4">
        <v>2</v>
      </c>
      <c r="B10" s="81">
        <v>46074</v>
      </c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 t="s">
        <v>198</v>
      </c>
      <c r="P10" s="41">
        <v>738375</v>
      </c>
      <c r="Q10" s="41">
        <f t="shared" ref="Q10:Q73" si="0">E10*F10</f>
        <v>0</v>
      </c>
      <c r="R10" s="41">
        <f t="shared" ref="R10:R73" si="1">Q10+(Q10*H10)</f>
        <v>0</v>
      </c>
      <c r="S10" s="41">
        <f t="shared" ref="S10:S73" si="2">IF(O10=$V$3,R10-(R10*G10),IF(O10=$V$4,-P10,""))</f>
        <v>-738375</v>
      </c>
    </row>
    <row r="11" spans="1:23" x14ac:dyDescent="0.2">
      <c r="A11" s="4">
        <v>3</v>
      </c>
      <c r="B11" s="81">
        <v>46074</v>
      </c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 t="s">
        <v>198</v>
      </c>
      <c r="P11" s="41">
        <v>2505655</v>
      </c>
      <c r="Q11" s="41">
        <f t="shared" si="0"/>
        <v>0</v>
      </c>
      <c r="R11" s="41">
        <f t="shared" si="1"/>
        <v>0</v>
      </c>
      <c r="S11" s="41">
        <f t="shared" si="2"/>
        <v>-2505655</v>
      </c>
    </row>
    <row r="12" spans="1:23" x14ac:dyDescent="0.2">
      <c r="A12" s="4">
        <v>4</v>
      </c>
      <c r="B12" s="81">
        <v>46078</v>
      </c>
      <c r="C12" s="6" t="s">
        <v>0</v>
      </c>
      <c r="D12" s="6" t="s">
        <v>85</v>
      </c>
      <c r="E12" s="7">
        <v>165</v>
      </c>
      <c r="F12" s="41">
        <v>4475</v>
      </c>
      <c r="G12" s="46"/>
      <c r="H12" s="39"/>
      <c r="I12" s="41"/>
      <c r="J12" s="41"/>
      <c r="K12" s="41"/>
      <c r="L12" s="41"/>
      <c r="M12" s="41"/>
      <c r="N12" s="41"/>
      <c r="O12" s="6" t="s">
        <v>83</v>
      </c>
      <c r="P12" s="41"/>
      <c r="Q12" s="41">
        <f t="shared" si="0"/>
        <v>738375</v>
      </c>
      <c r="R12" s="41">
        <f t="shared" si="1"/>
        <v>738375</v>
      </c>
      <c r="S12" s="41">
        <f t="shared" si="2"/>
        <v>738375</v>
      </c>
    </row>
    <row r="13" spans="1:23" x14ac:dyDescent="0.2">
      <c r="A13" s="4">
        <v>5</v>
      </c>
      <c r="B13" s="81">
        <v>46087</v>
      </c>
      <c r="C13" s="6" t="s">
        <v>0</v>
      </c>
      <c r="D13" s="6" t="s">
        <v>85</v>
      </c>
      <c r="E13" s="7">
        <v>165</v>
      </c>
      <c r="F13" s="41">
        <v>4475</v>
      </c>
      <c r="G13" s="46"/>
      <c r="H13" s="39"/>
      <c r="I13" s="41"/>
      <c r="J13" s="41"/>
      <c r="K13" s="41"/>
      <c r="L13" s="41"/>
      <c r="M13" s="41"/>
      <c r="N13" s="41"/>
      <c r="O13" s="6" t="s">
        <v>83</v>
      </c>
      <c r="P13" s="41"/>
      <c r="Q13" s="41">
        <f t="shared" si="0"/>
        <v>738375</v>
      </c>
      <c r="R13" s="41">
        <f t="shared" si="1"/>
        <v>738375</v>
      </c>
      <c r="S13" s="41">
        <f t="shared" si="2"/>
        <v>738375</v>
      </c>
    </row>
    <row r="14" spans="1:23" x14ac:dyDescent="0.2">
      <c r="A14" s="4">
        <v>6</v>
      </c>
      <c r="B14" s="81">
        <v>46095</v>
      </c>
      <c r="C14" s="6" t="s">
        <v>0</v>
      </c>
      <c r="D14" s="6" t="s">
        <v>85</v>
      </c>
      <c r="E14" s="7">
        <v>165</v>
      </c>
      <c r="F14" s="41">
        <v>4475</v>
      </c>
      <c r="G14" s="46"/>
      <c r="H14" s="39"/>
      <c r="I14" s="41"/>
      <c r="J14" s="41"/>
      <c r="K14" s="41"/>
      <c r="L14" s="41"/>
      <c r="M14" s="41"/>
      <c r="N14" s="41"/>
      <c r="O14" s="6" t="s">
        <v>83</v>
      </c>
      <c r="P14" s="41"/>
      <c r="Q14" s="41">
        <f t="shared" si="0"/>
        <v>738375</v>
      </c>
      <c r="R14" s="41">
        <f t="shared" si="1"/>
        <v>738375</v>
      </c>
      <c r="S14" s="41">
        <f t="shared" si="2"/>
        <v>738375</v>
      </c>
    </row>
    <row r="15" spans="1:23" x14ac:dyDescent="0.2">
      <c r="A15" s="4">
        <v>7</v>
      </c>
      <c r="B15" s="81">
        <v>46091</v>
      </c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 t="s">
        <v>198</v>
      </c>
      <c r="P15" s="41">
        <v>375000</v>
      </c>
      <c r="Q15" s="41">
        <f t="shared" si="0"/>
        <v>0</v>
      </c>
      <c r="R15" s="41">
        <f t="shared" si="1"/>
        <v>0</v>
      </c>
      <c r="S15" s="41">
        <f t="shared" si="2"/>
        <v>-375000</v>
      </c>
    </row>
    <row r="16" spans="1:23" x14ac:dyDescent="0.2">
      <c r="A16" s="4">
        <v>8</v>
      </c>
      <c r="B16" s="81">
        <v>46092</v>
      </c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 t="s">
        <v>198</v>
      </c>
      <c r="P16" s="41">
        <v>400000</v>
      </c>
      <c r="Q16" s="41">
        <f t="shared" si="0"/>
        <v>0</v>
      </c>
      <c r="R16" s="41">
        <f t="shared" si="1"/>
        <v>0</v>
      </c>
      <c r="S16" s="41">
        <f t="shared" si="2"/>
        <v>-400000</v>
      </c>
    </row>
    <row r="17" spans="1:20" x14ac:dyDescent="0.2">
      <c r="A17" s="4">
        <v>9</v>
      </c>
      <c r="B17" s="81">
        <v>46096</v>
      </c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 t="s">
        <v>198</v>
      </c>
      <c r="P17" s="41">
        <v>470000</v>
      </c>
      <c r="Q17" s="41">
        <f t="shared" si="0"/>
        <v>0</v>
      </c>
      <c r="R17" s="41">
        <f t="shared" si="1"/>
        <v>0</v>
      </c>
      <c r="S17" s="41">
        <f t="shared" si="2"/>
        <v>-470000</v>
      </c>
    </row>
    <row r="18" spans="1:20" x14ac:dyDescent="0.2">
      <c r="A18" s="4">
        <v>10</v>
      </c>
      <c r="B18" s="81">
        <v>46096</v>
      </c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 t="s">
        <v>198</v>
      </c>
      <c r="P18" s="41">
        <v>300000</v>
      </c>
      <c r="Q18" s="41">
        <f t="shared" si="0"/>
        <v>0</v>
      </c>
      <c r="R18" s="41">
        <f t="shared" si="1"/>
        <v>0</v>
      </c>
      <c r="S18" s="41">
        <f t="shared" si="2"/>
        <v>-300000</v>
      </c>
    </row>
    <row r="19" spans="1:20" x14ac:dyDescent="0.2">
      <c r="A19" s="4">
        <v>11</v>
      </c>
      <c r="B19" s="81">
        <v>46097</v>
      </c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 t="s">
        <v>198</v>
      </c>
      <c r="P19" s="41">
        <v>170000</v>
      </c>
      <c r="Q19" s="41">
        <f t="shared" si="0"/>
        <v>0</v>
      </c>
      <c r="R19" s="41">
        <f t="shared" si="1"/>
        <v>0</v>
      </c>
      <c r="S19" s="41">
        <f t="shared" si="2"/>
        <v>-170000</v>
      </c>
    </row>
    <row r="20" spans="1:20" x14ac:dyDescent="0.2">
      <c r="A20" s="4">
        <v>12</v>
      </c>
      <c r="B20" s="81">
        <v>46097</v>
      </c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 t="s">
        <v>198</v>
      </c>
      <c r="P20" s="41">
        <v>80000</v>
      </c>
      <c r="Q20" s="41">
        <f t="shared" si="0"/>
        <v>0</v>
      </c>
      <c r="R20" s="41">
        <f t="shared" si="1"/>
        <v>0</v>
      </c>
      <c r="S20" s="41">
        <f t="shared" si="2"/>
        <v>-80000</v>
      </c>
    </row>
    <row r="21" spans="1:20" x14ac:dyDescent="0.2">
      <c r="A21" s="4">
        <v>13</v>
      </c>
      <c r="B21" s="81">
        <v>46097</v>
      </c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 t="s">
        <v>198</v>
      </c>
      <c r="P21" s="41">
        <v>262000</v>
      </c>
      <c r="Q21" s="41">
        <f t="shared" si="0"/>
        <v>0</v>
      </c>
      <c r="R21" s="41">
        <f t="shared" si="1"/>
        <v>0</v>
      </c>
      <c r="S21" s="41">
        <f t="shared" si="2"/>
        <v>-262000</v>
      </c>
    </row>
    <row r="22" spans="1:20" x14ac:dyDescent="0.2">
      <c r="A22" s="4">
        <v>14</v>
      </c>
      <c r="B22" s="81">
        <v>46097</v>
      </c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 t="s">
        <v>198</v>
      </c>
      <c r="P22" s="41">
        <v>28000</v>
      </c>
      <c r="Q22" s="41">
        <f t="shared" si="0"/>
        <v>0</v>
      </c>
      <c r="R22" s="41">
        <f t="shared" si="1"/>
        <v>0</v>
      </c>
      <c r="S22" s="41">
        <f t="shared" si="2"/>
        <v>-28000</v>
      </c>
    </row>
    <row r="23" spans="1:20" x14ac:dyDescent="0.2">
      <c r="A23" s="4">
        <v>15</v>
      </c>
      <c r="B23" s="81">
        <v>46098</v>
      </c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 t="s">
        <v>198</v>
      </c>
      <c r="P23" s="41">
        <v>300000</v>
      </c>
      <c r="Q23" s="41">
        <f t="shared" si="0"/>
        <v>0</v>
      </c>
      <c r="R23" s="41">
        <f t="shared" si="1"/>
        <v>0</v>
      </c>
      <c r="S23" s="41">
        <f t="shared" si="2"/>
        <v>-300000</v>
      </c>
    </row>
    <row r="24" spans="1:20" x14ac:dyDescent="0.2">
      <c r="A24" s="4">
        <v>16</v>
      </c>
      <c r="B24" s="81">
        <v>46098</v>
      </c>
      <c r="C24" s="6" t="s">
        <v>0</v>
      </c>
      <c r="D24" s="6" t="s">
        <v>85</v>
      </c>
      <c r="E24" s="7">
        <v>165</v>
      </c>
      <c r="F24" s="41">
        <v>4475</v>
      </c>
      <c r="G24" s="46"/>
      <c r="H24" s="39"/>
      <c r="I24" s="41"/>
      <c r="J24" s="41"/>
      <c r="K24" s="41"/>
      <c r="L24" s="41"/>
      <c r="M24" s="41"/>
      <c r="N24" s="41"/>
      <c r="O24" s="6" t="s">
        <v>83</v>
      </c>
      <c r="P24" s="41"/>
      <c r="Q24" s="41">
        <f t="shared" si="0"/>
        <v>738375</v>
      </c>
      <c r="R24" s="41">
        <f t="shared" si="1"/>
        <v>738375</v>
      </c>
      <c r="S24" s="41">
        <f t="shared" si="2"/>
        <v>738375</v>
      </c>
    </row>
    <row r="25" spans="1:20" x14ac:dyDescent="0.2">
      <c r="A25" s="4">
        <v>17</v>
      </c>
      <c r="B25" s="81">
        <v>46107</v>
      </c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 t="s">
        <v>198</v>
      </c>
      <c r="P25" s="41">
        <v>248000</v>
      </c>
      <c r="Q25" s="41">
        <f t="shared" si="0"/>
        <v>0</v>
      </c>
      <c r="R25" s="41">
        <f t="shared" si="1"/>
        <v>0</v>
      </c>
      <c r="S25" s="41">
        <f t="shared" si="2"/>
        <v>-248000</v>
      </c>
    </row>
    <row r="26" spans="1:20" x14ac:dyDescent="0.2">
      <c r="A26" s="4">
        <v>18</v>
      </c>
      <c r="B26" s="81">
        <v>46113</v>
      </c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 t="s">
        <v>198</v>
      </c>
      <c r="P26" s="41">
        <v>400000</v>
      </c>
      <c r="Q26" s="41">
        <f t="shared" si="0"/>
        <v>0</v>
      </c>
      <c r="R26" s="41">
        <f t="shared" si="1"/>
        <v>0</v>
      </c>
      <c r="S26" s="41">
        <f t="shared" si="2"/>
        <v>-400000</v>
      </c>
    </row>
    <row r="27" spans="1:20" x14ac:dyDescent="0.2">
      <c r="A27" s="4">
        <v>19</v>
      </c>
      <c r="B27" s="81">
        <v>46113</v>
      </c>
      <c r="C27" s="6"/>
      <c r="D27" s="6" t="s">
        <v>85</v>
      </c>
      <c r="E27" s="7">
        <v>165</v>
      </c>
      <c r="F27" s="41">
        <v>4475</v>
      </c>
      <c r="G27" s="46"/>
      <c r="H27" s="39"/>
      <c r="I27" s="41"/>
      <c r="J27" s="41"/>
      <c r="K27" s="41"/>
      <c r="L27" s="41"/>
      <c r="M27" s="41"/>
      <c r="N27" s="41"/>
      <c r="O27" s="6" t="s">
        <v>83</v>
      </c>
      <c r="P27" s="41"/>
      <c r="Q27" s="41">
        <f t="shared" si="0"/>
        <v>738375</v>
      </c>
      <c r="R27" s="41">
        <f t="shared" si="1"/>
        <v>738375</v>
      </c>
      <c r="S27" s="41">
        <f t="shared" si="2"/>
        <v>738375</v>
      </c>
    </row>
    <row r="28" spans="1:20" x14ac:dyDescent="0.2">
      <c r="A28" s="4">
        <v>20</v>
      </c>
      <c r="B28" s="81">
        <v>46113</v>
      </c>
      <c r="C28" s="6"/>
      <c r="D28" s="6" t="s">
        <v>85</v>
      </c>
      <c r="E28" s="7">
        <v>-63</v>
      </c>
      <c r="F28" s="41">
        <v>4475</v>
      </c>
      <c r="G28" s="46"/>
      <c r="H28" s="39"/>
      <c r="I28" s="41"/>
      <c r="J28" s="41"/>
      <c r="K28" s="41"/>
      <c r="L28" s="41"/>
      <c r="M28" s="41"/>
      <c r="N28" s="41"/>
      <c r="O28" s="6" t="s">
        <v>83</v>
      </c>
      <c r="P28" s="41"/>
      <c r="Q28" s="41">
        <f t="shared" si="0"/>
        <v>-281925</v>
      </c>
      <c r="R28" s="41">
        <f t="shared" si="1"/>
        <v>-281925</v>
      </c>
      <c r="S28" s="41">
        <f t="shared" si="2"/>
        <v>-281925</v>
      </c>
      <c r="T28" t="s">
        <v>292</v>
      </c>
    </row>
    <row r="29" spans="1:20" x14ac:dyDescent="0.2">
      <c r="A29" s="4">
        <v>21</v>
      </c>
      <c r="B29" s="81">
        <v>46132</v>
      </c>
      <c r="C29" s="6"/>
      <c r="D29" s="6" t="s">
        <v>85</v>
      </c>
      <c r="E29" s="7">
        <v>165</v>
      </c>
      <c r="F29" s="41">
        <v>4475</v>
      </c>
      <c r="G29" s="46"/>
      <c r="H29" s="39"/>
      <c r="I29" s="41"/>
      <c r="J29" s="41"/>
      <c r="K29" s="41"/>
      <c r="L29" s="41"/>
      <c r="M29" s="41"/>
      <c r="N29" s="41"/>
      <c r="O29" s="6" t="s">
        <v>83</v>
      </c>
      <c r="P29" s="41"/>
      <c r="Q29" s="41">
        <f t="shared" si="0"/>
        <v>738375</v>
      </c>
      <c r="R29" s="41">
        <f t="shared" si="1"/>
        <v>738375</v>
      </c>
      <c r="S29" s="41">
        <f t="shared" si="2"/>
        <v>738375</v>
      </c>
    </row>
    <row r="30" spans="1:20" x14ac:dyDescent="0.2">
      <c r="A30" s="4">
        <v>22</v>
      </c>
      <c r="B30" s="81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>
        <f t="shared" si="1"/>
        <v>0</v>
      </c>
      <c r="S30" s="41" t="str">
        <f t="shared" si="2"/>
        <v/>
      </c>
    </row>
    <row r="31" spans="1:20" x14ac:dyDescent="0.2">
      <c r="A31" s="4">
        <v>23</v>
      </c>
      <c r="B31" s="81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>
        <f t="shared" si="1"/>
        <v>0</v>
      </c>
      <c r="S31" s="41" t="str">
        <f t="shared" si="2"/>
        <v/>
      </c>
    </row>
    <row r="32" spans="1:20" x14ac:dyDescent="0.2">
      <c r="A32" s="4">
        <v>24</v>
      </c>
      <c r="B32" s="81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>
        <f t="shared" si="1"/>
        <v>0</v>
      </c>
      <c r="S32" s="41" t="str">
        <f t="shared" si="2"/>
        <v/>
      </c>
    </row>
    <row r="33" spans="1:19" x14ac:dyDescent="0.2">
      <c r="A33" s="4">
        <v>25</v>
      </c>
      <c r="B33" s="81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>
        <f t="shared" si="1"/>
        <v>0</v>
      </c>
      <c r="S33" s="41" t="str">
        <f t="shared" si="2"/>
        <v/>
      </c>
    </row>
    <row r="34" spans="1:19" x14ac:dyDescent="0.2">
      <c r="A34" s="4">
        <v>26</v>
      </c>
      <c r="B34" s="81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>
        <f t="shared" si="1"/>
        <v>0</v>
      </c>
      <c r="S34" s="41" t="str">
        <f t="shared" si="2"/>
        <v/>
      </c>
    </row>
    <row r="35" spans="1:19" x14ac:dyDescent="0.2">
      <c r="A35" s="4">
        <v>27</v>
      </c>
      <c r="B35" s="81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>
        <f t="shared" si="1"/>
        <v>0</v>
      </c>
      <c r="S35" s="41" t="str">
        <f t="shared" si="2"/>
        <v/>
      </c>
    </row>
    <row r="36" spans="1:19" x14ac:dyDescent="0.2">
      <c r="A36" s="4">
        <v>28</v>
      </c>
      <c r="B36" s="81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>
        <f t="shared" si="1"/>
        <v>0</v>
      </c>
      <c r="S36" s="41" t="str">
        <f t="shared" si="2"/>
        <v/>
      </c>
    </row>
    <row r="37" spans="1:19" x14ac:dyDescent="0.2">
      <c r="A37" s="4">
        <v>29</v>
      </c>
      <c r="B37" s="81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>
        <f t="shared" si="1"/>
        <v>0</v>
      </c>
      <c r="S37" s="41" t="str">
        <f t="shared" si="2"/>
        <v/>
      </c>
    </row>
    <row r="38" spans="1:19" x14ac:dyDescent="0.2">
      <c r="A38" s="4">
        <v>30</v>
      </c>
      <c r="B38" s="81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>
        <f t="shared" si="1"/>
        <v>0</v>
      </c>
      <c r="S38" s="41" t="str">
        <f t="shared" si="2"/>
        <v/>
      </c>
    </row>
    <row r="39" spans="1:19" x14ac:dyDescent="0.2">
      <c r="A39" s="4">
        <v>31</v>
      </c>
      <c r="B39" s="81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>
        <f t="shared" si="1"/>
        <v>0</v>
      </c>
      <c r="S39" s="41" t="str">
        <f t="shared" si="2"/>
        <v/>
      </c>
    </row>
    <row r="40" spans="1:19" x14ac:dyDescent="0.2">
      <c r="A40" s="4">
        <v>32</v>
      </c>
      <c r="B40" s="81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>
        <f t="shared" si="1"/>
        <v>0</v>
      </c>
      <c r="S40" s="41" t="str">
        <f t="shared" si="2"/>
        <v/>
      </c>
    </row>
    <row r="41" spans="1:19" x14ac:dyDescent="0.2">
      <c r="A41" s="4">
        <v>33</v>
      </c>
      <c r="B41" s="81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>
        <f t="shared" si="1"/>
        <v>0</v>
      </c>
      <c r="S41" s="41" t="str">
        <f t="shared" si="2"/>
        <v/>
      </c>
    </row>
    <row r="42" spans="1:19" x14ac:dyDescent="0.2">
      <c r="A42" s="4">
        <v>34</v>
      </c>
      <c r="B42" s="81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>
        <f t="shared" si="1"/>
        <v>0</v>
      </c>
      <c r="S42" s="41" t="str">
        <f t="shared" si="2"/>
        <v/>
      </c>
    </row>
    <row r="43" spans="1:19" x14ac:dyDescent="0.2">
      <c r="A43" s="4">
        <v>35</v>
      </c>
      <c r="B43" s="81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>
        <f t="shared" si="1"/>
        <v>0</v>
      </c>
      <c r="S43" s="41" t="str">
        <f t="shared" si="2"/>
        <v/>
      </c>
    </row>
    <row r="44" spans="1:19" x14ac:dyDescent="0.2">
      <c r="A44" s="4">
        <v>36</v>
      </c>
      <c r="B44" s="81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>
        <f t="shared" si="1"/>
        <v>0</v>
      </c>
      <c r="S44" s="41" t="str">
        <f t="shared" si="2"/>
        <v/>
      </c>
    </row>
    <row r="45" spans="1:19" x14ac:dyDescent="0.2">
      <c r="A45" s="4">
        <v>37</v>
      </c>
      <c r="B45" s="81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>
        <f t="shared" si="1"/>
        <v>0</v>
      </c>
      <c r="S45" s="41" t="str">
        <f t="shared" si="2"/>
        <v/>
      </c>
    </row>
    <row r="46" spans="1:19" x14ac:dyDescent="0.2">
      <c r="A46" s="4">
        <v>38</v>
      </c>
      <c r="B46" s="81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>
        <f t="shared" si="1"/>
        <v>0</v>
      </c>
      <c r="S46" s="41" t="str">
        <f t="shared" si="2"/>
        <v/>
      </c>
    </row>
    <row r="47" spans="1:19" x14ac:dyDescent="0.2">
      <c r="A47" s="4">
        <v>39</v>
      </c>
      <c r="B47" s="81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>
        <f t="shared" si="1"/>
        <v>0</v>
      </c>
      <c r="S47" s="41" t="str">
        <f t="shared" si="2"/>
        <v/>
      </c>
    </row>
    <row r="48" spans="1:19" x14ac:dyDescent="0.2">
      <c r="A48" s="4">
        <v>40</v>
      </c>
      <c r="B48" s="81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>
        <f t="shared" si="1"/>
        <v>0</v>
      </c>
      <c r="S48" s="41" t="str">
        <f t="shared" si="2"/>
        <v/>
      </c>
    </row>
    <row r="49" spans="1:19" x14ac:dyDescent="0.2">
      <c r="A49" s="4">
        <v>41</v>
      </c>
      <c r="B49" s="81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>
        <f t="shared" si="1"/>
        <v>0</v>
      </c>
      <c r="S49" s="41" t="str">
        <f t="shared" si="2"/>
        <v/>
      </c>
    </row>
    <row r="50" spans="1:19" x14ac:dyDescent="0.2">
      <c r="A50" s="4">
        <v>42</v>
      </c>
      <c r="B50" s="81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>
        <f t="shared" si="1"/>
        <v>0</v>
      </c>
      <c r="S50" s="41" t="str">
        <f t="shared" si="2"/>
        <v/>
      </c>
    </row>
    <row r="51" spans="1:19" x14ac:dyDescent="0.2">
      <c r="A51" s="4">
        <v>43</v>
      </c>
      <c r="B51" s="81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>
        <f t="shared" si="1"/>
        <v>0</v>
      </c>
      <c r="S51" s="41" t="str">
        <f t="shared" si="2"/>
        <v/>
      </c>
    </row>
    <row r="52" spans="1:19" x14ac:dyDescent="0.2">
      <c r="A52" s="4">
        <v>44</v>
      </c>
      <c r="B52" s="81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>
        <f t="shared" si="1"/>
        <v>0</v>
      </c>
      <c r="S52" s="41" t="str">
        <f t="shared" si="2"/>
        <v/>
      </c>
    </row>
    <row r="53" spans="1:19" x14ac:dyDescent="0.2">
      <c r="A53" s="4">
        <v>45</v>
      </c>
      <c r="B53" s="81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>
        <f t="shared" si="1"/>
        <v>0</v>
      </c>
      <c r="S53" s="41" t="str">
        <f t="shared" si="2"/>
        <v/>
      </c>
    </row>
    <row r="54" spans="1:19" x14ac:dyDescent="0.2">
      <c r="A54" s="4">
        <v>46</v>
      </c>
      <c r="B54" s="81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>
        <f t="shared" si="1"/>
        <v>0</v>
      </c>
      <c r="S54" s="41" t="str">
        <f t="shared" si="2"/>
        <v/>
      </c>
    </row>
    <row r="55" spans="1:19" x14ac:dyDescent="0.2">
      <c r="A55" s="4">
        <v>47</v>
      </c>
      <c r="B55" s="81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>
        <f t="shared" si="1"/>
        <v>0</v>
      </c>
      <c r="S55" s="41" t="str">
        <f t="shared" si="2"/>
        <v/>
      </c>
    </row>
    <row r="56" spans="1:19" x14ac:dyDescent="0.2">
      <c r="A56" s="4">
        <v>48</v>
      </c>
      <c r="B56" s="81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>
        <f t="shared" si="1"/>
        <v>0</v>
      </c>
      <c r="S56" s="41" t="str">
        <f t="shared" si="2"/>
        <v/>
      </c>
    </row>
    <row r="57" spans="1:19" x14ac:dyDescent="0.2">
      <c r="A57" s="4">
        <v>49</v>
      </c>
      <c r="B57" s="81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>
        <f t="shared" si="1"/>
        <v>0</v>
      </c>
      <c r="S57" s="41" t="str">
        <f t="shared" si="2"/>
        <v/>
      </c>
    </row>
    <row r="58" spans="1:19" x14ac:dyDescent="0.2">
      <c r="A58" s="4">
        <v>50</v>
      </c>
      <c r="B58" s="81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>
        <f t="shared" si="1"/>
        <v>0</v>
      </c>
      <c r="S58" s="41" t="str">
        <f t="shared" si="2"/>
        <v/>
      </c>
    </row>
    <row r="59" spans="1:19" x14ac:dyDescent="0.2">
      <c r="A59" s="4">
        <v>51</v>
      </c>
      <c r="B59" s="81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>
        <f t="shared" si="1"/>
        <v>0</v>
      </c>
      <c r="S59" s="41" t="str">
        <f t="shared" si="2"/>
        <v/>
      </c>
    </row>
    <row r="60" spans="1:19" x14ac:dyDescent="0.2">
      <c r="A60" s="4">
        <v>52</v>
      </c>
      <c r="B60" s="81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>
        <f t="shared" si="1"/>
        <v>0</v>
      </c>
      <c r="S60" s="41" t="str">
        <f t="shared" si="2"/>
        <v/>
      </c>
    </row>
    <row r="61" spans="1:19" x14ac:dyDescent="0.2">
      <c r="A61" s="4">
        <v>53</v>
      </c>
      <c r="B61" s="81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>
        <f t="shared" si="1"/>
        <v>0</v>
      </c>
      <c r="S61" s="41" t="str">
        <f t="shared" si="2"/>
        <v/>
      </c>
    </row>
    <row r="62" spans="1:19" x14ac:dyDescent="0.2">
      <c r="A62" s="4">
        <v>54</v>
      </c>
      <c r="B62" s="81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>
        <f t="shared" si="1"/>
        <v>0</v>
      </c>
      <c r="S62" s="41" t="str">
        <f t="shared" si="2"/>
        <v/>
      </c>
    </row>
    <row r="63" spans="1:19" x14ac:dyDescent="0.2">
      <c r="A63" s="4">
        <v>55</v>
      </c>
      <c r="B63" s="81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>
        <f t="shared" si="1"/>
        <v>0</v>
      </c>
      <c r="S63" s="41" t="str">
        <f t="shared" si="2"/>
        <v/>
      </c>
    </row>
    <row r="64" spans="1:19" x14ac:dyDescent="0.2">
      <c r="A64" s="4">
        <v>56</v>
      </c>
      <c r="B64" s="81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>
        <f t="shared" si="1"/>
        <v>0</v>
      </c>
      <c r="S64" s="41" t="str">
        <f t="shared" si="2"/>
        <v/>
      </c>
    </row>
    <row r="65" spans="1:19" x14ac:dyDescent="0.2">
      <c r="A65" s="4">
        <v>57</v>
      </c>
      <c r="B65" s="81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>
        <f t="shared" si="1"/>
        <v>0</v>
      </c>
      <c r="S65" s="41" t="str">
        <f t="shared" si="2"/>
        <v/>
      </c>
    </row>
    <row r="66" spans="1:19" x14ac:dyDescent="0.2">
      <c r="A66" s="4">
        <v>58</v>
      </c>
      <c r="B66" s="81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>
        <f t="shared" si="1"/>
        <v>0</v>
      </c>
      <c r="S66" s="41" t="str">
        <f t="shared" si="2"/>
        <v/>
      </c>
    </row>
    <row r="67" spans="1:19" x14ac:dyDescent="0.2">
      <c r="A67" s="4">
        <v>59</v>
      </c>
      <c r="B67" s="81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>
        <f t="shared" si="1"/>
        <v>0</v>
      </c>
      <c r="S67" s="41" t="str">
        <f t="shared" si="2"/>
        <v/>
      </c>
    </row>
    <row r="68" spans="1:19" x14ac:dyDescent="0.2">
      <c r="A68" s="4">
        <v>60</v>
      </c>
      <c r="B68" s="81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>
        <f t="shared" si="1"/>
        <v>0</v>
      </c>
      <c r="S68" s="41" t="str">
        <f t="shared" si="2"/>
        <v/>
      </c>
    </row>
    <row r="69" spans="1:19" x14ac:dyDescent="0.2">
      <c r="A69" s="4">
        <v>61</v>
      </c>
      <c r="B69" s="81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>
        <f t="shared" si="1"/>
        <v>0</v>
      </c>
      <c r="S69" s="41" t="str">
        <f t="shared" si="2"/>
        <v/>
      </c>
    </row>
    <row r="70" spans="1:19" x14ac:dyDescent="0.2">
      <c r="A70" s="4">
        <v>62</v>
      </c>
      <c r="B70" s="81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>
        <f t="shared" si="1"/>
        <v>0</v>
      </c>
      <c r="S70" s="41" t="str">
        <f t="shared" si="2"/>
        <v/>
      </c>
    </row>
    <row r="71" spans="1:19" x14ac:dyDescent="0.2">
      <c r="A71" s="4">
        <v>63</v>
      </c>
      <c r="B71" s="81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>
        <f t="shared" si="1"/>
        <v>0</v>
      </c>
      <c r="S71" s="41" t="str">
        <f t="shared" si="2"/>
        <v/>
      </c>
    </row>
    <row r="72" spans="1:19" x14ac:dyDescent="0.2">
      <c r="A72" s="4">
        <v>64</v>
      </c>
      <c r="B72" s="81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>
        <f t="shared" si="1"/>
        <v>0</v>
      </c>
      <c r="S72" s="41" t="str">
        <f t="shared" si="2"/>
        <v/>
      </c>
    </row>
    <row r="73" spans="1:19" x14ac:dyDescent="0.2">
      <c r="A73" s="4">
        <v>65</v>
      </c>
      <c r="B73" s="81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>
        <f t="shared" si="1"/>
        <v>0</v>
      </c>
      <c r="S73" s="41" t="str">
        <f t="shared" si="2"/>
        <v/>
      </c>
    </row>
    <row r="74" spans="1:19" x14ac:dyDescent="0.2">
      <c r="A74" s="4">
        <v>66</v>
      </c>
      <c r="B74" s="81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3">E74*F74</f>
        <v>0</v>
      </c>
      <c r="R74" s="41">
        <f t="shared" ref="R74:R137" si="4">Q74+(Q74*H74)</f>
        <v>0</v>
      </c>
      <c r="S74" s="41" t="str">
        <f t="shared" ref="S74:S137" si="5">IF(O74=$V$3,R74-(R74*G74),IF(O74=$V$4,-P74,""))</f>
        <v/>
      </c>
    </row>
    <row r="75" spans="1:19" x14ac:dyDescent="0.2">
      <c r="A75" s="4">
        <v>67</v>
      </c>
      <c r="B75" s="81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3"/>
        <v>0</v>
      </c>
      <c r="R75" s="41">
        <f t="shared" si="4"/>
        <v>0</v>
      </c>
      <c r="S75" s="41" t="str">
        <f t="shared" si="5"/>
        <v/>
      </c>
    </row>
    <row r="76" spans="1:19" x14ac:dyDescent="0.2">
      <c r="A76" s="4">
        <v>68</v>
      </c>
      <c r="B76" s="81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3"/>
        <v>0</v>
      </c>
      <c r="R76" s="41">
        <f t="shared" si="4"/>
        <v>0</v>
      </c>
      <c r="S76" s="41" t="str">
        <f t="shared" si="5"/>
        <v/>
      </c>
    </row>
    <row r="77" spans="1:19" x14ac:dyDescent="0.2">
      <c r="A77" s="4">
        <v>69</v>
      </c>
      <c r="B77" s="81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3"/>
        <v>0</v>
      </c>
      <c r="R77" s="41">
        <f t="shared" si="4"/>
        <v>0</v>
      </c>
      <c r="S77" s="41" t="str">
        <f t="shared" si="5"/>
        <v/>
      </c>
    </row>
    <row r="78" spans="1:19" x14ac:dyDescent="0.2">
      <c r="A78" s="4">
        <v>70</v>
      </c>
      <c r="B78" s="81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3"/>
        <v>0</v>
      </c>
      <c r="R78" s="41">
        <f t="shared" si="4"/>
        <v>0</v>
      </c>
      <c r="S78" s="41" t="str">
        <f t="shared" si="5"/>
        <v/>
      </c>
    </row>
    <row r="79" spans="1:19" x14ac:dyDescent="0.2">
      <c r="A79" s="4">
        <v>71</v>
      </c>
      <c r="B79" s="81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3"/>
        <v>0</v>
      </c>
      <c r="R79" s="41">
        <f t="shared" si="4"/>
        <v>0</v>
      </c>
      <c r="S79" s="41" t="str">
        <f t="shared" si="5"/>
        <v/>
      </c>
    </row>
    <row r="80" spans="1:19" x14ac:dyDescent="0.2">
      <c r="A80" s="4">
        <v>72</v>
      </c>
      <c r="B80" s="81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3"/>
        <v>0</v>
      </c>
      <c r="R80" s="41">
        <f t="shared" si="4"/>
        <v>0</v>
      </c>
      <c r="S80" s="41" t="str">
        <f t="shared" si="5"/>
        <v/>
      </c>
    </row>
    <row r="81" spans="1:19" x14ac:dyDescent="0.2">
      <c r="A81" s="4">
        <v>73</v>
      </c>
      <c r="B81" s="81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3"/>
        <v>0</v>
      </c>
      <c r="R81" s="41">
        <f t="shared" si="4"/>
        <v>0</v>
      </c>
      <c r="S81" s="41" t="str">
        <f t="shared" si="5"/>
        <v/>
      </c>
    </row>
    <row r="82" spans="1:19" x14ac:dyDescent="0.2">
      <c r="A82" s="4">
        <v>74</v>
      </c>
      <c r="B82" s="81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3"/>
        <v>0</v>
      </c>
      <c r="R82" s="41">
        <f t="shared" si="4"/>
        <v>0</v>
      </c>
      <c r="S82" s="41" t="str">
        <f t="shared" si="5"/>
        <v/>
      </c>
    </row>
    <row r="83" spans="1:19" x14ac:dyDescent="0.2">
      <c r="A83" s="4">
        <v>75</v>
      </c>
      <c r="B83" s="81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3"/>
        <v>0</v>
      </c>
      <c r="R83" s="41">
        <f t="shared" si="4"/>
        <v>0</v>
      </c>
      <c r="S83" s="41" t="str">
        <f t="shared" si="5"/>
        <v/>
      </c>
    </row>
    <row r="84" spans="1:19" x14ac:dyDescent="0.2">
      <c r="A84" s="4">
        <v>76</v>
      </c>
      <c r="B84" s="81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3"/>
        <v>0</v>
      </c>
      <c r="R84" s="41">
        <f t="shared" si="4"/>
        <v>0</v>
      </c>
      <c r="S84" s="41" t="str">
        <f t="shared" si="5"/>
        <v/>
      </c>
    </row>
    <row r="85" spans="1:19" x14ac:dyDescent="0.2">
      <c r="A85" s="4">
        <v>77</v>
      </c>
      <c r="B85" s="81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3"/>
        <v>0</v>
      </c>
      <c r="R85" s="41">
        <f t="shared" si="4"/>
        <v>0</v>
      </c>
      <c r="S85" s="41" t="str">
        <f t="shared" si="5"/>
        <v/>
      </c>
    </row>
    <row r="86" spans="1:19" x14ac:dyDescent="0.2">
      <c r="A86" s="4">
        <v>78</v>
      </c>
      <c r="B86" s="81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3"/>
        <v>0</v>
      </c>
      <c r="R86" s="41">
        <f t="shared" si="4"/>
        <v>0</v>
      </c>
      <c r="S86" s="41" t="str">
        <f t="shared" si="5"/>
        <v/>
      </c>
    </row>
    <row r="87" spans="1:19" x14ac:dyDescent="0.2">
      <c r="A87" s="4">
        <v>79</v>
      </c>
      <c r="B87" s="81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3"/>
        <v>0</v>
      </c>
      <c r="R87" s="41">
        <f t="shared" si="4"/>
        <v>0</v>
      </c>
      <c r="S87" s="41" t="str">
        <f t="shared" si="5"/>
        <v/>
      </c>
    </row>
    <row r="88" spans="1:19" x14ac:dyDescent="0.2">
      <c r="A88" s="4">
        <v>80</v>
      </c>
      <c r="B88" s="81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3"/>
        <v>0</v>
      </c>
      <c r="R88" s="41">
        <f t="shared" si="4"/>
        <v>0</v>
      </c>
      <c r="S88" s="41" t="str">
        <f t="shared" si="5"/>
        <v/>
      </c>
    </row>
    <row r="89" spans="1:19" x14ac:dyDescent="0.2">
      <c r="A89" s="4">
        <v>81</v>
      </c>
      <c r="B89" s="81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3"/>
        <v>0</v>
      </c>
      <c r="R89" s="41">
        <f t="shared" si="4"/>
        <v>0</v>
      </c>
      <c r="S89" s="41" t="str">
        <f t="shared" si="5"/>
        <v/>
      </c>
    </row>
    <row r="90" spans="1:19" x14ac:dyDescent="0.2">
      <c r="A90" s="4">
        <v>82</v>
      </c>
      <c r="B90" s="81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3"/>
        <v>0</v>
      </c>
      <c r="R90" s="41">
        <f t="shared" si="4"/>
        <v>0</v>
      </c>
      <c r="S90" s="41" t="str">
        <f t="shared" si="5"/>
        <v/>
      </c>
    </row>
    <row r="91" spans="1:19" x14ac:dyDescent="0.2">
      <c r="A91" s="4">
        <v>83</v>
      </c>
      <c r="B91" s="81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3"/>
        <v>0</v>
      </c>
      <c r="R91" s="41">
        <f t="shared" si="4"/>
        <v>0</v>
      </c>
      <c r="S91" s="41" t="str">
        <f t="shared" si="5"/>
        <v/>
      </c>
    </row>
    <row r="92" spans="1:19" x14ac:dyDescent="0.2">
      <c r="A92" s="4">
        <v>84</v>
      </c>
      <c r="B92" s="81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3"/>
        <v>0</v>
      </c>
      <c r="R92" s="41">
        <f t="shared" si="4"/>
        <v>0</v>
      </c>
      <c r="S92" s="41" t="str">
        <f t="shared" si="5"/>
        <v/>
      </c>
    </row>
    <row r="93" spans="1:19" x14ac:dyDescent="0.2">
      <c r="A93" s="4">
        <v>85</v>
      </c>
      <c r="B93" s="81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3"/>
        <v>0</v>
      </c>
      <c r="R93" s="41">
        <f t="shared" si="4"/>
        <v>0</v>
      </c>
      <c r="S93" s="41" t="str">
        <f t="shared" si="5"/>
        <v/>
      </c>
    </row>
    <row r="94" spans="1:19" x14ac:dyDescent="0.2">
      <c r="A94" s="4">
        <v>86</v>
      </c>
      <c r="B94" s="81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3"/>
        <v>0</v>
      </c>
      <c r="R94" s="41">
        <f t="shared" si="4"/>
        <v>0</v>
      </c>
      <c r="S94" s="41" t="str">
        <f t="shared" si="5"/>
        <v/>
      </c>
    </row>
    <row r="95" spans="1:19" x14ac:dyDescent="0.2">
      <c r="A95" s="4">
        <v>87</v>
      </c>
      <c r="B95" s="81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3"/>
        <v>0</v>
      </c>
      <c r="R95" s="41">
        <f t="shared" si="4"/>
        <v>0</v>
      </c>
      <c r="S95" s="41" t="str">
        <f t="shared" si="5"/>
        <v/>
      </c>
    </row>
    <row r="96" spans="1:19" x14ac:dyDescent="0.2">
      <c r="A96" s="4">
        <v>88</v>
      </c>
      <c r="B96" s="81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3"/>
        <v>0</v>
      </c>
      <c r="R96" s="41">
        <f t="shared" si="4"/>
        <v>0</v>
      </c>
      <c r="S96" s="41" t="str">
        <f t="shared" si="5"/>
        <v/>
      </c>
    </row>
    <row r="97" spans="1:19" x14ac:dyDescent="0.2">
      <c r="A97" s="4">
        <v>89</v>
      </c>
      <c r="B97" s="81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3"/>
        <v>0</v>
      </c>
      <c r="R97" s="41">
        <f t="shared" si="4"/>
        <v>0</v>
      </c>
      <c r="S97" s="41" t="str">
        <f t="shared" si="5"/>
        <v/>
      </c>
    </row>
    <row r="98" spans="1:19" x14ac:dyDescent="0.2">
      <c r="A98" s="4">
        <v>90</v>
      </c>
      <c r="B98" s="81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3"/>
        <v>0</v>
      </c>
      <c r="R98" s="41">
        <f t="shared" si="4"/>
        <v>0</v>
      </c>
      <c r="S98" s="41" t="str">
        <f t="shared" si="5"/>
        <v/>
      </c>
    </row>
    <row r="99" spans="1:19" x14ac:dyDescent="0.2">
      <c r="A99" s="4">
        <v>91</v>
      </c>
      <c r="B99" s="81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3"/>
        <v>0</v>
      </c>
      <c r="R99" s="41">
        <f t="shared" si="4"/>
        <v>0</v>
      </c>
      <c r="S99" s="41" t="str">
        <f t="shared" si="5"/>
        <v/>
      </c>
    </row>
    <row r="100" spans="1:19" x14ac:dyDescent="0.2">
      <c r="A100" s="4">
        <v>92</v>
      </c>
      <c r="B100" s="81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3"/>
        <v>0</v>
      </c>
      <c r="R100" s="41">
        <f t="shared" si="4"/>
        <v>0</v>
      </c>
      <c r="S100" s="41" t="str">
        <f t="shared" si="5"/>
        <v/>
      </c>
    </row>
    <row r="101" spans="1:19" x14ac:dyDescent="0.2">
      <c r="A101" s="4">
        <v>93</v>
      </c>
      <c r="B101" s="81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3"/>
        <v>0</v>
      </c>
      <c r="R101" s="41">
        <f t="shared" si="4"/>
        <v>0</v>
      </c>
      <c r="S101" s="41" t="str">
        <f t="shared" si="5"/>
        <v/>
      </c>
    </row>
    <row r="102" spans="1:19" x14ac:dyDescent="0.2">
      <c r="A102" s="4">
        <v>94</v>
      </c>
      <c r="B102" s="81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3"/>
        <v>0</v>
      </c>
      <c r="R102" s="41">
        <f t="shared" si="4"/>
        <v>0</v>
      </c>
      <c r="S102" s="41" t="str">
        <f t="shared" si="5"/>
        <v/>
      </c>
    </row>
    <row r="103" spans="1:19" x14ac:dyDescent="0.2">
      <c r="A103" s="4">
        <v>95</v>
      </c>
      <c r="B103" s="81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3"/>
        <v>0</v>
      </c>
      <c r="R103" s="41">
        <f t="shared" si="4"/>
        <v>0</v>
      </c>
      <c r="S103" s="41" t="str">
        <f t="shared" si="5"/>
        <v/>
      </c>
    </row>
    <row r="104" spans="1:19" x14ac:dyDescent="0.2">
      <c r="A104" s="4">
        <v>96</v>
      </c>
      <c r="B104" s="81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3"/>
        <v>0</v>
      </c>
      <c r="R104" s="41">
        <f t="shared" si="4"/>
        <v>0</v>
      </c>
      <c r="S104" s="41" t="str">
        <f t="shared" si="5"/>
        <v/>
      </c>
    </row>
    <row r="105" spans="1:19" x14ac:dyDescent="0.2">
      <c r="A105" s="4">
        <v>97</v>
      </c>
      <c r="B105" s="81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3"/>
        <v>0</v>
      </c>
      <c r="R105" s="41">
        <f t="shared" si="4"/>
        <v>0</v>
      </c>
      <c r="S105" s="41" t="str">
        <f t="shared" si="5"/>
        <v/>
      </c>
    </row>
    <row r="106" spans="1:19" x14ac:dyDescent="0.2">
      <c r="A106" s="4">
        <v>98</v>
      </c>
      <c r="B106" s="81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3"/>
        <v>0</v>
      </c>
      <c r="R106" s="41">
        <f t="shared" si="4"/>
        <v>0</v>
      </c>
      <c r="S106" s="41" t="str">
        <f t="shared" si="5"/>
        <v/>
      </c>
    </row>
    <row r="107" spans="1:19" x14ac:dyDescent="0.2">
      <c r="A107" s="4">
        <v>99</v>
      </c>
      <c r="B107" s="81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3"/>
        <v>0</v>
      </c>
      <c r="R107" s="41">
        <f t="shared" si="4"/>
        <v>0</v>
      </c>
      <c r="S107" s="41" t="str">
        <f t="shared" si="5"/>
        <v/>
      </c>
    </row>
    <row r="108" spans="1:19" x14ac:dyDescent="0.2">
      <c r="A108" s="4">
        <v>100</v>
      </c>
      <c r="B108" s="81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3"/>
        <v>0</v>
      </c>
      <c r="R108" s="41">
        <f t="shared" si="4"/>
        <v>0</v>
      </c>
      <c r="S108" s="41" t="str">
        <f t="shared" si="5"/>
        <v/>
      </c>
    </row>
    <row r="109" spans="1:19" x14ac:dyDescent="0.2">
      <c r="A109" s="4">
        <v>101</v>
      </c>
      <c r="B109" s="81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3"/>
        <v>0</v>
      </c>
      <c r="R109" s="41">
        <f t="shared" si="4"/>
        <v>0</v>
      </c>
      <c r="S109" s="41" t="str">
        <f t="shared" si="5"/>
        <v/>
      </c>
    </row>
    <row r="110" spans="1:19" x14ac:dyDescent="0.2">
      <c r="A110" s="4">
        <v>102</v>
      </c>
      <c r="B110" s="81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3"/>
        <v>0</v>
      </c>
      <c r="R110" s="41">
        <f t="shared" si="4"/>
        <v>0</v>
      </c>
      <c r="S110" s="41" t="str">
        <f t="shared" si="5"/>
        <v/>
      </c>
    </row>
    <row r="111" spans="1:19" x14ac:dyDescent="0.2">
      <c r="A111" s="4">
        <v>103</v>
      </c>
      <c r="B111" s="81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3"/>
        <v>0</v>
      </c>
      <c r="R111" s="41">
        <f t="shared" si="4"/>
        <v>0</v>
      </c>
      <c r="S111" s="41" t="str">
        <f t="shared" si="5"/>
        <v/>
      </c>
    </row>
    <row r="112" spans="1:19" x14ac:dyDescent="0.2">
      <c r="A112" s="4">
        <v>104</v>
      </c>
      <c r="B112" s="81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3"/>
        <v>0</v>
      </c>
      <c r="R112" s="41">
        <f t="shared" si="4"/>
        <v>0</v>
      </c>
      <c r="S112" s="41" t="str">
        <f t="shared" si="5"/>
        <v/>
      </c>
    </row>
    <row r="113" spans="1:19" x14ac:dyDescent="0.2">
      <c r="A113" s="4">
        <v>105</v>
      </c>
      <c r="B113" s="81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3"/>
        <v>0</v>
      </c>
      <c r="R113" s="41">
        <f t="shared" si="4"/>
        <v>0</v>
      </c>
      <c r="S113" s="41" t="str">
        <f t="shared" si="5"/>
        <v/>
      </c>
    </row>
    <row r="114" spans="1:19" x14ac:dyDescent="0.2">
      <c r="A114" s="4">
        <v>106</v>
      </c>
      <c r="B114" s="81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3"/>
        <v>0</v>
      </c>
      <c r="R114" s="41">
        <f t="shared" si="4"/>
        <v>0</v>
      </c>
      <c r="S114" s="41" t="str">
        <f t="shared" si="5"/>
        <v/>
      </c>
    </row>
    <row r="115" spans="1:19" x14ac:dyDescent="0.2">
      <c r="A115" s="4">
        <v>107</v>
      </c>
      <c r="B115" s="81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3"/>
        <v>0</v>
      </c>
      <c r="R115" s="41">
        <f t="shared" si="4"/>
        <v>0</v>
      </c>
      <c r="S115" s="41" t="str">
        <f t="shared" si="5"/>
        <v/>
      </c>
    </row>
    <row r="116" spans="1:19" x14ac:dyDescent="0.2">
      <c r="A116" s="4">
        <v>108</v>
      </c>
      <c r="B116" s="81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3"/>
        <v>0</v>
      </c>
      <c r="R116" s="41">
        <f t="shared" si="4"/>
        <v>0</v>
      </c>
      <c r="S116" s="41" t="str">
        <f t="shared" si="5"/>
        <v/>
      </c>
    </row>
    <row r="117" spans="1:19" x14ac:dyDescent="0.2">
      <c r="A117" s="4">
        <v>109</v>
      </c>
      <c r="B117" s="81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3"/>
        <v>0</v>
      </c>
      <c r="R117" s="41">
        <f t="shared" si="4"/>
        <v>0</v>
      </c>
      <c r="S117" s="41" t="str">
        <f t="shared" si="5"/>
        <v/>
      </c>
    </row>
    <row r="118" spans="1:19" x14ac:dyDescent="0.2">
      <c r="A118" s="4">
        <v>110</v>
      </c>
      <c r="B118" s="81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3"/>
        <v>0</v>
      </c>
      <c r="R118" s="41">
        <f t="shared" si="4"/>
        <v>0</v>
      </c>
      <c r="S118" s="41" t="str">
        <f t="shared" si="5"/>
        <v/>
      </c>
    </row>
    <row r="119" spans="1:19" x14ac:dyDescent="0.2">
      <c r="A119" s="4">
        <v>111</v>
      </c>
      <c r="B119" s="81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3"/>
        <v>0</v>
      </c>
      <c r="R119" s="41">
        <f t="shared" si="4"/>
        <v>0</v>
      </c>
      <c r="S119" s="41" t="str">
        <f t="shared" si="5"/>
        <v/>
      </c>
    </row>
    <row r="120" spans="1:19" x14ac:dyDescent="0.2">
      <c r="A120" s="4">
        <v>112</v>
      </c>
      <c r="B120" s="81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3"/>
        <v>0</v>
      </c>
      <c r="R120" s="41">
        <f t="shared" si="4"/>
        <v>0</v>
      </c>
      <c r="S120" s="41" t="str">
        <f t="shared" si="5"/>
        <v/>
      </c>
    </row>
    <row r="121" spans="1:19" x14ac:dyDescent="0.2">
      <c r="A121" s="4">
        <v>113</v>
      </c>
      <c r="B121" s="81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3"/>
        <v>0</v>
      </c>
      <c r="R121" s="41">
        <f t="shared" si="4"/>
        <v>0</v>
      </c>
      <c r="S121" s="41" t="str">
        <f t="shared" si="5"/>
        <v/>
      </c>
    </row>
    <row r="122" spans="1:19" x14ac:dyDescent="0.2">
      <c r="A122" s="4">
        <v>114</v>
      </c>
      <c r="B122" s="81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3"/>
        <v>0</v>
      </c>
      <c r="R122" s="41">
        <f t="shared" si="4"/>
        <v>0</v>
      </c>
      <c r="S122" s="41" t="str">
        <f t="shared" si="5"/>
        <v/>
      </c>
    </row>
    <row r="123" spans="1:19" x14ac:dyDescent="0.2">
      <c r="A123" s="4">
        <v>115</v>
      </c>
      <c r="B123" s="81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3"/>
        <v>0</v>
      </c>
      <c r="R123" s="41">
        <f t="shared" si="4"/>
        <v>0</v>
      </c>
      <c r="S123" s="41" t="str">
        <f t="shared" si="5"/>
        <v/>
      </c>
    </row>
    <row r="124" spans="1:19" x14ac:dyDescent="0.2">
      <c r="A124" s="4">
        <v>116</v>
      </c>
      <c r="B124" s="81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3"/>
        <v>0</v>
      </c>
      <c r="R124" s="41">
        <f t="shared" si="4"/>
        <v>0</v>
      </c>
      <c r="S124" s="41" t="str">
        <f t="shared" si="5"/>
        <v/>
      </c>
    </row>
    <row r="125" spans="1:19" x14ac:dyDescent="0.2">
      <c r="A125" s="4">
        <v>117</v>
      </c>
      <c r="B125" s="81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3"/>
        <v>0</v>
      </c>
      <c r="R125" s="41">
        <f t="shared" si="4"/>
        <v>0</v>
      </c>
      <c r="S125" s="41" t="str">
        <f t="shared" si="5"/>
        <v/>
      </c>
    </row>
    <row r="126" spans="1:19" x14ac:dyDescent="0.2">
      <c r="A126" s="4">
        <v>118</v>
      </c>
      <c r="B126" s="81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3"/>
        <v>0</v>
      </c>
      <c r="R126" s="41">
        <f t="shared" si="4"/>
        <v>0</v>
      </c>
      <c r="S126" s="41" t="str">
        <f t="shared" si="5"/>
        <v/>
      </c>
    </row>
    <row r="127" spans="1:19" x14ac:dyDescent="0.2">
      <c r="A127" s="4">
        <v>119</v>
      </c>
      <c r="B127" s="81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3"/>
        <v>0</v>
      </c>
      <c r="R127" s="41">
        <f t="shared" si="4"/>
        <v>0</v>
      </c>
      <c r="S127" s="41" t="str">
        <f t="shared" si="5"/>
        <v/>
      </c>
    </row>
    <row r="128" spans="1:19" x14ac:dyDescent="0.2">
      <c r="A128" s="4">
        <v>120</v>
      </c>
      <c r="B128" s="81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3"/>
        <v>0</v>
      </c>
      <c r="R128" s="41">
        <f t="shared" si="4"/>
        <v>0</v>
      </c>
      <c r="S128" s="41" t="str">
        <f t="shared" si="5"/>
        <v/>
      </c>
    </row>
    <row r="129" spans="1:19" x14ac:dyDescent="0.2">
      <c r="A129" s="4">
        <v>121</v>
      </c>
      <c r="B129" s="81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3"/>
        <v>0</v>
      </c>
      <c r="R129" s="41">
        <f t="shared" si="4"/>
        <v>0</v>
      </c>
      <c r="S129" s="41" t="str">
        <f t="shared" si="5"/>
        <v/>
      </c>
    </row>
    <row r="130" spans="1:19" x14ac:dyDescent="0.2">
      <c r="A130" s="4">
        <v>122</v>
      </c>
      <c r="B130" s="81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3"/>
        <v>0</v>
      </c>
      <c r="R130" s="41">
        <f t="shared" si="4"/>
        <v>0</v>
      </c>
      <c r="S130" s="41" t="str">
        <f t="shared" si="5"/>
        <v/>
      </c>
    </row>
    <row r="131" spans="1:19" x14ac:dyDescent="0.2">
      <c r="A131" s="4">
        <v>123</v>
      </c>
      <c r="B131" s="81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3"/>
        <v>0</v>
      </c>
      <c r="R131" s="41">
        <f t="shared" si="4"/>
        <v>0</v>
      </c>
      <c r="S131" s="41" t="str">
        <f t="shared" si="5"/>
        <v/>
      </c>
    </row>
    <row r="132" spans="1:19" x14ac:dyDescent="0.2">
      <c r="A132" s="4">
        <v>124</v>
      </c>
      <c r="B132" s="81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3"/>
        <v>0</v>
      </c>
      <c r="R132" s="41">
        <f t="shared" si="4"/>
        <v>0</v>
      </c>
      <c r="S132" s="41" t="str">
        <f t="shared" si="5"/>
        <v/>
      </c>
    </row>
    <row r="133" spans="1:19" x14ac:dyDescent="0.2">
      <c r="A133" s="4">
        <v>125</v>
      </c>
      <c r="B133" s="81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3"/>
        <v>0</v>
      </c>
      <c r="R133" s="41">
        <f t="shared" si="4"/>
        <v>0</v>
      </c>
      <c r="S133" s="41" t="str">
        <f t="shared" si="5"/>
        <v/>
      </c>
    </row>
    <row r="134" spans="1:19" x14ac:dyDescent="0.2">
      <c r="A134" s="4">
        <v>126</v>
      </c>
      <c r="B134" s="81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3"/>
        <v>0</v>
      </c>
      <c r="R134" s="41">
        <f t="shared" si="4"/>
        <v>0</v>
      </c>
      <c r="S134" s="41" t="str">
        <f t="shared" si="5"/>
        <v/>
      </c>
    </row>
    <row r="135" spans="1:19" x14ac:dyDescent="0.2">
      <c r="A135" s="4">
        <v>127</v>
      </c>
      <c r="B135" s="81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3"/>
        <v>0</v>
      </c>
      <c r="R135" s="41">
        <f t="shared" si="4"/>
        <v>0</v>
      </c>
      <c r="S135" s="41" t="str">
        <f t="shared" si="5"/>
        <v/>
      </c>
    </row>
    <row r="136" spans="1:19" x14ac:dyDescent="0.2">
      <c r="A136" s="4">
        <v>128</v>
      </c>
      <c r="B136" s="81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3"/>
        <v>0</v>
      </c>
      <c r="R136" s="41">
        <f t="shared" si="4"/>
        <v>0</v>
      </c>
      <c r="S136" s="41" t="str">
        <f t="shared" si="5"/>
        <v/>
      </c>
    </row>
    <row r="137" spans="1:19" x14ac:dyDescent="0.2">
      <c r="A137" s="4">
        <v>129</v>
      </c>
      <c r="B137" s="81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3"/>
        <v>0</v>
      </c>
      <c r="R137" s="41">
        <f t="shared" si="4"/>
        <v>0</v>
      </c>
      <c r="S137" s="41" t="str">
        <f t="shared" si="5"/>
        <v/>
      </c>
    </row>
    <row r="138" spans="1:19" x14ac:dyDescent="0.2">
      <c r="A138" s="4">
        <v>130</v>
      </c>
      <c r="B138" s="81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6">E138*F138</f>
        <v>0</v>
      </c>
      <c r="R138" s="41">
        <f t="shared" ref="R138:R201" si="7">Q138+(Q138*H138)</f>
        <v>0</v>
      </c>
      <c r="S138" s="41" t="str">
        <f t="shared" ref="S138:S201" si="8">IF(O138=$V$3,R138-(R138*G138),IF(O138=$V$4,-P138,""))</f>
        <v/>
      </c>
    </row>
    <row r="139" spans="1:19" x14ac:dyDescent="0.2">
      <c r="A139" s="4">
        <v>131</v>
      </c>
      <c r="B139" s="81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6"/>
        <v>0</v>
      </c>
      <c r="R139" s="41">
        <f t="shared" si="7"/>
        <v>0</v>
      </c>
      <c r="S139" s="41" t="str">
        <f t="shared" si="8"/>
        <v/>
      </c>
    </row>
    <row r="140" spans="1:19" x14ac:dyDescent="0.2">
      <c r="A140" s="4">
        <v>132</v>
      </c>
      <c r="B140" s="81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6"/>
        <v>0</v>
      </c>
      <c r="R140" s="41">
        <f t="shared" si="7"/>
        <v>0</v>
      </c>
      <c r="S140" s="41" t="str">
        <f t="shared" si="8"/>
        <v/>
      </c>
    </row>
    <row r="141" spans="1:19" x14ac:dyDescent="0.2">
      <c r="A141" s="4">
        <v>133</v>
      </c>
      <c r="B141" s="81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6"/>
        <v>0</v>
      </c>
      <c r="R141" s="41">
        <f t="shared" si="7"/>
        <v>0</v>
      </c>
      <c r="S141" s="41" t="str">
        <f t="shared" si="8"/>
        <v/>
      </c>
    </row>
    <row r="142" spans="1:19" x14ac:dyDescent="0.2">
      <c r="A142" s="4">
        <v>134</v>
      </c>
      <c r="B142" s="81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6"/>
        <v>0</v>
      </c>
      <c r="R142" s="41">
        <f t="shared" si="7"/>
        <v>0</v>
      </c>
      <c r="S142" s="41" t="str">
        <f t="shared" si="8"/>
        <v/>
      </c>
    </row>
    <row r="143" spans="1:19" x14ac:dyDescent="0.2">
      <c r="A143" s="4">
        <v>135</v>
      </c>
      <c r="B143" s="81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6"/>
        <v>0</v>
      </c>
      <c r="R143" s="41">
        <f t="shared" si="7"/>
        <v>0</v>
      </c>
      <c r="S143" s="41" t="str">
        <f t="shared" si="8"/>
        <v/>
      </c>
    </row>
    <row r="144" spans="1:19" x14ac:dyDescent="0.2">
      <c r="A144" s="4">
        <v>136</v>
      </c>
      <c r="B144" s="81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6"/>
        <v>0</v>
      </c>
      <c r="R144" s="41">
        <f t="shared" si="7"/>
        <v>0</v>
      </c>
      <c r="S144" s="41" t="str">
        <f t="shared" si="8"/>
        <v/>
      </c>
    </row>
    <row r="145" spans="1:19" x14ac:dyDescent="0.2">
      <c r="A145" s="4">
        <v>137</v>
      </c>
      <c r="B145" s="81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6"/>
        <v>0</v>
      </c>
      <c r="R145" s="41">
        <f t="shared" si="7"/>
        <v>0</v>
      </c>
      <c r="S145" s="41" t="str">
        <f t="shared" si="8"/>
        <v/>
      </c>
    </row>
    <row r="146" spans="1:19" x14ac:dyDescent="0.2">
      <c r="A146" s="4">
        <v>138</v>
      </c>
      <c r="B146" s="81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6"/>
        <v>0</v>
      </c>
      <c r="R146" s="41">
        <f t="shared" si="7"/>
        <v>0</v>
      </c>
      <c r="S146" s="41" t="str">
        <f t="shared" si="8"/>
        <v/>
      </c>
    </row>
    <row r="147" spans="1:19" x14ac:dyDescent="0.2">
      <c r="A147" s="4">
        <v>139</v>
      </c>
      <c r="B147" s="81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6"/>
        <v>0</v>
      </c>
      <c r="R147" s="41">
        <f t="shared" si="7"/>
        <v>0</v>
      </c>
      <c r="S147" s="41" t="str">
        <f t="shared" si="8"/>
        <v/>
      </c>
    </row>
    <row r="148" spans="1:19" x14ac:dyDescent="0.2">
      <c r="A148" s="4">
        <v>140</v>
      </c>
      <c r="B148" s="81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6"/>
        <v>0</v>
      </c>
      <c r="R148" s="41">
        <f t="shared" si="7"/>
        <v>0</v>
      </c>
      <c r="S148" s="41" t="str">
        <f t="shared" si="8"/>
        <v/>
      </c>
    </row>
    <row r="149" spans="1:19" x14ac:dyDescent="0.2">
      <c r="A149" s="4">
        <v>141</v>
      </c>
      <c r="B149" s="81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6"/>
        <v>0</v>
      </c>
      <c r="R149" s="41">
        <f t="shared" si="7"/>
        <v>0</v>
      </c>
      <c r="S149" s="41" t="str">
        <f t="shared" si="8"/>
        <v/>
      </c>
    </row>
    <row r="150" spans="1:19" x14ac:dyDescent="0.2">
      <c r="A150" s="4">
        <v>142</v>
      </c>
      <c r="B150" s="81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6"/>
        <v>0</v>
      </c>
      <c r="R150" s="41">
        <f t="shared" si="7"/>
        <v>0</v>
      </c>
      <c r="S150" s="41" t="str">
        <f t="shared" si="8"/>
        <v/>
      </c>
    </row>
    <row r="151" spans="1:19" x14ac:dyDescent="0.2">
      <c r="A151" s="4">
        <v>143</v>
      </c>
      <c r="B151" s="81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6"/>
        <v>0</v>
      </c>
      <c r="R151" s="41">
        <f t="shared" si="7"/>
        <v>0</v>
      </c>
      <c r="S151" s="41" t="str">
        <f t="shared" si="8"/>
        <v/>
      </c>
    </row>
    <row r="152" spans="1:19" x14ac:dyDescent="0.2">
      <c r="A152" s="4">
        <v>144</v>
      </c>
      <c r="B152" s="81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6"/>
        <v>0</v>
      </c>
      <c r="R152" s="41">
        <f t="shared" si="7"/>
        <v>0</v>
      </c>
      <c r="S152" s="41" t="str">
        <f t="shared" si="8"/>
        <v/>
      </c>
    </row>
    <row r="153" spans="1:19" x14ac:dyDescent="0.2">
      <c r="A153" s="4">
        <v>145</v>
      </c>
      <c r="B153" s="81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6"/>
        <v>0</v>
      </c>
      <c r="R153" s="41">
        <f t="shared" si="7"/>
        <v>0</v>
      </c>
      <c r="S153" s="41" t="str">
        <f t="shared" si="8"/>
        <v/>
      </c>
    </row>
    <row r="154" spans="1:19" x14ac:dyDescent="0.2">
      <c r="A154" s="4">
        <v>146</v>
      </c>
      <c r="B154" s="81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6"/>
        <v>0</v>
      </c>
      <c r="R154" s="41">
        <f t="shared" si="7"/>
        <v>0</v>
      </c>
      <c r="S154" s="41" t="str">
        <f t="shared" si="8"/>
        <v/>
      </c>
    </row>
    <row r="155" spans="1:19" x14ac:dyDescent="0.2">
      <c r="A155" s="4">
        <v>147</v>
      </c>
      <c r="B155" s="81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6"/>
        <v>0</v>
      </c>
      <c r="R155" s="41">
        <f t="shared" si="7"/>
        <v>0</v>
      </c>
      <c r="S155" s="41" t="str">
        <f t="shared" si="8"/>
        <v/>
      </c>
    </row>
    <row r="156" spans="1:19" x14ac:dyDescent="0.2">
      <c r="A156" s="4">
        <v>148</v>
      </c>
      <c r="B156" s="81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6"/>
        <v>0</v>
      </c>
      <c r="R156" s="41">
        <f t="shared" si="7"/>
        <v>0</v>
      </c>
      <c r="S156" s="41" t="str">
        <f t="shared" si="8"/>
        <v/>
      </c>
    </row>
    <row r="157" spans="1:19" x14ac:dyDescent="0.2">
      <c r="A157" s="4">
        <v>149</v>
      </c>
      <c r="B157" s="81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6"/>
        <v>0</v>
      </c>
      <c r="R157" s="41">
        <f t="shared" si="7"/>
        <v>0</v>
      </c>
      <c r="S157" s="41" t="str">
        <f t="shared" si="8"/>
        <v/>
      </c>
    </row>
    <row r="158" spans="1:19" x14ac:dyDescent="0.2">
      <c r="A158" s="4">
        <v>150</v>
      </c>
      <c r="B158" s="81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6"/>
        <v>0</v>
      </c>
      <c r="R158" s="41">
        <f t="shared" si="7"/>
        <v>0</v>
      </c>
      <c r="S158" s="41" t="str">
        <f t="shared" si="8"/>
        <v/>
      </c>
    </row>
    <row r="159" spans="1:19" x14ac:dyDescent="0.2">
      <c r="A159" s="4">
        <v>151</v>
      </c>
      <c r="B159" s="81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6"/>
        <v>0</v>
      </c>
      <c r="R159" s="41">
        <f t="shared" si="7"/>
        <v>0</v>
      </c>
      <c r="S159" s="41" t="str">
        <f t="shared" si="8"/>
        <v/>
      </c>
    </row>
    <row r="160" spans="1:19" x14ac:dyDescent="0.2">
      <c r="A160" s="4">
        <v>152</v>
      </c>
      <c r="B160" s="81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6"/>
        <v>0</v>
      </c>
      <c r="R160" s="41">
        <f t="shared" si="7"/>
        <v>0</v>
      </c>
      <c r="S160" s="41" t="str">
        <f t="shared" si="8"/>
        <v/>
      </c>
    </row>
    <row r="161" spans="1:19" x14ac:dyDescent="0.2">
      <c r="A161" s="4">
        <v>153</v>
      </c>
      <c r="B161" s="81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6"/>
        <v>0</v>
      </c>
      <c r="R161" s="41">
        <f t="shared" si="7"/>
        <v>0</v>
      </c>
      <c r="S161" s="41" t="str">
        <f t="shared" si="8"/>
        <v/>
      </c>
    </row>
    <row r="162" spans="1:19" x14ac:dyDescent="0.2">
      <c r="A162" s="4">
        <v>154</v>
      </c>
      <c r="B162" s="81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6"/>
        <v>0</v>
      </c>
      <c r="R162" s="41">
        <f t="shared" si="7"/>
        <v>0</v>
      </c>
      <c r="S162" s="41" t="str">
        <f t="shared" si="8"/>
        <v/>
      </c>
    </row>
    <row r="163" spans="1:19" x14ac:dyDescent="0.2">
      <c r="A163" s="4">
        <v>155</v>
      </c>
      <c r="B163" s="81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6"/>
        <v>0</v>
      </c>
      <c r="R163" s="41">
        <f t="shared" si="7"/>
        <v>0</v>
      </c>
      <c r="S163" s="41" t="str">
        <f t="shared" si="8"/>
        <v/>
      </c>
    </row>
    <row r="164" spans="1:19" x14ac:dyDescent="0.2">
      <c r="A164" s="4">
        <v>156</v>
      </c>
      <c r="B164" s="81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6"/>
        <v>0</v>
      </c>
      <c r="R164" s="41">
        <f t="shared" si="7"/>
        <v>0</v>
      </c>
      <c r="S164" s="41" t="str">
        <f t="shared" si="8"/>
        <v/>
      </c>
    </row>
    <row r="165" spans="1:19" x14ac:dyDescent="0.2">
      <c r="A165" s="4">
        <v>157</v>
      </c>
      <c r="B165" s="81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6"/>
        <v>0</v>
      </c>
      <c r="R165" s="41">
        <f t="shared" si="7"/>
        <v>0</v>
      </c>
      <c r="S165" s="41" t="str">
        <f t="shared" si="8"/>
        <v/>
      </c>
    </row>
    <row r="166" spans="1:19" x14ac:dyDescent="0.2">
      <c r="A166" s="4">
        <v>158</v>
      </c>
      <c r="B166" s="81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6"/>
        <v>0</v>
      </c>
      <c r="R166" s="41">
        <f t="shared" si="7"/>
        <v>0</v>
      </c>
      <c r="S166" s="41" t="str">
        <f t="shared" si="8"/>
        <v/>
      </c>
    </row>
    <row r="167" spans="1:19" x14ac:dyDescent="0.2">
      <c r="A167" s="4">
        <v>159</v>
      </c>
      <c r="B167" s="81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6"/>
        <v>0</v>
      </c>
      <c r="R167" s="41">
        <f t="shared" si="7"/>
        <v>0</v>
      </c>
      <c r="S167" s="41" t="str">
        <f t="shared" si="8"/>
        <v/>
      </c>
    </row>
    <row r="168" spans="1:19" x14ac:dyDescent="0.2">
      <c r="A168" s="4">
        <v>160</v>
      </c>
      <c r="B168" s="81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6"/>
        <v>0</v>
      </c>
      <c r="R168" s="41">
        <f t="shared" si="7"/>
        <v>0</v>
      </c>
      <c r="S168" s="41" t="str">
        <f t="shared" si="8"/>
        <v/>
      </c>
    </row>
    <row r="169" spans="1:19" x14ac:dyDescent="0.2">
      <c r="A169" s="4">
        <v>161</v>
      </c>
      <c r="B169" s="81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6"/>
        <v>0</v>
      </c>
      <c r="R169" s="41">
        <f t="shared" si="7"/>
        <v>0</v>
      </c>
      <c r="S169" s="41" t="str">
        <f t="shared" si="8"/>
        <v/>
      </c>
    </row>
    <row r="170" spans="1:19" x14ac:dyDescent="0.2">
      <c r="A170" s="4">
        <v>162</v>
      </c>
      <c r="B170" s="81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6"/>
        <v>0</v>
      </c>
      <c r="R170" s="41">
        <f t="shared" si="7"/>
        <v>0</v>
      </c>
      <c r="S170" s="41" t="str">
        <f t="shared" si="8"/>
        <v/>
      </c>
    </row>
    <row r="171" spans="1:19" x14ac:dyDescent="0.2">
      <c r="A171" s="4">
        <v>163</v>
      </c>
      <c r="B171" s="81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6"/>
        <v>0</v>
      </c>
      <c r="R171" s="41">
        <f t="shared" si="7"/>
        <v>0</v>
      </c>
      <c r="S171" s="41" t="str">
        <f t="shared" si="8"/>
        <v/>
      </c>
    </row>
    <row r="172" spans="1:19" x14ac:dyDescent="0.2">
      <c r="A172" s="4">
        <v>164</v>
      </c>
      <c r="B172" s="81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6"/>
        <v>0</v>
      </c>
      <c r="R172" s="41">
        <f t="shared" si="7"/>
        <v>0</v>
      </c>
      <c r="S172" s="41" t="str">
        <f t="shared" si="8"/>
        <v/>
      </c>
    </row>
    <row r="173" spans="1:19" x14ac:dyDescent="0.2">
      <c r="A173" s="4">
        <v>165</v>
      </c>
      <c r="B173" s="81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6"/>
        <v>0</v>
      </c>
      <c r="R173" s="41">
        <f t="shared" si="7"/>
        <v>0</v>
      </c>
      <c r="S173" s="41" t="str">
        <f t="shared" si="8"/>
        <v/>
      </c>
    </row>
    <row r="174" spans="1:19" x14ac:dyDescent="0.2">
      <c r="A174" s="4">
        <v>166</v>
      </c>
      <c r="B174" s="81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6"/>
        <v>0</v>
      </c>
      <c r="R174" s="41">
        <f t="shared" si="7"/>
        <v>0</v>
      </c>
      <c r="S174" s="41" t="str">
        <f t="shared" si="8"/>
        <v/>
      </c>
    </row>
    <row r="175" spans="1:19" x14ac:dyDescent="0.2">
      <c r="A175" s="4">
        <v>167</v>
      </c>
      <c r="B175" s="81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6"/>
        <v>0</v>
      </c>
      <c r="R175" s="41">
        <f t="shared" si="7"/>
        <v>0</v>
      </c>
      <c r="S175" s="41" t="str">
        <f t="shared" si="8"/>
        <v/>
      </c>
    </row>
    <row r="176" spans="1:19" x14ac:dyDescent="0.2">
      <c r="A176" s="4">
        <v>168</v>
      </c>
      <c r="B176" s="81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6"/>
        <v>0</v>
      </c>
      <c r="R176" s="41">
        <f t="shared" si="7"/>
        <v>0</v>
      </c>
      <c r="S176" s="41" t="str">
        <f t="shared" si="8"/>
        <v/>
      </c>
    </row>
    <row r="177" spans="1:19" x14ac:dyDescent="0.2">
      <c r="A177" s="4">
        <v>169</v>
      </c>
      <c r="B177" s="81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6"/>
        <v>0</v>
      </c>
      <c r="R177" s="41">
        <f t="shared" si="7"/>
        <v>0</v>
      </c>
      <c r="S177" s="41" t="str">
        <f t="shared" si="8"/>
        <v/>
      </c>
    </row>
    <row r="178" spans="1:19" x14ac:dyDescent="0.2">
      <c r="A178" s="4">
        <v>170</v>
      </c>
      <c r="B178" s="81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6"/>
        <v>0</v>
      </c>
      <c r="R178" s="41">
        <f t="shared" si="7"/>
        <v>0</v>
      </c>
      <c r="S178" s="41" t="str">
        <f t="shared" si="8"/>
        <v/>
      </c>
    </row>
    <row r="179" spans="1:19" x14ac:dyDescent="0.2">
      <c r="A179" s="4">
        <v>171</v>
      </c>
      <c r="B179" s="81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6"/>
        <v>0</v>
      </c>
      <c r="R179" s="41">
        <f t="shared" si="7"/>
        <v>0</v>
      </c>
      <c r="S179" s="41" t="str">
        <f t="shared" si="8"/>
        <v/>
      </c>
    </row>
    <row r="180" spans="1:19" x14ac:dyDescent="0.2">
      <c r="A180" s="4">
        <v>172</v>
      </c>
      <c r="B180" s="81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6"/>
        <v>0</v>
      </c>
      <c r="R180" s="41">
        <f t="shared" si="7"/>
        <v>0</v>
      </c>
      <c r="S180" s="41" t="str">
        <f t="shared" si="8"/>
        <v/>
      </c>
    </row>
    <row r="181" spans="1:19" x14ac:dyDescent="0.2">
      <c r="A181" s="4">
        <v>173</v>
      </c>
      <c r="B181" s="81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6"/>
        <v>0</v>
      </c>
      <c r="R181" s="41">
        <f t="shared" si="7"/>
        <v>0</v>
      </c>
      <c r="S181" s="41" t="str">
        <f t="shared" si="8"/>
        <v/>
      </c>
    </row>
    <row r="182" spans="1:19" x14ac:dyDescent="0.2">
      <c r="A182" s="4">
        <v>174</v>
      </c>
      <c r="B182" s="81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6"/>
        <v>0</v>
      </c>
      <c r="R182" s="41">
        <f t="shared" si="7"/>
        <v>0</v>
      </c>
      <c r="S182" s="41" t="str">
        <f t="shared" si="8"/>
        <v/>
      </c>
    </row>
    <row r="183" spans="1:19" x14ac:dyDescent="0.2">
      <c r="A183" s="4">
        <v>175</v>
      </c>
      <c r="B183" s="81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6"/>
        <v>0</v>
      </c>
      <c r="R183" s="41">
        <f t="shared" si="7"/>
        <v>0</v>
      </c>
      <c r="S183" s="41" t="str">
        <f t="shared" si="8"/>
        <v/>
      </c>
    </row>
    <row r="184" spans="1:19" x14ac:dyDescent="0.2">
      <c r="A184" s="4">
        <v>176</v>
      </c>
      <c r="B184" s="81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6"/>
        <v>0</v>
      </c>
      <c r="R184" s="41">
        <f t="shared" si="7"/>
        <v>0</v>
      </c>
      <c r="S184" s="41" t="str">
        <f t="shared" si="8"/>
        <v/>
      </c>
    </row>
    <row r="185" spans="1:19" x14ac:dyDescent="0.2">
      <c r="A185" s="4">
        <v>177</v>
      </c>
      <c r="B185" s="81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6"/>
        <v>0</v>
      </c>
      <c r="R185" s="41">
        <f t="shared" si="7"/>
        <v>0</v>
      </c>
      <c r="S185" s="41" t="str">
        <f t="shared" si="8"/>
        <v/>
      </c>
    </row>
    <row r="186" spans="1:19" x14ac:dyDescent="0.2">
      <c r="A186" s="4">
        <v>178</v>
      </c>
      <c r="B186" s="81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6"/>
        <v>0</v>
      </c>
      <c r="R186" s="41">
        <f t="shared" si="7"/>
        <v>0</v>
      </c>
      <c r="S186" s="41" t="str">
        <f t="shared" si="8"/>
        <v/>
      </c>
    </row>
    <row r="187" spans="1:19" x14ac:dyDescent="0.2">
      <c r="A187" s="4">
        <v>179</v>
      </c>
      <c r="B187" s="81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6"/>
        <v>0</v>
      </c>
      <c r="R187" s="41">
        <f t="shared" si="7"/>
        <v>0</v>
      </c>
      <c r="S187" s="41" t="str">
        <f t="shared" si="8"/>
        <v/>
      </c>
    </row>
    <row r="188" spans="1:19" x14ac:dyDescent="0.2">
      <c r="A188" s="4">
        <v>180</v>
      </c>
      <c r="B188" s="81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6"/>
        <v>0</v>
      </c>
      <c r="R188" s="41">
        <f t="shared" si="7"/>
        <v>0</v>
      </c>
      <c r="S188" s="41" t="str">
        <f t="shared" si="8"/>
        <v/>
      </c>
    </row>
    <row r="189" spans="1:19" x14ac:dyDescent="0.2">
      <c r="A189" s="4">
        <v>181</v>
      </c>
      <c r="B189" s="81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6"/>
        <v>0</v>
      </c>
      <c r="R189" s="41">
        <f t="shared" si="7"/>
        <v>0</v>
      </c>
      <c r="S189" s="41" t="str">
        <f t="shared" si="8"/>
        <v/>
      </c>
    </row>
    <row r="190" spans="1:19" x14ac:dyDescent="0.2">
      <c r="A190" s="4">
        <v>182</v>
      </c>
      <c r="B190" s="81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6"/>
        <v>0</v>
      </c>
      <c r="R190" s="41">
        <f t="shared" si="7"/>
        <v>0</v>
      </c>
      <c r="S190" s="41" t="str">
        <f t="shared" si="8"/>
        <v/>
      </c>
    </row>
    <row r="191" spans="1:19" x14ac:dyDescent="0.2">
      <c r="A191" s="4">
        <v>183</v>
      </c>
      <c r="B191" s="81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6"/>
        <v>0</v>
      </c>
      <c r="R191" s="41">
        <f t="shared" si="7"/>
        <v>0</v>
      </c>
      <c r="S191" s="41" t="str">
        <f t="shared" si="8"/>
        <v/>
      </c>
    </row>
    <row r="192" spans="1:19" x14ac:dyDescent="0.2">
      <c r="A192" s="4">
        <v>184</v>
      </c>
      <c r="B192" s="81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6"/>
        <v>0</v>
      </c>
      <c r="R192" s="41">
        <f t="shared" si="7"/>
        <v>0</v>
      </c>
      <c r="S192" s="41" t="str">
        <f t="shared" si="8"/>
        <v/>
      </c>
    </row>
    <row r="193" spans="1:19" x14ac:dyDescent="0.2">
      <c r="A193" s="4">
        <v>185</v>
      </c>
      <c r="B193" s="81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6"/>
        <v>0</v>
      </c>
      <c r="R193" s="41">
        <f t="shared" si="7"/>
        <v>0</v>
      </c>
      <c r="S193" s="41" t="str">
        <f t="shared" si="8"/>
        <v/>
      </c>
    </row>
    <row r="194" spans="1:19" x14ac:dyDescent="0.2">
      <c r="A194" s="4">
        <v>186</v>
      </c>
      <c r="B194" s="81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6"/>
        <v>0</v>
      </c>
      <c r="R194" s="41">
        <f t="shared" si="7"/>
        <v>0</v>
      </c>
      <c r="S194" s="41" t="str">
        <f t="shared" si="8"/>
        <v/>
      </c>
    </row>
    <row r="195" spans="1:19" x14ac:dyDescent="0.2">
      <c r="A195" s="4">
        <v>187</v>
      </c>
      <c r="B195" s="81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6"/>
        <v>0</v>
      </c>
      <c r="R195" s="41">
        <f t="shared" si="7"/>
        <v>0</v>
      </c>
      <c r="S195" s="41" t="str">
        <f t="shared" si="8"/>
        <v/>
      </c>
    </row>
    <row r="196" spans="1:19" x14ac:dyDescent="0.2">
      <c r="A196" s="4">
        <v>188</v>
      </c>
      <c r="B196" s="81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6"/>
        <v>0</v>
      </c>
      <c r="R196" s="41">
        <f t="shared" si="7"/>
        <v>0</v>
      </c>
      <c r="S196" s="41" t="str">
        <f t="shared" si="8"/>
        <v/>
      </c>
    </row>
    <row r="197" spans="1:19" x14ac:dyDescent="0.2">
      <c r="A197" s="4">
        <v>189</v>
      </c>
      <c r="B197" s="81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6"/>
        <v>0</v>
      </c>
      <c r="R197" s="41">
        <f t="shared" si="7"/>
        <v>0</v>
      </c>
      <c r="S197" s="41" t="str">
        <f t="shared" si="8"/>
        <v/>
      </c>
    </row>
    <row r="198" spans="1:19" x14ac:dyDescent="0.2">
      <c r="A198" s="4">
        <v>190</v>
      </c>
      <c r="B198" s="81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6"/>
        <v>0</v>
      </c>
      <c r="R198" s="41">
        <f t="shared" si="7"/>
        <v>0</v>
      </c>
      <c r="S198" s="41" t="str">
        <f t="shared" si="8"/>
        <v/>
      </c>
    </row>
    <row r="199" spans="1:19" x14ac:dyDescent="0.2">
      <c r="A199" s="4">
        <v>191</v>
      </c>
      <c r="B199" s="81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6"/>
        <v>0</v>
      </c>
      <c r="R199" s="41">
        <f t="shared" si="7"/>
        <v>0</v>
      </c>
      <c r="S199" s="41" t="str">
        <f t="shared" si="8"/>
        <v/>
      </c>
    </row>
    <row r="200" spans="1:19" x14ac:dyDescent="0.2">
      <c r="A200" s="4">
        <v>192</v>
      </c>
      <c r="B200" s="81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6"/>
        <v>0</v>
      </c>
      <c r="R200" s="41">
        <f t="shared" si="7"/>
        <v>0</v>
      </c>
      <c r="S200" s="41" t="str">
        <f t="shared" si="8"/>
        <v/>
      </c>
    </row>
    <row r="201" spans="1:19" x14ac:dyDescent="0.2">
      <c r="A201" s="4">
        <v>193</v>
      </c>
      <c r="B201" s="81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6"/>
        <v>0</v>
      </c>
      <c r="R201" s="41">
        <f t="shared" si="7"/>
        <v>0</v>
      </c>
      <c r="S201" s="41" t="str">
        <f t="shared" si="8"/>
        <v/>
      </c>
    </row>
    <row r="202" spans="1:19" x14ac:dyDescent="0.2">
      <c r="A202" s="4">
        <v>194</v>
      </c>
      <c r="B202" s="81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9">E202*F202</f>
        <v>0</v>
      </c>
      <c r="R202" s="41">
        <f t="shared" ref="R202:R208" si="10">Q202+(Q202*H202)</f>
        <v>0</v>
      </c>
      <c r="S202" s="41" t="str">
        <f t="shared" ref="S202:S208" si="11">IF(O202=$V$3,R202-(R202*G202),IF(O202=$V$4,-P202,""))</f>
        <v/>
      </c>
    </row>
    <row r="203" spans="1:19" x14ac:dyDescent="0.2">
      <c r="A203" s="4">
        <v>195</v>
      </c>
      <c r="B203" s="81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9"/>
        <v>0</v>
      </c>
      <c r="R203" s="41">
        <f t="shared" si="10"/>
        <v>0</v>
      </c>
      <c r="S203" s="41" t="str">
        <f t="shared" si="11"/>
        <v/>
      </c>
    </row>
    <row r="204" spans="1:19" x14ac:dyDescent="0.2">
      <c r="A204" s="4">
        <v>196</v>
      </c>
      <c r="B204" s="81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9"/>
        <v>0</v>
      </c>
      <c r="R204" s="41">
        <f t="shared" si="10"/>
        <v>0</v>
      </c>
      <c r="S204" s="41" t="str">
        <f t="shared" si="11"/>
        <v/>
      </c>
    </row>
    <row r="205" spans="1:19" x14ac:dyDescent="0.2">
      <c r="A205" s="4">
        <v>197</v>
      </c>
      <c r="B205" s="81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9"/>
        <v>0</v>
      </c>
      <c r="R205" s="41">
        <f t="shared" si="10"/>
        <v>0</v>
      </c>
      <c r="S205" s="41" t="str">
        <f t="shared" si="11"/>
        <v/>
      </c>
    </row>
    <row r="206" spans="1:19" x14ac:dyDescent="0.2">
      <c r="A206" s="4">
        <v>198</v>
      </c>
      <c r="B206" s="81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9"/>
        <v>0</v>
      </c>
      <c r="R206" s="41">
        <f t="shared" si="10"/>
        <v>0</v>
      </c>
      <c r="S206" s="41" t="str">
        <f t="shared" si="11"/>
        <v/>
      </c>
    </row>
    <row r="207" spans="1:19" x14ac:dyDescent="0.2">
      <c r="A207" s="4">
        <v>199</v>
      </c>
      <c r="B207" s="81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9"/>
        <v>0</v>
      </c>
      <c r="R207" s="41">
        <f t="shared" si="10"/>
        <v>0</v>
      </c>
      <c r="S207" s="41" t="str">
        <f t="shared" si="11"/>
        <v/>
      </c>
    </row>
    <row r="208" spans="1:19" x14ac:dyDescent="0.2">
      <c r="A208" s="4">
        <v>200</v>
      </c>
      <c r="B208" s="81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9"/>
        <v>0</v>
      </c>
      <c r="R208" s="41">
        <f t="shared" si="10"/>
        <v>0</v>
      </c>
      <c r="S208" s="41" t="str">
        <f t="shared" si="11"/>
        <v/>
      </c>
    </row>
  </sheetData>
  <autoFilter ref="A8:S208" xr:uid="{00000000-0009-0000-0000-000009000000}"/>
  <mergeCells count="2">
    <mergeCell ref="A1:C1"/>
    <mergeCell ref="E1:G1"/>
  </mergeCells>
  <conditionalFormatting sqref="S1:S8 S209:S1048576">
    <cfRule type="cellIs" dxfId="51" priority="4" operator="equal">
      <formula>"ERROR"</formula>
    </cfRule>
  </conditionalFormatting>
  <conditionalFormatting sqref="D4">
    <cfRule type="cellIs" dxfId="50" priority="2" operator="greaterThan">
      <formula>0</formula>
    </cfRule>
    <cfRule type="cellIs" dxfId="49" priority="3" operator="lessThanOrEqual">
      <formula>0</formula>
    </cfRule>
  </conditionalFormatting>
  <conditionalFormatting sqref="S9:S208">
    <cfRule type="cellIs" dxfId="48" priority="1" operator="equal">
      <formula>"ERROR"</formula>
    </cfRule>
  </conditionalFormatting>
  <dataValidations count="1">
    <dataValidation type="list" allowBlank="1" showInputMessage="1" showErrorMessage="1" sqref="O9:O1048576" xr:uid="{4CA31A5B-CA51-4D43-AA8A-38D74C39F7F8}">
      <formula1>$V$3:$V$4</formula1>
    </dataValidation>
  </dataValidations>
  <hyperlinks>
    <hyperlink ref="E1:G1" location="'Master Sheet'!A1" display="GO BACK TO MASTER SHEET" xr:uid="{03FBDCE9-1786-D347-A86A-154B8DF20135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EE441EBF-E826-2947-A808-2B4B6E96EFC3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203BB9CC-7F74-0448-AC19-BE5AF521428B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20323-E72C-C34E-98B5-8D30E9437485}">
  <sheetPr codeName="Sheet44"/>
  <dimension ref="A1:V208"/>
  <sheetViews>
    <sheetView showGridLines="0" zoomScale="92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0.33203125" style="79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Naveed Resin (Waseem)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C015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-7150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80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81">
        <v>46017</v>
      </c>
      <c r="C9" s="6"/>
      <c r="D9" s="6"/>
      <c r="E9" s="7">
        <v>103</v>
      </c>
      <c r="F9" s="41">
        <v>4475</v>
      </c>
      <c r="G9" s="46"/>
      <c r="H9" s="39"/>
      <c r="I9" s="41"/>
      <c r="J9" s="41"/>
      <c r="K9" s="41"/>
      <c r="L9" s="41"/>
      <c r="M9" s="41"/>
      <c r="N9" s="41"/>
      <c r="O9" s="6" t="s">
        <v>198</v>
      </c>
      <c r="P9" s="41">
        <v>460925</v>
      </c>
      <c r="Q9" s="41">
        <f>E9*F9</f>
        <v>460925</v>
      </c>
      <c r="R9" s="41">
        <f>IF(O9=$U$3,(-Q9*G9)+(Q9*H9)+(E9*J9)+(L9)+I9+K9+M9+N9+Q9,IF(O9=$U$4,-P9,""))</f>
        <v>-460925</v>
      </c>
      <c r="S9" t="s">
        <v>229</v>
      </c>
    </row>
    <row r="10" spans="1:22" x14ac:dyDescent="0.2">
      <c r="A10" s="4">
        <v>2</v>
      </c>
      <c r="B10" s="81">
        <v>46017</v>
      </c>
      <c r="C10" s="6"/>
      <c r="D10" s="6"/>
      <c r="E10" s="7">
        <v>29</v>
      </c>
      <c r="F10" s="41">
        <v>2800</v>
      </c>
      <c r="G10" s="46"/>
      <c r="H10" s="39"/>
      <c r="I10" s="41"/>
      <c r="J10" s="41"/>
      <c r="K10" s="41"/>
      <c r="L10" s="41"/>
      <c r="M10" s="41"/>
      <c r="N10" s="41"/>
      <c r="O10" s="6" t="s">
        <v>198</v>
      </c>
      <c r="P10" s="41">
        <v>81200</v>
      </c>
      <c r="Q10" s="41">
        <f t="shared" ref="Q10:Q73" si="0">E10*F10</f>
        <v>81200</v>
      </c>
      <c r="R10" s="41">
        <f>IF(O10=$U$3,(Q10*G10)+(Q10*H10)+(E10*J10)+(L10)+I10+K10+M10+N10+Q10,IF(O10=$U$4,-P10,""))</f>
        <v>-81200</v>
      </c>
      <c r="S10" t="s">
        <v>229</v>
      </c>
    </row>
    <row r="11" spans="1:22" x14ac:dyDescent="0.2">
      <c r="A11" s="4">
        <v>3</v>
      </c>
      <c r="B11" s="81">
        <v>46017</v>
      </c>
      <c r="C11" s="6"/>
      <c r="D11" s="6"/>
      <c r="E11" s="7">
        <v>10</v>
      </c>
      <c r="F11" s="41">
        <v>2400</v>
      </c>
      <c r="G11" s="46"/>
      <c r="H11" s="39"/>
      <c r="I11" s="41"/>
      <c r="J11" s="41"/>
      <c r="K11" s="41"/>
      <c r="L11" s="41"/>
      <c r="M11" s="41"/>
      <c r="N11" s="41"/>
      <c r="O11" s="6" t="s">
        <v>198</v>
      </c>
      <c r="P11" s="41">
        <v>24000</v>
      </c>
      <c r="Q11" s="41">
        <f t="shared" si="0"/>
        <v>24000</v>
      </c>
      <c r="R11" s="41">
        <f t="shared" ref="R11:R74" si="1">IF(O11=$U$3,(Q11*G11)+(Q11*H11)+(E11*J11)+(L11)+I11+K11+M11+N11+Q11,IF(O11=$U$4,-P11,""))</f>
        <v>-24000</v>
      </c>
      <c r="S11" t="s">
        <v>229</v>
      </c>
    </row>
    <row r="12" spans="1:22" x14ac:dyDescent="0.2">
      <c r="A12" s="4">
        <v>4</v>
      </c>
      <c r="B12" s="81">
        <v>46022</v>
      </c>
      <c r="C12" s="6"/>
      <c r="D12" s="6"/>
      <c r="E12" s="7">
        <v>120</v>
      </c>
      <c r="F12" s="41">
        <v>3200</v>
      </c>
      <c r="G12" s="46"/>
      <c r="H12" s="39"/>
      <c r="I12" s="41"/>
      <c r="J12" s="41"/>
      <c r="K12" s="41"/>
      <c r="L12" s="41"/>
      <c r="M12" s="41"/>
      <c r="N12" s="41"/>
      <c r="O12" s="6" t="s">
        <v>83</v>
      </c>
      <c r="P12" s="41"/>
      <c r="Q12" s="41">
        <f t="shared" si="0"/>
        <v>384000</v>
      </c>
      <c r="R12" s="41">
        <f t="shared" si="1"/>
        <v>384000</v>
      </c>
    </row>
    <row r="13" spans="1:22" x14ac:dyDescent="0.2">
      <c r="A13" s="4">
        <v>5</v>
      </c>
      <c r="B13" s="81">
        <v>46031</v>
      </c>
      <c r="C13" s="6"/>
      <c r="D13" s="6"/>
      <c r="E13" s="7">
        <v>135</v>
      </c>
      <c r="F13" s="41">
        <v>3200</v>
      </c>
      <c r="G13" s="46"/>
      <c r="H13" s="39"/>
      <c r="I13" s="41"/>
      <c r="J13" s="41"/>
      <c r="K13" s="41"/>
      <c r="L13" s="41"/>
      <c r="M13" s="41"/>
      <c r="N13" s="41"/>
      <c r="O13" s="6" t="s">
        <v>83</v>
      </c>
      <c r="P13" s="41"/>
      <c r="Q13" s="41">
        <f t="shared" si="0"/>
        <v>432000</v>
      </c>
      <c r="R13" s="41">
        <f t="shared" si="1"/>
        <v>432000</v>
      </c>
    </row>
    <row r="14" spans="1:22" x14ac:dyDescent="0.2">
      <c r="A14" s="4">
        <v>6</v>
      </c>
      <c r="B14" s="81">
        <v>46036</v>
      </c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 t="s">
        <v>198</v>
      </c>
      <c r="P14" s="41">
        <v>85000</v>
      </c>
      <c r="Q14" s="41">
        <f t="shared" si="0"/>
        <v>0</v>
      </c>
      <c r="R14" s="41">
        <f t="shared" si="1"/>
        <v>-85000</v>
      </c>
    </row>
    <row r="15" spans="1:22" x14ac:dyDescent="0.2">
      <c r="A15" s="4">
        <v>7</v>
      </c>
      <c r="B15" s="81">
        <v>46038</v>
      </c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 t="s">
        <v>198</v>
      </c>
      <c r="P15" s="41">
        <v>150000</v>
      </c>
      <c r="Q15" s="41">
        <f t="shared" si="0"/>
        <v>0</v>
      </c>
      <c r="R15" s="41">
        <f t="shared" si="1"/>
        <v>-150000</v>
      </c>
    </row>
    <row r="16" spans="1:22" x14ac:dyDescent="0.2">
      <c r="A16" s="4">
        <v>8</v>
      </c>
      <c r="B16" s="81">
        <v>46050</v>
      </c>
      <c r="C16" s="6"/>
      <c r="D16" s="6"/>
      <c r="E16" s="7">
        <v>165</v>
      </c>
      <c r="F16" s="41">
        <v>4475</v>
      </c>
      <c r="G16" s="46"/>
      <c r="H16" s="39"/>
      <c r="I16" s="41"/>
      <c r="J16" s="41"/>
      <c r="K16" s="41"/>
      <c r="L16" s="41"/>
      <c r="M16" s="41"/>
      <c r="N16" s="41"/>
      <c r="O16" s="6" t="s">
        <v>83</v>
      </c>
      <c r="P16" s="41"/>
      <c r="Q16" s="41">
        <f t="shared" si="0"/>
        <v>738375</v>
      </c>
      <c r="R16" s="41">
        <f t="shared" si="1"/>
        <v>738375</v>
      </c>
    </row>
    <row r="17" spans="1:19" x14ac:dyDescent="0.2">
      <c r="A17" s="4">
        <v>9</v>
      </c>
      <c r="B17" s="81">
        <v>46050</v>
      </c>
      <c r="C17" s="6"/>
      <c r="D17" s="6"/>
      <c r="E17" s="7">
        <v>84</v>
      </c>
      <c r="F17" s="41">
        <v>4475</v>
      </c>
      <c r="G17" s="46"/>
      <c r="H17" s="39"/>
      <c r="I17" s="41"/>
      <c r="J17" s="41"/>
      <c r="K17" s="41"/>
      <c r="L17" s="41"/>
      <c r="M17" s="41"/>
      <c r="N17" s="41"/>
      <c r="O17" s="6" t="s">
        <v>198</v>
      </c>
      <c r="P17" s="41">
        <v>375900</v>
      </c>
      <c r="Q17" s="41">
        <f t="shared" si="0"/>
        <v>375900</v>
      </c>
      <c r="R17" s="41">
        <f t="shared" si="1"/>
        <v>-375900</v>
      </c>
      <c r="S17" t="s">
        <v>230</v>
      </c>
    </row>
    <row r="18" spans="1:19" x14ac:dyDescent="0.2">
      <c r="A18" s="4">
        <v>10</v>
      </c>
      <c r="B18" s="81">
        <v>46052</v>
      </c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 t="s">
        <v>198</v>
      </c>
      <c r="P18" s="41">
        <v>200000</v>
      </c>
      <c r="Q18" s="41">
        <f t="shared" si="0"/>
        <v>0</v>
      </c>
      <c r="R18" s="41">
        <f t="shared" si="1"/>
        <v>-200000</v>
      </c>
    </row>
    <row r="19" spans="1:19" x14ac:dyDescent="0.2">
      <c r="A19" s="4">
        <v>11</v>
      </c>
      <c r="B19" s="81">
        <v>46059</v>
      </c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 t="s">
        <v>198</v>
      </c>
      <c r="P19" s="41">
        <v>80000</v>
      </c>
      <c r="Q19" s="41">
        <f t="shared" si="0"/>
        <v>0</v>
      </c>
      <c r="R19" s="41">
        <f t="shared" si="1"/>
        <v>-80000</v>
      </c>
    </row>
    <row r="20" spans="1:19" x14ac:dyDescent="0.2">
      <c r="A20" s="4">
        <v>12</v>
      </c>
      <c r="B20" s="81">
        <v>46063</v>
      </c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 t="s">
        <v>198</v>
      </c>
      <c r="P20" s="41">
        <v>127500</v>
      </c>
      <c r="Q20" s="41">
        <f t="shared" si="0"/>
        <v>0</v>
      </c>
      <c r="R20" s="41">
        <f t="shared" si="1"/>
        <v>-127500</v>
      </c>
    </row>
    <row r="21" spans="1:19" x14ac:dyDescent="0.2">
      <c r="A21" s="4">
        <v>13</v>
      </c>
      <c r="B21" s="81">
        <v>46064</v>
      </c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 t="s">
        <v>198</v>
      </c>
      <c r="P21" s="41">
        <v>187500</v>
      </c>
      <c r="Q21" s="41">
        <f t="shared" si="0"/>
        <v>0</v>
      </c>
      <c r="R21" s="41">
        <f t="shared" si="1"/>
        <v>-187500</v>
      </c>
    </row>
    <row r="22" spans="1:19" x14ac:dyDescent="0.2">
      <c r="A22" s="4">
        <v>14</v>
      </c>
      <c r="B22" s="81">
        <v>46088</v>
      </c>
      <c r="C22" s="6"/>
      <c r="D22" s="6"/>
      <c r="E22" s="7">
        <v>120</v>
      </c>
      <c r="F22" s="41">
        <v>3200</v>
      </c>
      <c r="G22" s="46"/>
      <c r="H22" s="39"/>
      <c r="I22" s="41"/>
      <c r="J22" s="41"/>
      <c r="K22" s="41"/>
      <c r="L22" s="41"/>
      <c r="M22" s="41"/>
      <c r="N22" s="41"/>
      <c r="O22" s="6" t="s">
        <v>83</v>
      </c>
      <c r="P22" s="41"/>
      <c r="Q22" s="41">
        <f t="shared" si="0"/>
        <v>384000</v>
      </c>
      <c r="R22" s="41">
        <f t="shared" si="1"/>
        <v>384000</v>
      </c>
    </row>
    <row r="23" spans="1:19" x14ac:dyDescent="0.2">
      <c r="A23" s="4">
        <v>15</v>
      </c>
      <c r="B23" s="81">
        <v>46090</v>
      </c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 t="s">
        <v>198</v>
      </c>
      <c r="P23" s="41">
        <v>73500</v>
      </c>
      <c r="Q23" s="41">
        <f t="shared" si="0"/>
        <v>0</v>
      </c>
      <c r="R23" s="41">
        <f t="shared" si="1"/>
        <v>-73500</v>
      </c>
    </row>
    <row r="24" spans="1:19" x14ac:dyDescent="0.2">
      <c r="A24" s="4">
        <v>16</v>
      </c>
      <c r="B24" s="81">
        <v>46098</v>
      </c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 t="s">
        <v>198</v>
      </c>
      <c r="P24" s="41">
        <v>100000</v>
      </c>
      <c r="Q24" s="41">
        <f t="shared" si="0"/>
        <v>0</v>
      </c>
      <c r="R24" s="41">
        <f t="shared" si="1"/>
        <v>-100000</v>
      </c>
    </row>
    <row r="25" spans="1:19" x14ac:dyDescent="0.2">
      <c r="A25" s="4">
        <v>17</v>
      </c>
      <c r="B25" s="81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9" x14ac:dyDescent="0.2">
      <c r="A26" s="4">
        <v>18</v>
      </c>
      <c r="B26" s="81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9" x14ac:dyDescent="0.2">
      <c r="A27" s="4">
        <v>19</v>
      </c>
      <c r="B27" s="81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9" x14ac:dyDescent="0.2">
      <c r="A28" s="4">
        <v>20</v>
      </c>
      <c r="B28" s="81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9" x14ac:dyDescent="0.2">
      <c r="A29" s="4">
        <v>21</v>
      </c>
      <c r="B29" s="81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9" x14ac:dyDescent="0.2">
      <c r="A30" s="4">
        <v>22</v>
      </c>
      <c r="B30" s="81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9" x14ac:dyDescent="0.2">
      <c r="A31" s="4">
        <v>23</v>
      </c>
      <c r="B31" s="81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9" x14ac:dyDescent="0.2">
      <c r="A32" s="4">
        <v>24</v>
      </c>
      <c r="B32" s="81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81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81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81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81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81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81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81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81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81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81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81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81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81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81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81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81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81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81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81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81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81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81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81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81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81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81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81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81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81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81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81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81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81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81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81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81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81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81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81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81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81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81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81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81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81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81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81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81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81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81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81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81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81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81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81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81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81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81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81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81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81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81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81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81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81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81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81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81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81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81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81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81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81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81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81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81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81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81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81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81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81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81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81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81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81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81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81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81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81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81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81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81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81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81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81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81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81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81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81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81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81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81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81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81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81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81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81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81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81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81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81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81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81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81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81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81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81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81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81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81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81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81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81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81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81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81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81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81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81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81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81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81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81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81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81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81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81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81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81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81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81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81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81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81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81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81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81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81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81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81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81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81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81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81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81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81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81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81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81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81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81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81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81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81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81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81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81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81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81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81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81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81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81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81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81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81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47" priority="3" operator="equal">
      <formula>"ERROR"</formula>
    </cfRule>
  </conditionalFormatting>
  <conditionalFormatting sqref="D4">
    <cfRule type="cellIs" dxfId="46" priority="1" operator="greaterThan">
      <formula>0</formula>
    </cfRule>
    <cfRule type="cellIs" dxfId="45" priority="2" operator="lessThanOrEqual">
      <formula>0</formula>
    </cfRule>
  </conditionalFormatting>
  <dataValidations count="1">
    <dataValidation type="list" allowBlank="1" showInputMessage="1" showErrorMessage="1" sqref="O9:O1048576" xr:uid="{4AA2D61C-C28F-1246-B446-2262A8DFF7EB}">
      <formula1>$U$3:$U$4</formula1>
    </dataValidation>
  </dataValidations>
  <hyperlinks>
    <hyperlink ref="E1:G1" location="'Master Sheet'!A1" display="GO BACK TO MASTER SHEET" xr:uid="{0E1424B0-D7D2-334C-BC74-13736D615B22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6864475E-8700-FF46-A509-729B22880F4C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C4B0C056-9549-C546-9617-764165267F4A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AB12B-8E7A-ED41-8E64-E900DE5D5007}">
  <sheetPr codeName="Sheet45"/>
  <dimension ref="A1:V208"/>
  <sheetViews>
    <sheetView showGridLines="0" zoomScale="90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HTG Chor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C016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44" priority="3" operator="equal">
      <formula>"ERROR"</formula>
    </cfRule>
  </conditionalFormatting>
  <conditionalFormatting sqref="D4">
    <cfRule type="cellIs" dxfId="43" priority="1" operator="greaterThan">
      <formula>0</formula>
    </cfRule>
    <cfRule type="cellIs" dxfId="42" priority="2" operator="lessThanOrEqual">
      <formula>0</formula>
    </cfRule>
  </conditionalFormatting>
  <dataValidations count="1">
    <dataValidation type="list" allowBlank="1" showInputMessage="1" showErrorMessage="1" sqref="O9:O1048576" xr:uid="{FD3772AD-6612-8A45-8EE6-F41541800AB5}">
      <formula1>$U$3:$U$4</formula1>
    </dataValidation>
  </dataValidations>
  <hyperlinks>
    <hyperlink ref="E1:G1" location="'Master Sheet'!A1" display="GO BACK TO MASTER SHEET" xr:uid="{CAD636F2-A540-074B-9A7E-08A3889B0A75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81703EEE-5267-DD47-ABC5-FAE933ECA01F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3DC254F1-F184-534E-BD0C-D4A6A0EE1021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0835A-9759-3347-86AE-3CE84BE20801}">
  <sheetPr codeName="Sheet46"/>
  <dimension ref="A1:V208"/>
  <sheetViews>
    <sheetView showGridLines="0" zoomScale="90" workbookViewId="0">
      <pane ySplit="8" topLeftCell="A9" activePane="bottomLeft" state="frozen"/>
      <selection pane="bottomLeft" activeCell="B9" sqref="B9:O11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Mehboob Brothers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C017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41" priority="3" operator="equal">
      <formula>"ERROR"</formula>
    </cfRule>
  </conditionalFormatting>
  <conditionalFormatting sqref="D4">
    <cfRule type="cellIs" dxfId="40" priority="1" operator="greaterThan">
      <formula>0</formula>
    </cfRule>
    <cfRule type="cellIs" dxfId="39" priority="2" operator="lessThanOrEqual">
      <formula>0</formula>
    </cfRule>
  </conditionalFormatting>
  <dataValidations count="1">
    <dataValidation type="list" allowBlank="1" showInputMessage="1" showErrorMessage="1" sqref="O9:O1048576" xr:uid="{35BF3491-4B8B-0742-8DA3-CAE5E211E318}">
      <formula1>$U$3:$U$4</formula1>
    </dataValidation>
  </dataValidations>
  <hyperlinks>
    <hyperlink ref="E1:G1" location="'Master Sheet'!A1" display="GO BACK TO MASTER SHEET" xr:uid="{E32F3483-8383-524B-A43D-E94838DE115A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722511FD-9074-CD4E-9256-83CCEBBE931B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C8A6AD9D-52DA-6E45-B053-08656C088F4F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CFF14-9F38-4F44-85EE-8BDFD664D135}">
  <sheetPr codeName="Sheet47"/>
  <dimension ref="A1:V208"/>
  <sheetViews>
    <sheetView showGridLines="0" topLeftCell="D1" zoomScale="90" workbookViewId="0">
      <pane ySplit="8" topLeftCell="A9" activePane="bottomLeft" state="frozen"/>
      <selection activeCell="D1" sqref="D1"/>
      <selection pane="bottomLeft" activeCell="B9" sqref="B9:O10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Zeeshan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C018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38" priority="3" operator="equal">
      <formula>"ERROR"</formula>
    </cfRule>
  </conditionalFormatting>
  <conditionalFormatting sqref="D4">
    <cfRule type="cellIs" dxfId="37" priority="1" operator="greaterThan">
      <formula>0</formula>
    </cfRule>
    <cfRule type="cellIs" dxfId="36" priority="2" operator="lessThanOrEqual">
      <formula>0</formula>
    </cfRule>
  </conditionalFormatting>
  <dataValidations count="1">
    <dataValidation type="list" allowBlank="1" showInputMessage="1" showErrorMessage="1" sqref="O9:O1048576" xr:uid="{30F3B192-FBD7-B24C-9349-4CE861DD4CDD}">
      <formula1>$U$3:$U$4</formula1>
    </dataValidation>
  </dataValidations>
  <hyperlinks>
    <hyperlink ref="E1:G1" location="'Master Sheet'!A1" display="GO BACK TO MASTER SHEET" xr:uid="{414B4CDA-B7E4-874B-979F-C7E7904E7E09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D08B5926-18C1-254A-A1AD-311E2FCD6B34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1E8CE7A0-CA8F-CF46-9B9B-77F682C093EA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F7CA3-5AD0-054E-ADD8-6FEE1C3F758A}">
  <sheetPr codeName="Sheet48"/>
  <dimension ref="A1:V208"/>
  <sheetViews>
    <sheetView showGridLines="0" zoomScale="90" workbookViewId="0">
      <pane ySplit="8" topLeftCell="A9" activePane="bottomLeft" state="frozen"/>
      <selection pane="bottomLeft" activeCell="B9" sqref="B9:O9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Basit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C019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35" priority="3" operator="equal">
      <formula>"ERROR"</formula>
    </cfRule>
  </conditionalFormatting>
  <conditionalFormatting sqref="D4">
    <cfRule type="cellIs" dxfId="34" priority="1" operator="greaterThan">
      <formula>0</formula>
    </cfRule>
    <cfRule type="cellIs" dxfId="33" priority="2" operator="lessThanOrEqual">
      <formula>0</formula>
    </cfRule>
  </conditionalFormatting>
  <dataValidations count="1">
    <dataValidation type="list" allowBlank="1" showInputMessage="1" showErrorMessage="1" sqref="O9:O1048576" xr:uid="{203B7809-1ABB-FB42-8B92-1247854DF055}">
      <formula1>$U$3:$U$4</formula1>
    </dataValidation>
  </dataValidations>
  <hyperlinks>
    <hyperlink ref="E1:G1" location="'Master Sheet'!A1" display="GO BACK TO MASTER SHEET" xr:uid="{A1805BEF-8020-6F48-B129-FD8863E855C3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BB0AAD39-8B10-894A-8945-5DE740ED26DF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985F36F3-0951-8748-852C-0D5E42B8DED9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BC581-5EB5-8C47-918B-4CC02767DEDF}">
  <sheetPr codeName="Sheet49"/>
  <dimension ref="A1:V208"/>
  <sheetViews>
    <sheetView showGridLines="0" zoomScale="90" workbookViewId="0">
      <pane ySplit="8" topLeftCell="A9" activePane="bottomLeft" state="frozen"/>
      <selection pane="bottomLeft" activeCell="B9" sqref="B9:O9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Arif Zabardast Highway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C020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32" priority="3" operator="equal">
      <formula>"ERROR"</formula>
    </cfRule>
  </conditionalFormatting>
  <conditionalFormatting sqref="D4">
    <cfRule type="cellIs" dxfId="31" priority="1" operator="greaterThan">
      <formula>0</formula>
    </cfRule>
    <cfRule type="cellIs" dxfId="30" priority="2" operator="lessThanOrEqual">
      <formula>0</formula>
    </cfRule>
  </conditionalFormatting>
  <dataValidations count="1">
    <dataValidation type="list" allowBlank="1" showInputMessage="1" showErrorMessage="1" sqref="O9:O1048576" xr:uid="{B6EF9C4A-4947-D34C-BF57-DB00369E60B4}">
      <formula1>$U$3:$U$4</formula1>
    </dataValidation>
  </dataValidations>
  <hyperlinks>
    <hyperlink ref="E1:G1" location="'Master Sheet'!A1" display="GO BACK TO MASTER SHEET" xr:uid="{08C43741-1309-804E-8EBD-ECC93CEEADEB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80F70B62-BEF0-F447-B90A-B490ABE31CA2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5DEF7E38-B23B-BC47-81B1-A2FE520F2F92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5787-D2EB-F24C-8CFD-73D911F09C30}">
  <sheetPr codeName="Sheet50"/>
  <dimension ref="A1:V208"/>
  <sheetViews>
    <sheetView showGridLines="0" zoomScale="90" workbookViewId="0">
      <pane ySplit="8" topLeftCell="A9" activePane="bottomLeft" state="frozen"/>
      <selection pane="bottomLeft" activeCell="B9" sqref="B9:O10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Muhammad Khan Baloch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C021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29" priority="3" operator="equal">
      <formula>"ERROR"</formula>
    </cfRule>
  </conditionalFormatting>
  <conditionalFormatting sqref="D4">
    <cfRule type="cellIs" dxfId="28" priority="1" operator="greaterThan">
      <formula>0</formula>
    </cfRule>
    <cfRule type="cellIs" dxfId="27" priority="2" operator="lessThanOrEqual">
      <formula>0</formula>
    </cfRule>
  </conditionalFormatting>
  <dataValidations count="1">
    <dataValidation type="list" allowBlank="1" showInputMessage="1" showErrorMessage="1" sqref="O9:O1048576" xr:uid="{F482DBE2-DF91-5B44-98EF-D621CBFCCF02}">
      <formula1>$U$3:$U$4</formula1>
    </dataValidation>
  </dataValidations>
  <hyperlinks>
    <hyperlink ref="E1:G1" location="'Master Sheet'!A1" display="GO BACK TO MASTER SHEET" xr:uid="{0730135E-B000-0349-8CDC-F8356B36B223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6850CDA1-61DC-9B4F-B12A-ABE3094DA891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D55D991A-FFBD-BB40-BC29-F211D6AB28D4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872C6-F568-4E42-9548-038A87A6113C}">
  <sheetPr codeName="Sheet51"/>
  <dimension ref="A1:V208"/>
  <sheetViews>
    <sheetView showGridLines="0" zoomScale="90" workbookViewId="0">
      <pane ySplit="8" topLeftCell="A9" activePane="bottomLeft" state="frozen"/>
      <selection pane="bottomLeft" activeCell="B9" sqref="B9:O9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Suleman drum wala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C022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26" priority="3" operator="equal">
      <formula>"ERROR"</formula>
    </cfRule>
  </conditionalFormatting>
  <conditionalFormatting sqref="D4">
    <cfRule type="cellIs" dxfId="25" priority="1" operator="greaterThan">
      <formula>0</formula>
    </cfRule>
    <cfRule type="cellIs" dxfId="24" priority="2" operator="lessThanOrEqual">
      <formula>0</formula>
    </cfRule>
  </conditionalFormatting>
  <dataValidations count="1">
    <dataValidation type="list" allowBlank="1" showInputMessage="1" showErrorMessage="1" sqref="O9:O1048576" xr:uid="{FBE80672-AF03-1942-AF04-EDA226C003FE}">
      <formula1>$U$3:$U$4</formula1>
    </dataValidation>
  </dataValidations>
  <hyperlinks>
    <hyperlink ref="E1:G1" location="'Master Sheet'!A1" display="GO BACK TO MASTER SHEET" xr:uid="{0CB4C197-C1FB-744E-B76F-3355DE5E6471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F2D47C69-CB23-EA4F-963A-8A4EDCBA0ED4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4076624C-0DAC-7E4D-8DFA-A0D77AEDE5D4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09F73-5B00-D040-83B6-2F74AD14AAC0}">
  <sheetPr codeName="Sheet52"/>
  <dimension ref="A1:V208"/>
  <sheetViews>
    <sheetView showGridLines="0" zoomScale="90" workbookViewId="0">
      <pane ySplit="8" topLeftCell="A9" activePane="bottomLeft" state="frozen"/>
      <selection pane="bottomLeft" activeCell="B9" sqref="B9:O9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Shahid drum wala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C023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23" priority="3" operator="equal">
      <formula>"ERROR"</formula>
    </cfRule>
  </conditionalFormatting>
  <conditionalFormatting sqref="D4">
    <cfRule type="cellIs" dxfId="22" priority="1" operator="greaterThan">
      <formula>0</formula>
    </cfRule>
    <cfRule type="cellIs" dxfId="21" priority="2" operator="lessThanOrEqual">
      <formula>0</formula>
    </cfRule>
  </conditionalFormatting>
  <dataValidations count="1">
    <dataValidation type="list" allowBlank="1" showInputMessage="1" showErrorMessage="1" sqref="O9:O1048576" xr:uid="{5AD5C3BB-5448-8F4C-9597-E2695F983506}">
      <formula1>$U$3:$U$4</formula1>
    </dataValidation>
  </dataValidations>
  <hyperlinks>
    <hyperlink ref="E1:G1" location="'Master Sheet'!A1" display="GO BACK TO MASTER SHEET" xr:uid="{B45FBE61-0B0B-AD4A-9C60-4AFA2BF2D6FA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C9627A5C-ED62-094B-B58A-B730DAADCFE4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2D90293C-3948-B641-A191-06B220746676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36191-4A30-1A41-AF81-AD24B81D84E4}">
  <sheetPr codeName="Sheet53"/>
  <dimension ref="A1:V208"/>
  <sheetViews>
    <sheetView showGridLines="0" zoomScale="90" workbookViewId="0">
      <pane ySplit="8" topLeftCell="A9" activePane="bottomLeft" state="frozen"/>
      <selection pane="bottomLeft" activeCell="B9" sqref="B9:O9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Anwar Pappoo drum wala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C024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20" priority="3" operator="equal">
      <formula>"ERROR"</formula>
    </cfRule>
  </conditionalFormatting>
  <conditionalFormatting sqref="D4">
    <cfRule type="cellIs" dxfId="19" priority="1" operator="greaterThan">
      <formula>0</formula>
    </cfRule>
    <cfRule type="cellIs" dxfId="18" priority="2" operator="lessThanOrEqual">
      <formula>0</formula>
    </cfRule>
  </conditionalFormatting>
  <dataValidations count="1">
    <dataValidation type="list" allowBlank="1" showInputMessage="1" showErrorMessage="1" sqref="O9:O1048576" xr:uid="{683C6F00-9232-784B-A216-81E57C4ED73B}">
      <formula1>$U$3:$U$4</formula1>
    </dataValidation>
  </dataValidations>
  <hyperlinks>
    <hyperlink ref="E1:G1" location="'Master Sheet'!A1" display="GO BACK TO MASTER SHEET" xr:uid="{27334EBB-B224-6A43-8A5F-5A3D2790F976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402DC519-FC70-7648-B268-DFA29B09272A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B2FD4551-C46F-694F-9C58-E3BAFE1D84F7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09425-B17F-2A4F-80A3-99EFBFAB89C1}">
  <sheetPr codeName="Sheet54"/>
  <dimension ref="A1:V208"/>
  <sheetViews>
    <sheetView showGridLines="0" zoomScale="90" workbookViewId="0">
      <pane ySplit="8" topLeftCell="A9" activePane="bottomLeft" state="frozen"/>
      <selection pane="bottomLeft" activeCell="B9" sqref="B9:O9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Asif Chor drum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C025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7" priority="3" operator="equal">
      <formula>"ERROR"</formula>
    </cfRule>
  </conditionalFormatting>
  <conditionalFormatting sqref="D4">
    <cfRule type="cellIs" dxfId="16" priority="1" operator="greaterThan">
      <formula>0</formula>
    </cfRule>
    <cfRule type="cellIs" dxfId="15" priority="2" operator="lessThanOrEqual">
      <formula>0</formula>
    </cfRule>
  </conditionalFormatting>
  <dataValidations count="1">
    <dataValidation type="list" allowBlank="1" showInputMessage="1" showErrorMessage="1" sqref="O9:O1048576" xr:uid="{90A4BC45-3A9C-3C44-B110-CA5ADC46A5D1}">
      <formula1>$U$3:$U$4</formula1>
    </dataValidation>
  </dataValidations>
  <hyperlinks>
    <hyperlink ref="E1:G1" location="'Master Sheet'!A1" display="GO BACK TO MASTER SHEET" xr:uid="{34FEC9E9-EDAA-3143-B0EC-985F262D43AB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B4A89181-0B91-DC46-B96C-C4E8FDF303F4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A7BC50D0-A48A-1849-A228-0A75E205965D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5E8ED-8A22-6146-954E-3C0F8DF54034}">
  <sheetPr codeName="Sheet55"/>
  <dimension ref="A1:V208"/>
  <sheetViews>
    <sheetView showGridLines="0" zoomScale="90" workbookViewId="0">
      <pane ySplit="8" topLeftCell="A9" activePane="bottomLeft" state="frozen"/>
      <selection pane="bottomLeft" activeCell="B9" sqref="B9:O9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Yousuf and Zahoor Drum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C026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4" priority="3" operator="equal">
      <formula>"ERROR"</formula>
    </cfRule>
  </conditionalFormatting>
  <conditionalFormatting sqref="D4">
    <cfRule type="cellIs" dxfId="13" priority="1" operator="greaterThan">
      <formula>0</formula>
    </cfRule>
    <cfRule type="cellIs" dxfId="12" priority="2" operator="lessThanOrEqual">
      <formula>0</formula>
    </cfRule>
  </conditionalFormatting>
  <dataValidations count="1">
    <dataValidation type="list" allowBlank="1" showInputMessage="1" showErrorMessage="1" sqref="O9:O1048576" xr:uid="{8F73686D-C2C0-D74B-A38C-4BCBCC1FC1B3}">
      <formula1>$U$3:$U$4</formula1>
    </dataValidation>
  </dataValidations>
  <hyperlinks>
    <hyperlink ref="E1:G1" location="'Master Sheet'!A1" display="GO BACK TO MASTER SHEET" xr:uid="{535BA7EC-298B-224C-821F-A43A7E753BD7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EFA5DE89-E3B9-904B-B7E4-0E8649C18050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533D947D-8BCC-534F-9552-002FD10B8138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EF54B-9631-1243-99E6-C39B07597917}">
  <sheetPr codeName="Sheet56"/>
  <dimension ref="A1:V208"/>
  <sheetViews>
    <sheetView showGridLines="0" zoomScale="90" workbookViewId="0">
      <pane ySplit="8" topLeftCell="A9" activePane="bottomLeft" state="frozen"/>
      <selection pane="bottomLeft" activeCell="B9" sqref="B9:O10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Iqram Drum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C027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11" priority="3" operator="equal">
      <formula>"ERROR"</formula>
    </cfRule>
  </conditionalFormatting>
  <conditionalFormatting sqref="D4">
    <cfRule type="cellIs" dxfId="10" priority="1" operator="greaterThan">
      <formula>0</formula>
    </cfRule>
    <cfRule type="cellIs" dxfId="9" priority="2" operator="lessThanOrEqual">
      <formula>0</formula>
    </cfRule>
  </conditionalFormatting>
  <dataValidations count="1">
    <dataValidation type="list" allowBlank="1" showInputMessage="1" showErrorMessage="1" sqref="O9:O1048576" xr:uid="{C12ED10C-FD81-AC42-82C5-05E1662FBE7A}">
      <formula1>$U$3:$U$4</formula1>
    </dataValidation>
  </dataValidations>
  <hyperlinks>
    <hyperlink ref="E1:G1" location="'Master Sheet'!A1" display="GO BACK TO MASTER SHEET" xr:uid="{CCF08FF1-88B0-5044-B471-34B5DA8CE1A4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2A0DA236-A881-5441-8620-D3F1F66A4773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CCC72127-36AF-7B4F-BB5E-2EA256A1693B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A716E-1CFF-9B47-8333-AE96AEFCE0B3}">
  <sheetPr codeName="Sheet57"/>
  <dimension ref="A1:V208"/>
  <sheetViews>
    <sheetView showGridLines="0" zoomScale="90" workbookViewId="0">
      <pane ySplit="8" topLeftCell="A9" activePane="bottomLeft" state="frozen"/>
      <selection pane="bottomLeft" activeCell="B9" sqref="B9:O10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Noorbuksh drum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C028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8" priority="3" operator="equal">
      <formula>"ERROR"</formula>
    </cfRule>
  </conditionalFormatting>
  <conditionalFormatting sqref="D4">
    <cfRule type="cellIs" dxfId="7" priority="1" operator="greaterThan">
      <formula>0</formula>
    </cfRule>
    <cfRule type="cellIs" dxfId="6" priority="2" operator="lessThanOrEqual">
      <formula>0</formula>
    </cfRule>
  </conditionalFormatting>
  <dataValidations count="1">
    <dataValidation type="list" allowBlank="1" showInputMessage="1" showErrorMessage="1" sqref="O9:O1048576" xr:uid="{20B31165-3785-0245-906B-F89CF499457F}">
      <formula1>$U$3:$U$4</formula1>
    </dataValidation>
  </dataValidations>
  <hyperlinks>
    <hyperlink ref="E1:G1" location="'Master Sheet'!A1" display="GO BACK TO MASTER SHEET" xr:uid="{0E915D80-7DA5-D547-806A-57CC49418122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6582AAC0-3166-FE4F-B93B-B87864FADC5A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CFD07C09-F69A-BD4F-B042-899C8B596E3B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DC677-8721-2F4A-B7DE-EB5244FC5305}">
  <sheetPr codeName="Sheet58"/>
  <dimension ref="A1:V208"/>
  <sheetViews>
    <sheetView showGridLines="0" zoomScale="90" workbookViewId="0">
      <pane ySplit="8" topLeftCell="A9" activePane="bottomLeft" state="frozen"/>
      <selection pane="bottomLeft" activeCell="B9" sqref="B9:O10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Haider Drum 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C029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5" priority="3" operator="equal">
      <formula>"ERROR"</formula>
    </cfRule>
  </conditionalFormatting>
  <conditionalFormatting sqref="D4">
    <cfRule type="cellIs" dxfId="4" priority="1" operator="greaterThan">
      <formula>0</formula>
    </cfRule>
    <cfRule type="cellIs" dxfId="3" priority="2" operator="lessThanOrEqual">
      <formula>0</formula>
    </cfRule>
  </conditionalFormatting>
  <dataValidations count="1">
    <dataValidation type="list" allowBlank="1" showInputMessage="1" showErrorMessage="1" sqref="O9:O1048576" xr:uid="{5E454B05-0B61-5A48-98E9-ED28BDAA80D3}">
      <formula1>$U$3:$U$4</formula1>
    </dataValidation>
  </dataValidations>
  <hyperlinks>
    <hyperlink ref="E1:G1" location="'Master Sheet'!A1" display="GO BACK TO MASTER SHEET" xr:uid="{DA2957D1-D00F-4341-96FA-030C636F0E18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EDE77751-56C2-A549-9337-B94132B8E5E7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195A7062-01FA-DE4D-A6DF-C1421104D433}">
          <x14:formula1>
            <xm:f>'Master Sheet'!$AE$5:$AE$28</xm:f>
          </x14:formula1>
          <xm:sqref>D9:D1048576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03F22-D538-E743-AB37-97ED5B256F51}">
  <sheetPr codeName="Sheet59"/>
  <dimension ref="A1:V208"/>
  <sheetViews>
    <sheetView showGridLines="0" zoomScale="90" workbookViewId="0">
      <pane ySplit="8" topLeftCell="A9" activePane="bottomLeft" state="frozen"/>
      <selection pane="bottomLeft" activeCell="E1" sqref="E1:G1"/>
    </sheetView>
  </sheetViews>
  <sheetFormatPr baseColWidth="10" defaultColWidth="8.83203125" defaultRowHeight="15" x14ac:dyDescent="0.2"/>
  <cols>
    <col min="1" max="1" width="10" customWidth="1"/>
    <col min="2" max="2" width="10.33203125" bestFit="1" customWidth="1"/>
    <col min="3" max="3" width="20" customWidth="1"/>
    <col min="4" max="4" width="23.83203125" bestFit="1" customWidth="1"/>
    <col min="5" max="5" width="10" customWidth="1"/>
    <col min="6" max="6" width="16" style="42" customWidth="1"/>
    <col min="7" max="7" width="12" style="47" customWidth="1"/>
    <col min="8" max="8" width="13" style="40" customWidth="1"/>
    <col min="9" max="9" width="14" style="42" customWidth="1"/>
    <col min="10" max="11" width="18" style="42" customWidth="1"/>
    <col min="12" max="12" width="14" style="42" customWidth="1"/>
    <col min="13" max="13" width="16" style="42" customWidth="1"/>
    <col min="14" max="14" width="12" style="42" customWidth="1"/>
    <col min="15" max="15" width="14" customWidth="1"/>
    <col min="16" max="16" width="18" style="42" customWidth="1"/>
    <col min="17" max="17" width="16" customWidth="1"/>
    <col min="18" max="18" width="26" style="42" customWidth="1"/>
  </cols>
  <sheetData>
    <row r="1" spans="1:22" ht="24" customHeight="1" x14ac:dyDescent="0.2">
      <c r="A1" s="86" t="str">
        <f ca="1">VLOOKUP(A2,'Master Sheet'!J5:K39,2)</f>
        <v>Abdur Rab Diesel</v>
      </c>
      <c r="B1" s="86"/>
      <c r="C1" s="86"/>
      <c r="E1" s="87" t="s">
        <v>202</v>
      </c>
      <c r="F1" s="87"/>
      <c r="G1" s="87"/>
      <c r="H1"/>
      <c r="I1"/>
      <c r="J1"/>
      <c r="K1"/>
      <c r="L1"/>
      <c r="M1"/>
      <c r="N1"/>
      <c r="P1"/>
      <c r="R1"/>
    </row>
    <row r="2" spans="1:22" ht="20" thickBot="1" x14ac:dyDescent="0.3">
      <c r="A2" s="48" t="str" cm="1">
        <f t="array" aca="1" ref="A2" ca="1">MID(CELL("filename",A1),FIND("]",CELL("filename",A1))+1,99)</f>
        <v>C030</v>
      </c>
      <c r="F2"/>
      <c r="G2"/>
      <c r="H2"/>
      <c r="I2"/>
      <c r="J2"/>
      <c r="K2"/>
      <c r="L2"/>
      <c r="M2"/>
      <c r="N2"/>
      <c r="P2"/>
      <c r="R2"/>
    </row>
    <row r="3" spans="1:22" ht="16" thickBot="1" x14ac:dyDescent="0.25">
      <c r="A3" s="3"/>
      <c r="F3"/>
      <c r="G3"/>
      <c r="H3"/>
      <c r="I3"/>
      <c r="J3"/>
      <c r="K3"/>
      <c r="L3"/>
      <c r="M3"/>
      <c r="N3"/>
      <c r="P3"/>
      <c r="R3"/>
      <c r="U3" s="43" t="s">
        <v>83</v>
      </c>
      <c r="V3" s="44"/>
    </row>
    <row r="4" spans="1:22" ht="16" thickBot="1" x14ac:dyDescent="0.25">
      <c r="A4" s="3"/>
      <c r="C4" s="20" t="s">
        <v>201</v>
      </c>
      <c r="D4" s="50">
        <f>SUM(R9:R1048576)</f>
        <v>0</v>
      </c>
      <c r="F4"/>
      <c r="G4"/>
      <c r="H4"/>
      <c r="I4"/>
      <c r="J4"/>
      <c r="K4"/>
      <c r="L4"/>
      <c r="M4"/>
      <c r="N4"/>
      <c r="P4"/>
      <c r="R4"/>
      <c r="U4" s="30" t="s">
        <v>198</v>
      </c>
      <c r="V4" s="45"/>
    </row>
    <row r="5" spans="1:22" x14ac:dyDescent="0.2">
      <c r="A5" s="3"/>
      <c r="F5"/>
      <c r="G5"/>
      <c r="H5"/>
      <c r="I5"/>
      <c r="J5"/>
      <c r="K5"/>
      <c r="L5"/>
      <c r="M5"/>
      <c r="N5"/>
      <c r="P5"/>
      <c r="R5"/>
    </row>
    <row r="6" spans="1:22" x14ac:dyDescent="0.2">
      <c r="A6" s="3"/>
      <c r="F6"/>
      <c r="G6"/>
      <c r="H6"/>
      <c r="I6"/>
      <c r="J6"/>
      <c r="K6"/>
      <c r="L6"/>
      <c r="M6"/>
      <c r="N6"/>
      <c r="P6"/>
      <c r="R6"/>
    </row>
    <row r="7" spans="1:22" x14ac:dyDescent="0.2">
      <c r="A7" s="3"/>
      <c r="F7"/>
      <c r="G7"/>
      <c r="H7"/>
      <c r="I7"/>
      <c r="J7"/>
      <c r="K7"/>
      <c r="L7"/>
      <c r="M7"/>
      <c r="N7"/>
      <c r="P7"/>
      <c r="R7"/>
    </row>
    <row r="8" spans="1:22" ht="36" customHeight="1" x14ac:dyDescent="0.2">
      <c r="A8" s="1" t="s">
        <v>70</v>
      </c>
      <c r="B8" s="1" t="s">
        <v>71</v>
      </c>
      <c r="C8" s="1" t="s">
        <v>72</v>
      </c>
      <c r="D8" s="1" t="s">
        <v>67</v>
      </c>
      <c r="E8" s="1" t="s">
        <v>74</v>
      </c>
      <c r="F8" s="1" t="s">
        <v>203</v>
      </c>
      <c r="G8" s="1" t="s">
        <v>199</v>
      </c>
      <c r="H8" s="1" t="s">
        <v>200</v>
      </c>
      <c r="I8" s="1" t="s">
        <v>189</v>
      </c>
      <c r="J8" s="1" t="s">
        <v>75</v>
      </c>
      <c r="K8" s="1" t="s">
        <v>192</v>
      </c>
      <c r="L8" s="1" t="s">
        <v>191</v>
      </c>
      <c r="M8" s="1" t="s">
        <v>190</v>
      </c>
      <c r="N8" s="1" t="s">
        <v>193</v>
      </c>
      <c r="O8" s="1" t="s">
        <v>81</v>
      </c>
      <c r="P8" s="1" t="s">
        <v>211</v>
      </c>
      <c r="Q8" s="1" t="s">
        <v>195</v>
      </c>
      <c r="R8" s="1" t="s">
        <v>196</v>
      </c>
    </row>
    <row r="9" spans="1:22" x14ac:dyDescent="0.2">
      <c r="A9" s="4">
        <v>1</v>
      </c>
      <c r="B9" s="5"/>
      <c r="C9" s="6"/>
      <c r="D9" s="6"/>
      <c r="E9" s="7"/>
      <c r="F9" s="41"/>
      <c r="G9" s="46"/>
      <c r="H9" s="39"/>
      <c r="I9" s="41"/>
      <c r="J9" s="41"/>
      <c r="K9" s="41"/>
      <c r="L9" s="41"/>
      <c r="M9" s="41"/>
      <c r="N9" s="41"/>
      <c r="O9" s="6"/>
      <c r="P9" s="41"/>
      <c r="Q9" s="41">
        <f>E9*F9</f>
        <v>0</v>
      </c>
      <c r="R9" s="41" t="str">
        <f>IF(O9=$U$3,(-Q9*G9)+(Q9*H9)+(E9*J9)+(L9)+I9+K9+M9+N9+Q9,IF(O9=$U$4,-P9,""))</f>
        <v/>
      </c>
    </row>
    <row r="10" spans="1:22" x14ac:dyDescent="0.2">
      <c r="A10" s="4">
        <v>2</v>
      </c>
      <c r="B10" s="5"/>
      <c r="C10" s="6"/>
      <c r="D10" s="6"/>
      <c r="E10" s="7"/>
      <c r="F10" s="41"/>
      <c r="G10" s="46"/>
      <c r="H10" s="39"/>
      <c r="I10" s="41"/>
      <c r="J10" s="41"/>
      <c r="K10" s="41"/>
      <c r="L10" s="41"/>
      <c r="M10" s="41"/>
      <c r="N10" s="41"/>
      <c r="O10" s="6"/>
      <c r="P10" s="41"/>
      <c r="Q10" s="41">
        <f t="shared" ref="Q10:Q73" si="0">E10*F10</f>
        <v>0</v>
      </c>
      <c r="R10" s="41" t="str">
        <f>IF(O10=$U$3,(Q10*G10)+(Q10*H10)+(E10*J10)+(L10)+I10+K10+M10+N10+Q10,IF(O10=$U$4,-P10,""))</f>
        <v/>
      </c>
    </row>
    <row r="11" spans="1:22" x14ac:dyDescent="0.2">
      <c r="A11" s="4">
        <v>3</v>
      </c>
      <c r="B11" s="5"/>
      <c r="C11" s="6"/>
      <c r="D11" s="6"/>
      <c r="E11" s="7"/>
      <c r="F11" s="41"/>
      <c r="G11" s="46"/>
      <c r="H11" s="39"/>
      <c r="I11" s="41"/>
      <c r="J11" s="41"/>
      <c r="K11" s="41"/>
      <c r="L11" s="41"/>
      <c r="M11" s="41"/>
      <c r="N11" s="41"/>
      <c r="O11" s="6"/>
      <c r="P11" s="41"/>
      <c r="Q11" s="41">
        <f t="shared" si="0"/>
        <v>0</v>
      </c>
      <c r="R11" s="41" t="str">
        <f t="shared" ref="R11:R74" si="1">IF(O11=$U$3,(Q11*G11)+(Q11*H11)+(E11*J11)+(L11)+I11+K11+M11+N11+Q11,IF(O11=$U$4,-P11,""))</f>
        <v/>
      </c>
    </row>
    <row r="12" spans="1:22" x14ac:dyDescent="0.2">
      <c r="A12" s="4">
        <v>4</v>
      </c>
      <c r="B12" s="5"/>
      <c r="C12" s="6"/>
      <c r="D12" s="6"/>
      <c r="E12" s="7"/>
      <c r="F12" s="41"/>
      <c r="G12" s="46"/>
      <c r="H12" s="39"/>
      <c r="I12" s="41"/>
      <c r="J12" s="41"/>
      <c r="K12" s="41"/>
      <c r="L12" s="41"/>
      <c r="M12" s="41"/>
      <c r="N12" s="41"/>
      <c r="O12" s="6"/>
      <c r="P12" s="41"/>
      <c r="Q12" s="41">
        <f t="shared" si="0"/>
        <v>0</v>
      </c>
      <c r="R12" s="41" t="str">
        <f t="shared" si="1"/>
        <v/>
      </c>
    </row>
    <row r="13" spans="1:22" x14ac:dyDescent="0.2">
      <c r="A13" s="4">
        <v>5</v>
      </c>
      <c r="B13" s="5"/>
      <c r="C13" s="6"/>
      <c r="D13" s="6"/>
      <c r="E13" s="7"/>
      <c r="F13" s="41"/>
      <c r="G13" s="46"/>
      <c r="H13" s="39"/>
      <c r="I13" s="41"/>
      <c r="J13" s="41"/>
      <c r="K13" s="41"/>
      <c r="L13" s="41"/>
      <c r="M13" s="41"/>
      <c r="N13" s="41"/>
      <c r="O13" s="6"/>
      <c r="P13" s="41"/>
      <c r="Q13" s="41">
        <f t="shared" si="0"/>
        <v>0</v>
      </c>
      <c r="R13" s="41" t="str">
        <f t="shared" si="1"/>
        <v/>
      </c>
    </row>
    <row r="14" spans="1:22" x14ac:dyDescent="0.2">
      <c r="A14" s="4">
        <v>6</v>
      </c>
      <c r="B14" s="5"/>
      <c r="C14" s="6"/>
      <c r="D14" s="6"/>
      <c r="E14" s="7"/>
      <c r="F14" s="41"/>
      <c r="G14" s="46"/>
      <c r="H14" s="39"/>
      <c r="I14" s="41"/>
      <c r="J14" s="41"/>
      <c r="K14" s="41"/>
      <c r="L14" s="41"/>
      <c r="M14" s="41"/>
      <c r="N14" s="41"/>
      <c r="O14" s="6"/>
      <c r="P14" s="41"/>
      <c r="Q14" s="41">
        <f t="shared" si="0"/>
        <v>0</v>
      </c>
      <c r="R14" s="41" t="str">
        <f t="shared" si="1"/>
        <v/>
      </c>
    </row>
    <row r="15" spans="1:22" x14ac:dyDescent="0.2">
      <c r="A15" s="4">
        <v>7</v>
      </c>
      <c r="B15" s="5"/>
      <c r="C15" s="6"/>
      <c r="D15" s="6"/>
      <c r="E15" s="7"/>
      <c r="F15" s="41"/>
      <c r="G15" s="46"/>
      <c r="H15" s="39"/>
      <c r="I15" s="41"/>
      <c r="J15" s="41"/>
      <c r="K15" s="41"/>
      <c r="L15" s="41"/>
      <c r="M15" s="41"/>
      <c r="N15" s="41"/>
      <c r="O15" s="6"/>
      <c r="P15" s="41"/>
      <c r="Q15" s="41">
        <f t="shared" si="0"/>
        <v>0</v>
      </c>
      <c r="R15" s="41" t="str">
        <f t="shared" si="1"/>
        <v/>
      </c>
    </row>
    <row r="16" spans="1:22" x14ac:dyDescent="0.2">
      <c r="A16" s="4">
        <v>8</v>
      </c>
      <c r="B16" s="5"/>
      <c r="C16" s="6"/>
      <c r="D16" s="6"/>
      <c r="E16" s="7"/>
      <c r="F16" s="41"/>
      <c r="G16" s="46"/>
      <c r="H16" s="39"/>
      <c r="I16" s="41"/>
      <c r="J16" s="41"/>
      <c r="K16" s="41"/>
      <c r="L16" s="41"/>
      <c r="M16" s="41"/>
      <c r="N16" s="41"/>
      <c r="O16" s="6"/>
      <c r="P16" s="41"/>
      <c r="Q16" s="41">
        <f t="shared" si="0"/>
        <v>0</v>
      </c>
      <c r="R16" s="41" t="str">
        <f t="shared" si="1"/>
        <v/>
      </c>
    </row>
    <row r="17" spans="1:18" x14ac:dyDescent="0.2">
      <c r="A17" s="4">
        <v>9</v>
      </c>
      <c r="B17" s="5"/>
      <c r="C17" s="6"/>
      <c r="D17" s="6"/>
      <c r="E17" s="7"/>
      <c r="F17" s="41"/>
      <c r="G17" s="46"/>
      <c r="H17" s="39"/>
      <c r="I17" s="41"/>
      <c r="J17" s="41"/>
      <c r="K17" s="41"/>
      <c r="L17" s="41"/>
      <c r="M17" s="41"/>
      <c r="N17" s="41"/>
      <c r="O17" s="6"/>
      <c r="P17" s="41"/>
      <c r="Q17" s="41">
        <f t="shared" si="0"/>
        <v>0</v>
      </c>
      <c r="R17" s="41" t="str">
        <f t="shared" si="1"/>
        <v/>
      </c>
    </row>
    <row r="18" spans="1:18" x14ac:dyDescent="0.2">
      <c r="A18" s="4">
        <v>10</v>
      </c>
      <c r="B18" s="5"/>
      <c r="C18" s="6"/>
      <c r="D18" s="6"/>
      <c r="E18" s="7"/>
      <c r="F18" s="41"/>
      <c r="G18" s="46"/>
      <c r="H18" s="39"/>
      <c r="I18" s="41"/>
      <c r="J18" s="41"/>
      <c r="K18" s="41"/>
      <c r="L18" s="41"/>
      <c r="M18" s="41"/>
      <c r="N18" s="41"/>
      <c r="O18" s="6"/>
      <c r="P18" s="41"/>
      <c r="Q18" s="41">
        <f t="shared" si="0"/>
        <v>0</v>
      </c>
      <c r="R18" s="41" t="str">
        <f t="shared" si="1"/>
        <v/>
      </c>
    </row>
    <row r="19" spans="1:18" x14ac:dyDescent="0.2">
      <c r="A19" s="4">
        <v>11</v>
      </c>
      <c r="B19" s="5"/>
      <c r="C19" s="6"/>
      <c r="D19" s="6"/>
      <c r="E19" s="7"/>
      <c r="F19" s="41"/>
      <c r="G19" s="46"/>
      <c r="H19" s="39"/>
      <c r="I19" s="41"/>
      <c r="J19" s="41"/>
      <c r="K19" s="41"/>
      <c r="L19" s="41"/>
      <c r="M19" s="41"/>
      <c r="N19" s="41"/>
      <c r="O19" s="6"/>
      <c r="P19" s="41"/>
      <c r="Q19" s="41">
        <f t="shared" si="0"/>
        <v>0</v>
      </c>
      <c r="R19" s="41" t="str">
        <f t="shared" si="1"/>
        <v/>
      </c>
    </row>
    <row r="20" spans="1:18" x14ac:dyDescent="0.2">
      <c r="A20" s="4">
        <v>12</v>
      </c>
      <c r="B20" s="5"/>
      <c r="C20" s="6"/>
      <c r="D20" s="6"/>
      <c r="E20" s="7"/>
      <c r="F20" s="41"/>
      <c r="G20" s="46"/>
      <c r="H20" s="39"/>
      <c r="I20" s="41"/>
      <c r="J20" s="41"/>
      <c r="K20" s="41"/>
      <c r="L20" s="41"/>
      <c r="M20" s="41"/>
      <c r="N20" s="41"/>
      <c r="O20" s="6"/>
      <c r="P20" s="41"/>
      <c r="Q20" s="41">
        <f t="shared" si="0"/>
        <v>0</v>
      </c>
      <c r="R20" s="41" t="str">
        <f t="shared" si="1"/>
        <v/>
      </c>
    </row>
    <row r="21" spans="1:18" x14ac:dyDescent="0.2">
      <c r="A21" s="4">
        <v>13</v>
      </c>
      <c r="B21" s="5"/>
      <c r="C21" s="6"/>
      <c r="D21" s="6"/>
      <c r="E21" s="7"/>
      <c r="F21" s="41"/>
      <c r="G21" s="46"/>
      <c r="H21" s="39"/>
      <c r="I21" s="41"/>
      <c r="J21" s="41"/>
      <c r="K21" s="41"/>
      <c r="L21" s="41"/>
      <c r="M21" s="41"/>
      <c r="N21" s="41"/>
      <c r="O21" s="6"/>
      <c r="P21" s="41"/>
      <c r="Q21" s="41">
        <f t="shared" si="0"/>
        <v>0</v>
      </c>
      <c r="R21" s="41" t="str">
        <f t="shared" si="1"/>
        <v/>
      </c>
    </row>
    <row r="22" spans="1:18" x14ac:dyDescent="0.2">
      <c r="A22" s="4">
        <v>14</v>
      </c>
      <c r="B22" s="5"/>
      <c r="C22" s="6"/>
      <c r="D22" s="6"/>
      <c r="E22" s="7"/>
      <c r="F22" s="41"/>
      <c r="G22" s="46"/>
      <c r="H22" s="39"/>
      <c r="I22" s="41"/>
      <c r="J22" s="41"/>
      <c r="K22" s="41"/>
      <c r="L22" s="41"/>
      <c r="M22" s="41"/>
      <c r="N22" s="41"/>
      <c r="O22" s="6"/>
      <c r="P22" s="41"/>
      <c r="Q22" s="41">
        <f t="shared" si="0"/>
        <v>0</v>
      </c>
      <c r="R22" s="41" t="str">
        <f t="shared" si="1"/>
        <v/>
      </c>
    </row>
    <row r="23" spans="1:18" x14ac:dyDescent="0.2">
      <c r="A23" s="4">
        <v>15</v>
      </c>
      <c r="B23" s="5"/>
      <c r="C23" s="6"/>
      <c r="D23" s="6"/>
      <c r="E23" s="7"/>
      <c r="F23" s="41"/>
      <c r="G23" s="46"/>
      <c r="H23" s="39"/>
      <c r="I23" s="41"/>
      <c r="J23" s="41"/>
      <c r="K23" s="41"/>
      <c r="L23" s="41"/>
      <c r="M23" s="41"/>
      <c r="N23" s="41"/>
      <c r="O23" s="6"/>
      <c r="P23" s="41"/>
      <c r="Q23" s="41">
        <f t="shared" si="0"/>
        <v>0</v>
      </c>
      <c r="R23" s="41" t="str">
        <f t="shared" si="1"/>
        <v/>
      </c>
    </row>
    <row r="24" spans="1:18" x14ac:dyDescent="0.2">
      <c r="A24" s="4">
        <v>16</v>
      </c>
      <c r="B24" s="5"/>
      <c r="C24" s="6"/>
      <c r="D24" s="6"/>
      <c r="E24" s="7"/>
      <c r="F24" s="41"/>
      <c r="G24" s="46"/>
      <c r="H24" s="39"/>
      <c r="I24" s="41"/>
      <c r="J24" s="41"/>
      <c r="K24" s="41"/>
      <c r="L24" s="41"/>
      <c r="M24" s="41"/>
      <c r="N24" s="41"/>
      <c r="O24" s="6"/>
      <c r="P24" s="41"/>
      <c r="Q24" s="41">
        <f t="shared" si="0"/>
        <v>0</v>
      </c>
      <c r="R24" s="41" t="str">
        <f t="shared" si="1"/>
        <v/>
      </c>
    </row>
    <row r="25" spans="1:18" x14ac:dyDescent="0.2">
      <c r="A25" s="4">
        <v>17</v>
      </c>
      <c r="B25" s="5"/>
      <c r="C25" s="6"/>
      <c r="D25" s="6"/>
      <c r="E25" s="7"/>
      <c r="F25" s="41"/>
      <c r="G25" s="46"/>
      <c r="H25" s="39"/>
      <c r="I25" s="41"/>
      <c r="J25" s="41"/>
      <c r="K25" s="41"/>
      <c r="L25" s="41"/>
      <c r="M25" s="41"/>
      <c r="N25" s="41"/>
      <c r="O25" s="6"/>
      <c r="P25" s="41"/>
      <c r="Q25" s="41">
        <f t="shared" si="0"/>
        <v>0</v>
      </c>
      <c r="R25" s="41" t="str">
        <f t="shared" si="1"/>
        <v/>
      </c>
    </row>
    <row r="26" spans="1:18" x14ac:dyDescent="0.2">
      <c r="A26" s="4">
        <v>18</v>
      </c>
      <c r="B26" s="5"/>
      <c r="C26" s="6"/>
      <c r="D26" s="6"/>
      <c r="E26" s="7"/>
      <c r="F26" s="41"/>
      <c r="G26" s="46"/>
      <c r="H26" s="39"/>
      <c r="I26" s="41"/>
      <c r="J26" s="41"/>
      <c r="K26" s="41"/>
      <c r="L26" s="41"/>
      <c r="M26" s="41"/>
      <c r="N26" s="41"/>
      <c r="O26" s="6"/>
      <c r="P26" s="41"/>
      <c r="Q26" s="41">
        <f t="shared" si="0"/>
        <v>0</v>
      </c>
      <c r="R26" s="41" t="str">
        <f t="shared" si="1"/>
        <v/>
      </c>
    </row>
    <row r="27" spans="1:18" x14ac:dyDescent="0.2">
      <c r="A27" s="4">
        <v>19</v>
      </c>
      <c r="B27" s="5"/>
      <c r="C27" s="6"/>
      <c r="D27" s="6"/>
      <c r="E27" s="7"/>
      <c r="F27" s="41"/>
      <c r="G27" s="46"/>
      <c r="H27" s="39"/>
      <c r="I27" s="41"/>
      <c r="J27" s="41"/>
      <c r="K27" s="41"/>
      <c r="L27" s="41"/>
      <c r="M27" s="41"/>
      <c r="N27" s="41"/>
      <c r="O27" s="6"/>
      <c r="P27" s="41"/>
      <c r="Q27" s="41">
        <f t="shared" si="0"/>
        <v>0</v>
      </c>
      <c r="R27" s="41" t="str">
        <f t="shared" si="1"/>
        <v/>
      </c>
    </row>
    <row r="28" spans="1:18" x14ac:dyDescent="0.2">
      <c r="A28" s="4">
        <v>20</v>
      </c>
      <c r="B28" s="5"/>
      <c r="C28" s="6"/>
      <c r="D28" s="6"/>
      <c r="E28" s="7"/>
      <c r="F28" s="41"/>
      <c r="G28" s="46"/>
      <c r="H28" s="39"/>
      <c r="I28" s="41"/>
      <c r="J28" s="41"/>
      <c r="K28" s="41"/>
      <c r="L28" s="41"/>
      <c r="M28" s="41"/>
      <c r="N28" s="41"/>
      <c r="O28" s="6"/>
      <c r="P28" s="41"/>
      <c r="Q28" s="41">
        <f t="shared" si="0"/>
        <v>0</v>
      </c>
      <c r="R28" s="41" t="str">
        <f t="shared" si="1"/>
        <v/>
      </c>
    </row>
    <row r="29" spans="1:18" x14ac:dyDescent="0.2">
      <c r="A29" s="4">
        <v>21</v>
      </c>
      <c r="B29" s="5"/>
      <c r="C29" s="6"/>
      <c r="D29" s="6"/>
      <c r="E29" s="7"/>
      <c r="F29" s="41"/>
      <c r="G29" s="46"/>
      <c r="H29" s="39"/>
      <c r="I29" s="41"/>
      <c r="J29" s="41"/>
      <c r="K29" s="41"/>
      <c r="L29" s="41"/>
      <c r="M29" s="41"/>
      <c r="N29" s="41"/>
      <c r="O29" s="6"/>
      <c r="P29" s="41"/>
      <c r="Q29" s="41">
        <f t="shared" si="0"/>
        <v>0</v>
      </c>
      <c r="R29" s="41" t="str">
        <f t="shared" si="1"/>
        <v/>
      </c>
    </row>
    <row r="30" spans="1:18" x14ac:dyDescent="0.2">
      <c r="A30" s="4">
        <v>22</v>
      </c>
      <c r="B30" s="5"/>
      <c r="C30" s="6"/>
      <c r="D30" s="6"/>
      <c r="E30" s="7"/>
      <c r="F30" s="41"/>
      <c r="G30" s="46"/>
      <c r="H30" s="39"/>
      <c r="I30" s="41"/>
      <c r="J30" s="41"/>
      <c r="K30" s="41"/>
      <c r="L30" s="41"/>
      <c r="M30" s="41"/>
      <c r="N30" s="41"/>
      <c r="O30" s="6"/>
      <c r="P30" s="41"/>
      <c r="Q30" s="41">
        <f t="shared" si="0"/>
        <v>0</v>
      </c>
      <c r="R30" s="41" t="str">
        <f t="shared" si="1"/>
        <v/>
      </c>
    </row>
    <row r="31" spans="1:18" x14ac:dyDescent="0.2">
      <c r="A31" s="4">
        <v>23</v>
      </c>
      <c r="B31" s="5"/>
      <c r="C31" s="6"/>
      <c r="D31" s="6"/>
      <c r="E31" s="7"/>
      <c r="F31" s="41"/>
      <c r="G31" s="46"/>
      <c r="H31" s="39"/>
      <c r="I31" s="41"/>
      <c r="J31" s="41"/>
      <c r="K31" s="41"/>
      <c r="L31" s="41"/>
      <c r="M31" s="41"/>
      <c r="N31" s="41"/>
      <c r="O31" s="6"/>
      <c r="P31" s="41"/>
      <c r="Q31" s="41">
        <f t="shared" si="0"/>
        <v>0</v>
      </c>
      <c r="R31" s="41" t="str">
        <f t="shared" si="1"/>
        <v/>
      </c>
    </row>
    <row r="32" spans="1:18" x14ac:dyDescent="0.2">
      <c r="A32" s="4">
        <v>24</v>
      </c>
      <c r="B32" s="5"/>
      <c r="C32" s="6"/>
      <c r="D32" s="6"/>
      <c r="E32" s="7"/>
      <c r="F32" s="41"/>
      <c r="G32" s="46"/>
      <c r="H32" s="39"/>
      <c r="I32" s="41"/>
      <c r="J32" s="41"/>
      <c r="K32" s="41"/>
      <c r="L32" s="41"/>
      <c r="M32" s="41"/>
      <c r="N32" s="41"/>
      <c r="O32" s="6"/>
      <c r="P32" s="41"/>
      <c r="Q32" s="41">
        <f t="shared" si="0"/>
        <v>0</v>
      </c>
      <c r="R32" s="41" t="str">
        <f t="shared" si="1"/>
        <v/>
      </c>
    </row>
    <row r="33" spans="1:18" x14ac:dyDescent="0.2">
      <c r="A33" s="4">
        <v>25</v>
      </c>
      <c r="B33" s="5"/>
      <c r="C33" s="6"/>
      <c r="D33" s="6"/>
      <c r="E33" s="7"/>
      <c r="F33" s="41"/>
      <c r="G33" s="46"/>
      <c r="H33" s="39"/>
      <c r="I33" s="41"/>
      <c r="J33" s="41"/>
      <c r="K33" s="41"/>
      <c r="L33" s="41"/>
      <c r="M33" s="41"/>
      <c r="N33" s="41"/>
      <c r="O33" s="6"/>
      <c r="P33" s="41"/>
      <c r="Q33" s="41">
        <f t="shared" si="0"/>
        <v>0</v>
      </c>
      <c r="R33" s="41" t="str">
        <f t="shared" si="1"/>
        <v/>
      </c>
    </row>
    <row r="34" spans="1:18" x14ac:dyDescent="0.2">
      <c r="A34" s="4">
        <v>26</v>
      </c>
      <c r="B34" s="5"/>
      <c r="C34" s="6"/>
      <c r="D34" s="6"/>
      <c r="E34" s="7"/>
      <c r="F34" s="41"/>
      <c r="G34" s="46"/>
      <c r="H34" s="39"/>
      <c r="I34" s="41"/>
      <c r="J34" s="41"/>
      <c r="K34" s="41"/>
      <c r="L34" s="41"/>
      <c r="M34" s="41"/>
      <c r="N34" s="41"/>
      <c r="O34" s="6"/>
      <c r="P34" s="41"/>
      <c r="Q34" s="41">
        <f t="shared" si="0"/>
        <v>0</v>
      </c>
      <c r="R34" s="41" t="str">
        <f t="shared" si="1"/>
        <v/>
      </c>
    </row>
    <row r="35" spans="1:18" x14ac:dyDescent="0.2">
      <c r="A35" s="4">
        <v>27</v>
      </c>
      <c r="B35" s="5"/>
      <c r="C35" s="6"/>
      <c r="D35" s="6"/>
      <c r="E35" s="7"/>
      <c r="F35" s="41"/>
      <c r="G35" s="46"/>
      <c r="H35" s="39"/>
      <c r="I35" s="41"/>
      <c r="J35" s="41"/>
      <c r="K35" s="41"/>
      <c r="L35" s="41"/>
      <c r="M35" s="41"/>
      <c r="N35" s="41"/>
      <c r="O35" s="6"/>
      <c r="P35" s="41"/>
      <c r="Q35" s="41">
        <f t="shared" si="0"/>
        <v>0</v>
      </c>
      <c r="R35" s="41" t="str">
        <f t="shared" si="1"/>
        <v/>
      </c>
    </row>
    <row r="36" spans="1:18" x14ac:dyDescent="0.2">
      <c r="A36" s="4">
        <v>28</v>
      </c>
      <c r="B36" s="5"/>
      <c r="C36" s="6"/>
      <c r="D36" s="6"/>
      <c r="E36" s="7"/>
      <c r="F36" s="41"/>
      <c r="G36" s="46"/>
      <c r="H36" s="39"/>
      <c r="I36" s="41"/>
      <c r="J36" s="41"/>
      <c r="K36" s="41"/>
      <c r="L36" s="41"/>
      <c r="M36" s="41"/>
      <c r="N36" s="41"/>
      <c r="O36" s="6"/>
      <c r="P36" s="41"/>
      <c r="Q36" s="41">
        <f t="shared" si="0"/>
        <v>0</v>
      </c>
      <c r="R36" s="41" t="str">
        <f t="shared" si="1"/>
        <v/>
      </c>
    </row>
    <row r="37" spans="1:18" x14ac:dyDescent="0.2">
      <c r="A37" s="4">
        <v>29</v>
      </c>
      <c r="B37" s="5"/>
      <c r="C37" s="6"/>
      <c r="D37" s="6"/>
      <c r="E37" s="7"/>
      <c r="F37" s="41"/>
      <c r="G37" s="46"/>
      <c r="H37" s="39"/>
      <c r="I37" s="41"/>
      <c r="J37" s="41"/>
      <c r="K37" s="41"/>
      <c r="L37" s="41"/>
      <c r="M37" s="41"/>
      <c r="N37" s="41"/>
      <c r="O37" s="6"/>
      <c r="P37" s="41"/>
      <c r="Q37" s="41">
        <f t="shared" si="0"/>
        <v>0</v>
      </c>
      <c r="R37" s="41" t="str">
        <f t="shared" si="1"/>
        <v/>
      </c>
    </row>
    <row r="38" spans="1:18" x14ac:dyDescent="0.2">
      <c r="A38" s="4">
        <v>30</v>
      </c>
      <c r="B38" s="5"/>
      <c r="C38" s="6"/>
      <c r="D38" s="6"/>
      <c r="E38" s="7"/>
      <c r="F38" s="41"/>
      <c r="G38" s="46"/>
      <c r="H38" s="39"/>
      <c r="I38" s="41"/>
      <c r="J38" s="41"/>
      <c r="K38" s="41"/>
      <c r="L38" s="41"/>
      <c r="M38" s="41"/>
      <c r="N38" s="41"/>
      <c r="O38" s="6"/>
      <c r="P38" s="41"/>
      <c r="Q38" s="41">
        <f t="shared" si="0"/>
        <v>0</v>
      </c>
      <c r="R38" s="41" t="str">
        <f t="shared" si="1"/>
        <v/>
      </c>
    </row>
    <row r="39" spans="1:18" x14ac:dyDescent="0.2">
      <c r="A39" s="4">
        <v>31</v>
      </c>
      <c r="B39" s="5"/>
      <c r="C39" s="6"/>
      <c r="D39" s="6"/>
      <c r="E39" s="7"/>
      <c r="F39" s="41"/>
      <c r="G39" s="46"/>
      <c r="H39" s="39"/>
      <c r="I39" s="41"/>
      <c r="J39" s="41"/>
      <c r="K39" s="41"/>
      <c r="L39" s="41"/>
      <c r="M39" s="41"/>
      <c r="N39" s="41"/>
      <c r="O39" s="6"/>
      <c r="P39" s="41"/>
      <c r="Q39" s="41">
        <f t="shared" si="0"/>
        <v>0</v>
      </c>
      <c r="R39" s="41" t="str">
        <f t="shared" si="1"/>
        <v/>
      </c>
    </row>
    <row r="40" spans="1:18" x14ac:dyDescent="0.2">
      <c r="A40" s="4">
        <v>32</v>
      </c>
      <c r="B40" s="5"/>
      <c r="C40" s="6"/>
      <c r="D40" s="6"/>
      <c r="E40" s="7"/>
      <c r="F40" s="41"/>
      <c r="G40" s="46"/>
      <c r="H40" s="39"/>
      <c r="I40" s="41"/>
      <c r="J40" s="41"/>
      <c r="K40" s="41"/>
      <c r="L40" s="41"/>
      <c r="M40" s="41"/>
      <c r="N40" s="41"/>
      <c r="O40" s="6"/>
      <c r="P40" s="41"/>
      <c r="Q40" s="41">
        <f t="shared" si="0"/>
        <v>0</v>
      </c>
      <c r="R40" s="41" t="str">
        <f t="shared" si="1"/>
        <v/>
      </c>
    </row>
    <row r="41" spans="1:18" x14ac:dyDescent="0.2">
      <c r="A41" s="4">
        <v>33</v>
      </c>
      <c r="B41" s="5"/>
      <c r="C41" s="6"/>
      <c r="D41" s="6"/>
      <c r="E41" s="7"/>
      <c r="F41" s="41"/>
      <c r="G41" s="46"/>
      <c r="H41" s="39"/>
      <c r="I41" s="41"/>
      <c r="J41" s="41"/>
      <c r="K41" s="41"/>
      <c r="L41" s="41"/>
      <c r="M41" s="41"/>
      <c r="N41" s="41"/>
      <c r="O41" s="6"/>
      <c r="P41" s="41"/>
      <c r="Q41" s="41">
        <f t="shared" si="0"/>
        <v>0</v>
      </c>
      <c r="R41" s="41" t="str">
        <f t="shared" si="1"/>
        <v/>
      </c>
    </row>
    <row r="42" spans="1:18" x14ac:dyDescent="0.2">
      <c r="A42" s="4">
        <v>34</v>
      </c>
      <c r="B42" s="5"/>
      <c r="C42" s="6"/>
      <c r="D42" s="6"/>
      <c r="E42" s="7"/>
      <c r="F42" s="41"/>
      <c r="G42" s="46"/>
      <c r="H42" s="39"/>
      <c r="I42" s="41"/>
      <c r="J42" s="41"/>
      <c r="K42" s="41"/>
      <c r="L42" s="41"/>
      <c r="M42" s="41"/>
      <c r="N42" s="41"/>
      <c r="O42" s="6"/>
      <c r="P42" s="41"/>
      <c r="Q42" s="41">
        <f t="shared" si="0"/>
        <v>0</v>
      </c>
      <c r="R42" s="41" t="str">
        <f t="shared" si="1"/>
        <v/>
      </c>
    </row>
    <row r="43" spans="1:18" x14ac:dyDescent="0.2">
      <c r="A43" s="4">
        <v>35</v>
      </c>
      <c r="B43" s="5"/>
      <c r="C43" s="6"/>
      <c r="D43" s="6"/>
      <c r="E43" s="7"/>
      <c r="F43" s="41"/>
      <c r="G43" s="46"/>
      <c r="H43" s="39"/>
      <c r="I43" s="41"/>
      <c r="J43" s="41"/>
      <c r="K43" s="41"/>
      <c r="L43" s="41"/>
      <c r="M43" s="41"/>
      <c r="N43" s="41"/>
      <c r="O43" s="6"/>
      <c r="P43" s="41"/>
      <c r="Q43" s="41">
        <f t="shared" si="0"/>
        <v>0</v>
      </c>
      <c r="R43" s="41" t="str">
        <f t="shared" si="1"/>
        <v/>
      </c>
    </row>
    <row r="44" spans="1:18" x14ac:dyDescent="0.2">
      <c r="A44" s="4">
        <v>36</v>
      </c>
      <c r="B44" s="5"/>
      <c r="C44" s="6"/>
      <c r="D44" s="6"/>
      <c r="E44" s="7"/>
      <c r="F44" s="41"/>
      <c r="G44" s="46"/>
      <c r="H44" s="39"/>
      <c r="I44" s="41"/>
      <c r="J44" s="41"/>
      <c r="K44" s="41"/>
      <c r="L44" s="41"/>
      <c r="M44" s="41"/>
      <c r="N44" s="41"/>
      <c r="O44" s="6"/>
      <c r="P44" s="41"/>
      <c r="Q44" s="41">
        <f t="shared" si="0"/>
        <v>0</v>
      </c>
      <c r="R44" s="41" t="str">
        <f t="shared" si="1"/>
        <v/>
      </c>
    </row>
    <row r="45" spans="1:18" x14ac:dyDescent="0.2">
      <c r="A45" s="4">
        <v>37</v>
      </c>
      <c r="B45" s="5"/>
      <c r="C45" s="6"/>
      <c r="D45" s="6"/>
      <c r="E45" s="7"/>
      <c r="F45" s="41"/>
      <c r="G45" s="46"/>
      <c r="H45" s="39"/>
      <c r="I45" s="41"/>
      <c r="J45" s="41"/>
      <c r="K45" s="41"/>
      <c r="L45" s="41"/>
      <c r="M45" s="41"/>
      <c r="N45" s="41"/>
      <c r="O45" s="6"/>
      <c r="P45" s="41"/>
      <c r="Q45" s="41">
        <f t="shared" si="0"/>
        <v>0</v>
      </c>
      <c r="R45" s="41" t="str">
        <f t="shared" si="1"/>
        <v/>
      </c>
    </row>
    <row r="46" spans="1:18" x14ac:dyDescent="0.2">
      <c r="A46" s="4">
        <v>38</v>
      </c>
      <c r="B46" s="5"/>
      <c r="C46" s="6"/>
      <c r="D46" s="6"/>
      <c r="E46" s="7"/>
      <c r="F46" s="41"/>
      <c r="G46" s="46"/>
      <c r="H46" s="39"/>
      <c r="I46" s="41"/>
      <c r="J46" s="41"/>
      <c r="K46" s="41"/>
      <c r="L46" s="41"/>
      <c r="M46" s="41"/>
      <c r="N46" s="41"/>
      <c r="O46" s="6"/>
      <c r="P46" s="41"/>
      <c r="Q46" s="41">
        <f t="shared" si="0"/>
        <v>0</v>
      </c>
      <c r="R46" s="41" t="str">
        <f t="shared" si="1"/>
        <v/>
      </c>
    </row>
    <row r="47" spans="1:18" x14ac:dyDescent="0.2">
      <c r="A47" s="4">
        <v>39</v>
      </c>
      <c r="B47" s="5"/>
      <c r="C47" s="6"/>
      <c r="D47" s="6"/>
      <c r="E47" s="7"/>
      <c r="F47" s="41"/>
      <c r="G47" s="46"/>
      <c r="H47" s="39"/>
      <c r="I47" s="41"/>
      <c r="J47" s="41"/>
      <c r="K47" s="41"/>
      <c r="L47" s="41"/>
      <c r="M47" s="41"/>
      <c r="N47" s="41"/>
      <c r="O47" s="6"/>
      <c r="P47" s="41"/>
      <c r="Q47" s="41">
        <f t="shared" si="0"/>
        <v>0</v>
      </c>
      <c r="R47" s="41" t="str">
        <f t="shared" si="1"/>
        <v/>
      </c>
    </row>
    <row r="48" spans="1:18" x14ac:dyDescent="0.2">
      <c r="A48" s="4">
        <v>40</v>
      </c>
      <c r="B48" s="5"/>
      <c r="C48" s="6"/>
      <c r="D48" s="6"/>
      <c r="E48" s="7"/>
      <c r="F48" s="41"/>
      <c r="G48" s="46"/>
      <c r="H48" s="39"/>
      <c r="I48" s="41"/>
      <c r="J48" s="41"/>
      <c r="K48" s="41"/>
      <c r="L48" s="41"/>
      <c r="M48" s="41"/>
      <c r="N48" s="41"/>
      <c r="O48" s="6"/>
      <c r="P48" s="41"/>
      <c r="Q48" s="41">
        <f t="shared" si="0"/>
        <v>0</v>
      </c>
      <c r="R48" s="41" t="str">
        <f t="shared" si="1"/>
        <v/>
      </c>
    </row>
    <row r="49" spans="1:18" x14ac:dyDescent="0.2">
      <c r="A49" s="4">
        <v>41</v>
      </c>
      <c r="B49" s="5"/>
      <c r="C49" s="6"/>
      <c r="D49" s="6"/>
      <c r="E49" s="7"/>
      <c r="F49" s="41"/>
      <c r="G49" s="46"/>
      <c r="H49" s="39"/>
      <c r="I49" s="41"/>
      <c r="J49" s="41"/>
      <c r="K49" s="41"/>
      <c r="L49" s="41"/>
      <c r="M49" s="41"/>
      <c r="N49" s="41"/>
      <c r="O49" s="6"/>
      <c r="P49" s="41"/>
      <c r="Q49" s="41">
        <f t="shared" si="0"/>
        <v>0</v>
      </c>
      <c r="R49" s="41" t="str">
        <f t="shared" si="1"/>
        <v/>
      </c>
    </row>
    <row r="50" spans="1:18" x14ac:dyDescent="0.2">
      <c r="A50" s="4">
        <v>42</v>
      </c>
      <c r="B50" s="5"/>
      <c r="C50" s="6"/>
      <c r="D50" s="6"/>
      <c r="E50" s="7"/>
      <c r="F50" s="41"/>
      <c r="G50" s="46"/>
      <c r="H50" s="39"/>
      <c r="I50" s="41"/>
      <c r="J50" s="41"/>
      <c r="K50" s="41"/>
      <c r="L50" s="41"/>
      <c r="M50" s="41"/>
      <c r="N50" s="41"/>
      <c r="O50" s="6"/>
      <c r="P50" s="41"/>
      <c r="Q50" s="41">
        <f t="shared" si="0"/>
        <v>0</v>
      </c>
      <c r="R50" s="41" t="str">
        <f t="shared" si="1"/>
        <v/>
      </c>
    </row>
    <row r="51" spans="1:18" x14ac:dyDescent="0.2">
      <c r="A51" s="4">
        <v>43</v>
      </c>
      <c r="B51" s="5"/>
      <c r="C51" s="6"/>
      <c r="D51" s="6"/>
      <c r="E51" s="7"/>
      <c r="F51" s="41"/>
      <c r="G51" s="46"/>
      <c r="H51" s="39"/>
      <c r="I51" s="41"/>
      <c r="J51" s="41"/>
      <c r="K51" s="41"/>
      <c r="L51" s="41"/>
      <c r="M51" s="41"/>
      <c r="N51" s="41"/>
      <c r="O51" s="6"/>
      <c r="P51" s="41"/>
      <c r="Q51" s="41">
        <f t="shared" si="0"/>
        <v>0</v>
      </c>
      <c r="R51" s="41" t="str">
        <f t="shared" si="1"/>
        <v/>
      </c>
    </row>
    <row r="52" spans="1:18" x14ac:dyDescent="0.2">
      <c r="A52" s="4">
        <v>44</v>
      </c>
      <c r="B52" s="5"/>
      <c r="C52" s="6"/>
      <c r="D52" s="6"/>
      <c r="E52" s="7"/>
      <c r="F52" s="41"/>
      <c r="G52" s="46"/>
      <c r="H52" s="39"/>
      <c r="I52" s="41"/>
      <c r="J52" s="41"/>
      <c r="K52" s="41"/>
      <c r="L52" s="41"/>
      <c r="M52" s="41"/>
      <c r="N52" s="41"/>
      <c r="O52" s="6"/>
      <c r="P52" s="41"/>
      <c r="Q52" s="41">
        <f t="shared" si="0"/>
        <v>0</v>
      </c>
      <c r="R52" s="41" t="str">
        <f t="shared" si="1"/>
        <v/>
      </c>
    </row>
    <row r="53" spans="1:18" x14ac:dyDescent="0.2">
      <c r="A53" s="4">
        <v>45</v>
      </c>
      <c r="B53" s="5"/>
      <c r="C53" s="6"/>
      <c r="D53" s="6"/>
      <c r="E53" s="7"/>
      <c r="F53" s="41"/>
      <c r="G53" s="46"/>
      <c r="H53" s="39"/>
      <c r="I53" s="41"/>
      <c r="J53" s="41"/>
      <c r="K53" s="41"/>
      <c r="L53" s="41"/>
      <c r="M53" s="41"/>
      <c r="N53" s="41"/>
      <c r="O53" s="6"/>
      <c r="P53" s="41"/>
      <c r="Q53" s="41">
        <f t="shared" si="0"/>
        <v>0</v>
      </c>
      <c r="R53" s="41" t="str">
        <f t="shared" si="1"/>
        <v/>
      </c>
    </row>
    <row r="54" spans="1:18" x14ac:dyDescent="0.2">
      <c r="A54" s="4">
        <v>46</v>
      </c>
      <c r="B54" s="5"/>
      <c r="C54" s="6"/>
      <c r="D54" s="6"/>
      <c r="E54" s="7"/>
      <c r="F54" s="41"/>
      <c r="G54" s="46"/>
      <c r="H54" s="39"/>
      <c r="I54" s="41"/>
      <c r="J54" s="41"/>
      <c r="K54" s="41"/>
      <c r="L54" s="41"/>
      <c r="M54" s="41"/>
      <c r="N54" s="41"/>
      <c r="O54" s="6"/>
      <c r="P54" s="41"/>
      <c r="Q54" s="41">
        <f t="shared" si="0"/>
        <v>0</v>
      </c>
      <c r="R54" s="41" t="str">
        <f t="shared" si="1"/>
        <v/>
      </c>
    </row>
    <row r="55" spans="1:18" x14ac:dyDescent="0.2">
      <c r="A55" s="4">
        <v>47</v>
      </c>
      <c r="B55" s="5"/>
      <c r="C55" s="6"/>
      <c r="D55" s="6"/>
      <c r="E55" s="7"/>
      <c r="F55" s="41"/>
      <c r="G55" s="46"/>
      <c r="H55" s="39"/>
      <c r="I55" s="41"/>
      <c r="J55" s="41"/>
      <c r="K55" s="41"/>
      <c r="L55" s="41"/>
      <c r="M55" s="41"/>
      <c r="N55" s="41"/>
      <c r="O55" s="6"/>
      <c r="P55" s="41"/>
      <c r="Q55" s="41">
        <f t="shared" si="0"/>
        <v>0</v>
      </c>
      <c r="R55" s="41" t="str">
        <f t="shared" si="1"/>
        <v/>
      </c>
    </row>
    <row r="56" spans="1:18" x14ac:dyDescent="0.2">
      <c r="A56" s="4">
        <v>48</v>
      </c>
      <c r="B56" s="5"/>
      <c r="C56" s="6"/>
      <c r="D56" s="6"/>
      <c r="E56" s="7"/>
      <c r="F56" s="41"/>
      <c r="G56" s="46"/>
      <c r="H56" s="39"/>
      <c r="I56" s="41"/>
      <c r="J56" s="41"/>
      <c r="K56" s="41"/>
      <c r="L56" s="41"/>
      <c r="M56" s="41"/>
      <c r="N56" s="41"/>
      <c r="O56" s="6"/>
      <c r="P56" s="41"/>
      <c r="Q56" s="41">
        <f t="shared" si="0"/>
        <v>0</v>
      </c>
      <c r="R56" s="41" t="str">
        <f t="shared" si="1"/>
        <v/>
      </c>
    </row>
    <row r="57" spans="1:18" x14ac:dyDescent="0.2">
      <c r="A57" s="4">
        <v>49</v>
      </c>
      <c r="B57" s="5"/>
      <c r="C57" s="6"/>
      <c r="D57" s="6"/>
      <c r="E57" s="7"/>
      <c r="F57" s="41"/>
      <c r="G57" s="46"/>
      <c r="H57" s="39"/>
      <c r="I57" s="41"/>
      <c r="J57" s="41"/>
      <c r="K57" s="41"/>
      <c r="L57" s="41"/>
      <c r="M57" s="41"/>
      <c r="N57" s="41"/>
      <c r="O57" s="6"/>
      <c r="P57" s="41"/>
      <c r="Q57" s="41">
        <f t="shared" si="0"/>
        <v>0</v>
      </c>
      <c r="R57" s="41" t="str">
        <f t="shared" si="1"/>
        <v/>
      </c>
    </row>
    <row r="58" spans="1:18" x14ac:dyDescent="0.2">
      <c r="A58" s="4">
        <v>50</v>
      </c>
      <c r="B58" s="5"/>
      <c r="C58" s="6"/>
      <c r="D58" s="6"/>
      <c r="E58" s="7"/>
      <c r="F58" s="41"/>
      <c r="G58" s="46"/>
      <c r="H58" s="39"/>
      <c r="I58" s="41"/>
      <c r="J58" s="41"/>
      <c r="K58" s="41"/>
      <c r="L58" s="41"/>
      <c r="M58" s="41"/>
      <c r="N58" s="41"/>
      <c r="O58" s="6"/>
      <c r="P58" s="41"/>
      <c r="Q58" s="41">
        <f t="shared" si="0"/>
        <v>0</v>
      </c>
      <c r="R58" s="41" t="str">
        <f t="shared" si="1"/>
        <v/>
      </c>
    </row>
    <row r="59" spans="1:18" x14ac:dyDescent="0.2">
      <c r="A59" s="4">
        <v>51</v>
      </c>
      <c r="B59" s="5"/>
      <c r="C59" s="6"/>
      <c r="D59" s="6"/>
      <c r="E59" s="7"/>
      <c r="F59" s="41"/>
      <c r="G59" s="46"/>
      <c r="H59" s="39"/>
      <c r="I59" s="41"/>
      <c r="J59" s="41"/>
      <c r="K59" s="41"/>
      <c r="L59" s="41"/>
      <c r="M59" s="41"/>
      <c r="N59" s="41"/>
      <c r="O59" s="6"/>
      <c r="P59" s="41"/>
      <c r="Q59" s="41">
        <f t="shared" si="0"/>
        <v>0</v>
      </c>
      <c r="R59" s="41" t="str">
        <f t="shared" si="1"/>
        <v/>
      </c>
    </row>
    <row r="60" spans="1:18" x14ac:dyDescent="0.2">
      <c r="A60" s="4">
        <v>52</v>
      </c>
      <c r="B60" s="5"/>
      <c r="C60" s="6"/>
      <c r="D60" s="6"/>
      <c r="E60" s="7"/>
      <c r="F60" s="41"/>
      <c r="G60" s="46"/>
      <c r="H60" s="39"/>
      <c r="I60" s="41"/>
      <c r="J60" s="41"/>
      <c r="K60" s="41"/>
      <c r="L60" s="41"/>
      <c r="M60" s="41"/>
      <c r="N60" s="41"/>
      <c r="O60" s="6"/>
      <c r="P60" s="41"/>
      <c r="Q60" s="41">
        <f t="shared" si="0"/>
        <v>0</v>
      </c>
      <c r="R60" s="41" t="str">
        <f t="shared" si="1"/>
        <v/>
      </c>
    </row>
    <row r="61" spans="1:18" x14ac:dyDescent="0.2">
      <c r="A61" s="4">
        <v>53</v>
      </c>
      <c r="B61" s="5"/>
      <c r="C61" s="6"/>
      <c r="D61" s="6"/>
      <c r="E61" s="7"/>
      <c r="F61" s="41"/>
      <c r="G61" s="46"/>
      <c r="H61" s="39"/>
      <c r="I61" s="41"/>
      <c r="J61" s="41"/>
      <c r="K61" s="41"/>
      <c r="L61" s="41"/>
      <c r="M61" s="41"/>
      <c r="N61" s="41"/>
      <c r="O61" s="6"/>
      <c r="P61" s="41"/>
      <c r="Q61" s="41">
        <f t="shared" si="0"/>
        <v>0</v>
      </c>
      <c r="R61" s="41" t="str">
        <f t="shared" si="1"/>
        <v/>
      </c>
    </row>
    <row r="62" spans="1:18" x14ac:dyDescent="0.2">
      <c r="A62" s="4">
        <v>54</v>
      </c>
      <c r="B62" s="5"/>
      <c r="C62" s="6"/>
      <c r="D62" s="6"/>
      <c r="E62" s="7"/>
      <c r="F62" s="41"/>
      <c r="G62" s="46"/>
      <c r="H62" s="39"/>
      <c r="I62" s="41"/>
      <c r="J62" s="41"/>
      <c r="K62" s="41"/>
      <c r="L62" s="41"/>
      <c r="M62" s="41"/>
      <c r="N62" s="41"/>
      <c r="O62" s="6"/>
      <c r="P62" s="41"/>
      <c r="Q62" s="41">
        <f t="shared" si="0"/>
        <v>0</v>
      </c>
      <c r="R62" s="41" t="str">
        <f t="shared" si="1"/>
        <v/>
      </c>
    </row>
    <row r="63" spans="1:18" x14ac:dyDescent="0.2">
      <c r="A63" s="4">
        <v>55</v>
      </c>
      <c r="B63" s="5"/>
      <c r="C63" s="6"/>
      <c r="D63" s="6"/>
      <c r="E63" s="7"/>
      <c r="F63" s="41"/>
      <c r="G63" s="46"/>
      <c r="H63" s="39"/>
      <c r="I63" s="41"/>
      <c r="J63" s="41"/>
      <c r="K63" s="41"/>
      <c r="L63" s="41"/>
      <c r="M63" s="41"/>
      <c r="N63" s="41"/>
      <c r="O63" s="6"/>
      <c r="P63" s="41"/>
      <c r="Q63" s="41">
        <f t="shared" si="0"/>
        <v>0</v>
      </c>
      <c r="R63" s="41" t="str">
        <f t="shared" si="1"/>
        <v/>
      </c>
    </row>
    <row r="64" spans="1:18" x14ac:dyDescent="0.2">
      <c r="A64" s="4">
        <v>56</v>
      </c>
      <c r="B64" s="5"/>
      <c r="C64" s="6"/>
      <c r="D64" s="6"/>
      <c r="E64" s="7"/>
      <c r="F64" s="41"/>
      <c r="G64" s="46"/>
      <c r="H64" s="39"/>
      <c r="I64" s="41"/>
      <c r="J64" s="41"/>
      <c r="K64" s="41"/>
      <c r="L64" s="41"/>
      <c r="M64" s="41"/>
      <c r="N64" s="41"/>
      <c r="O64" s="6"/>
      <c r="P64" s="41"/>
      <c r="Q64" s="41">
        <f t="shared" si="0"/>
        <v>0</v>
      </c>
      <c r="R64" s="41" t="str">
        <f t="shared" si="1"/>
        <v/>
      </c>
    </row>
    <row r="65" spans="1:18" x14ac:dyDescent="0.2">
      <c r="A65" s="4">
        <v>57</v>
      </c>
      <c r="B65" s="5"/>
      <c r="C65" s="6"/>
      <c r="D65" s="6"/>
      <c r="E65" s="7"/>
      <c r="F65" s="41"/>
      <c r="G65" s="46"/>
      <c r="H65" s="39"/>
      <c r="I65" s="41"/>
      <c r="J65" s="41"/>
      <c r="K65" s="41"/>
      <c r="L65" s="41"/>
      <c r="M65" s="41"/>
      <c r="N65" s="41"/>
      <c r="O65" s="6"/>
      <c r="P65" s="41"/>
      <c r="Q65" s="41">
        <f t="shared" si="0"/>
        <v>0</v>
      </c>
      <c r="R65" s="41" t="str">
        <f t="shared" si="1"/>
        <v/>
      </c>
    </row>
    <row r="66" spans="1:18" x14ac:dyDescent="0.2">
      <c r="A66" s="4">
        <v>58</v>
      </c>
      <c r="B66" s="5"/>
      <c r="C66" s="6"/>
      <c r="D66" s="6"/>
      <c r="E66" s="7"/>
      <c r="F66" s="41"/>
      <c r="G66" s="46"/>
      <c r="H66" s="39"/>
      <c r="I66" s="41"/>
      <c r="J66" s="41"/>
      <c r="K66" s="41"/>
      <c r="L66" s="41"/>
      <c r="M66" s="41"/>
      <c r="N66" s="41"/>
      <c r="O66" s="6"/>
      <c r="P66" s="41"/>
      <c r="Q66" s="41">
        <f t="shared" si="0"/>
        <v>0</v>
      </c>
      <c r="R66" s="41" t="str">
        <f t="shared" si="1"/>
        <v/>
      </c>
    </row>
    <row r="67" spans="1:18" x14ac:dyDescent="0.2">
      <c r="A67" s="4">
        <v>59</v>
      </c>
      <c r="B67" s="5"/>
      <c r="C67" s="6"/>
      <c r="D67" s="6"/>
      <c r="E67" s="7"/>
      <c r="F67" s="41"/>
      <c r="G67" s="46"/>
      <c r="H67" s="39"/>
      <c r="I67" s="41"/>
      <c r="J67" s="41"/>
      <c r="K67" s="41"/>
      <c r="L67" s="41"/>
      <c r="M67" s="41"/>
      <c r="N67" s="41"/>
      <c r="O67" s="6"/>
      <c r="P67" s="41"/>
      <c r="Q67" s="41">
        <f t="shared" si="0"/>
        <v>0</v>
      </c>
      <c r="R67" s="41" t="str">
        <f t="shared" si="1"/>
        <v/>
      </c>
    </row>
    <row r="68" spans="1:18" x14ac:dyDescent="0.2">
      <c r="A68" s="4">
        <v>60</v>
      </c>
      <c r="B68" s="5"/>
      <c r="C68" s="6"/>
      <c r="D68" s="6"/>
      <c r="E68" s="7"/>
      <c r="F68" s="41"/>
      <c r="G68" s="46"/>
      <c r="H68" s="39"/>
      <c r="I68" s="41"/>
      <c r="J68" s="41"/>
      <c r="K68" s="41"/>
      <c r="L68" s="41"/>
      <c r="M68" s="41"/>
      <c r="N68" s="41"/>
      <c r="O68" s="6"/>
      <c r="P68" s="41"/>
      <c r="Q68" s="41">
        <f t="shared" si="0"/>
        <v>0</v>
      </c>
      <c r="R68" s="41" t="str">
        <f t="shared" si="1"/>
        <v/>
      </c>
    </row>
    <row r="69" spans="1:18" x14ac:dyDescent="0.2">
      <c r="A69" s="4">
        <v>61</v>
      </c>
      <c r="B69" s="5"/>
      <c r="C69" s="6"/>
      <c r="D69" s="6"/>
      <c r="E69" s="7"/>
      <c r="F69" s="41"/>
      <c r="G69" s="46"/>
      <c r="H69" s="39"/>
      <c r="I69" s="41"/>
      <c r="J69" s="41"/>
      <c r="K69" s="41"/>
      <c r="L69" s="41"/>
      <c r="M69" s="41"/>
      <c r="N69" s="41"/>
      <c r="O69" s="6"/>
      <c r="P69" s="41"/>
      <c r="Q69" s="41">
        <f t="shared" si="0"/>
        <v>0</v>
      </c>
      <c r="R69" s="41" t="str">
        <f t="shared" si="1"/>
        <v/>
      </c>
    </row>
    <row r="70" spans="1:18" x14ac:dyDescent="0.2">
      <c r="A70" s="4">
        <v>62</v>
      </c>
      <c r="B70" s="5"/>
      <c r="C70" s="6"/>
      <c r="D70" s="6"/>
      <c r="E70" s="7"/>
      <c r="F70" s="41"/>
      <c r="G70" s="46"/>
      <c r="H70" s="39"/>
      <c r="I70" s="41"/>
      <c r="J70" s="41"/>
      <c r="K70" s="41"/>
      <c r="L70" s="41"/>
      <c r="M70" s="41"/>
      <c r="N70" s="41"/>
      <c r="O70" s="6"/>
      <c r="P70" s="41"/>
      <c r="Q70" s="41">
        <f t="shared" si="0"/>
        <v>0</v>
      </c>
      <c r="R70" s="41" t="str">
        <f t="shared" si="1"/>
        <v/>
      </c>
    </row>
    <row r="71" spans="1:18" x14ac:dyDescent="0.2">
      <c r="A71" s="4">
        <v>63</v>
      </c>
      <c r="B71" s="5"/>
      <c r="C71" s="6"/>
      <c r="D71" s="6"/>
      <c r="E71" s="7"/>
      <c r="F71" s="41"/>
      <c r="G71" s="46"/>
      <c r="H71" s="39"/>
      <c r="I71" s="41"/>
      <c r="J71" s="41"/>
      <c r="K71" s="41"/>
      <c r="L71" s="41"/>
      <c r="M71" s="41"/>
      <c r="N71" s="41"/>
      <c r="O71" s="6"/>
      <c r="P71" s="41"/>
      <c r="Q71" s="41">
        <f t="shared" si="0"/>
        <v>0</v>
      </c>
      <c r="R71" s="41" t="str">
        <f t="shared" si="1"/>
        <v/>
      </c>
    </row>
    <row r="72" spans="1:18" x14ac:dyDescent="0.2">
      <c r="A72" s="4">
        <v>64</v>
      </c>
      <c r="B72" s="5"/>
      <c r="C72" s="6"/>
      <c r="D72" s="6"/>
      <c r="E72" s="7"/>
      <c r="F72" s="41"/>
      <c r="G72" s="46"/>
      <c r="H72" s="39"/>
      <c r="I72" s="41"/>
      <c r="J72" s="41"/>
      <c r="K72" s="41"/>
      <c r="L72" s="41"/>
      <c r="M72" s="41"/>
      <c r="N72" s="41"/>
      <c r="O72" s="6"/>
      <c r="P72" s="41"/>
      <c r="Q72" s="41">
        <f t="shared" si="0"/>
        <v>0</v>
      </c>
      <c r="R72" s="41" t="str">
        <f t="shared" si="1"/>
        <v/>
      </c>
    </row>
    <row r="73" spans="1:18" x14ac:dyDescent="0.2">
      <c r="A73" s="4">
        <v>65</v>
      </c>
      <c r="B73" s="5"/>
      <c r="C73" s="6"/>
      <c r="D73" s="6"/>
      <c r="E73" s="7"/>
      <c r="F73" s="41"/>
      <c r="G73" s="46"/>
      <c r="H73" s="39"/>
      <c r="I73" s="41"/>
      <c r="J73" s="41"/>
      <c r="K73" s="41"/>
      <c r="L73" s="41"/>
      <c r="M73" s="41"/>
      <c r="N73" s="41"/>
      <c r="O73" s="6"/>
      <c r="P73" s="41"/>
      <c r="Q73" s="41">
        <f t="shared" si="0"/>
        <v>0</v>
      </c>
      <c r="R73" s="41" t="str">
        <f t="shared" si="1"/>
        <v/>
      </c>
    </row>
    <row r="74" spans="1:18" x14ac:dyDescent="0.2">
      <c r="A74" s="4">
        <v>66</v>
      </c>
      <c r="B74" s="5"/>
      <c r="C74" s="6"/>
      <c r="D74" s="6"/>
      <c r="E74" s="7"/>
      <c r="F74" s="41"/>
      <c r="G74" s="46"/>
      <c r="H74" s="39"/>
      <c r="I74" s="41"/>
      <c r="J74" s="41"/>
      <c r="K74" s="41"/>
      <c r="L74" s="41"/>
      <c r="M74" s="41"/>
      <c r="N74" s="41"/>
      <c r="O74" s="6"/>
      <c r="P74" s="41"/>
      <c r="Q74" s="41">
        <f t="shared" ref="Q74:Q137" si="2">E74*F74</f>
        <v>0</v>
      </c>
      <c r="R74" s="41" t="str">
        <f t="shared" si="1"/>
        <v/>
      </c>
    </row>
    <row r="75" spans="1:18" x14ac:dyDescent="0.2">
      <c r="A75" s="4">
        <v>67</v>
      </c>
      <c r="B75" s="5"/>
      <c r="C75" s="6"/>
      <c r="D75" s="6"/>
      <c r="E75" s="7"/>
      <c r="F75" s="41"/>
      <c r="G75" s="46"/>
      <c r="H75" s="39"/>
      <c r="I75" s="41"/>
      <c r="J75" s="41"/>
      <c r="K75" s="41"/>
      <c r="L75" s="41"/>
      <c r="M75" s="41"/>
      <c r="N75" s="41"/>
      <c r="O75" s="6"/>
      <c r="P75" s="41"/>
      <c r="Q75" s="41">
        <f t="shared" si="2"/>
        <v>0</v>
      </c>
      <c r="R75" s="41" t="str">
        <f t="shared" ref="R75:R138" si="3">IF(O75=$U$3,(Q75*G75)+(Q75*H75)+(E75*J75)+(L75)+I75+K75+M75+N75+Q75,IF(O75=$U$4,-P75,""))</f>
        <v/>
      </c>
    </row>
    <row r="76" spans="1:18" x14ac:dyDescent="0.2">
      <c r="A76" s="4">
        <v>68</v>
      </c>
      <c r="B76" s="5"/>
      <c r="C76" s="6"/>
      <c r="D76" s="6"/>
      <c r="E76" s="7"/>
      <c r="F76" s="41"/>
      <c r="G76" s="46"/>
      <c r="H76" s="39"/>
      <c r="I76" s="41"/>
      <c r="J76" s="41"/>
      <c r="K76" s="41"/>
      <c r="L76" s="41"/>
      <c r="M76" s="41"/>
      <c r="N76" s="41"/>
      <c r="O76" s="6"/>
      <c r="P76" s="41"/>
      <c r="Q76" s="41">
        <f t="shared" si="2"/>
        <v>0</v>
      </c>
      <c r="R76" s="41" t="str">
        <f t="shared" si="3"/>
        <v/>
      </c>
    </row>
    <row r="77" spans="1:18" x14ac:dyDescent="0.2">
      <c r="A77" s="4">
        <v>69</v>
      </c>
      <c r="B77" s="5"/>
      <c r="C77" s="6"/>
      <c r="D77" s="6"/>
      <c r="E77" s="7"/>
      <c r="F77" s="41"/>
      <c r="G77" s="46"/>
      <c r="H77" s="39"/>
      <c r="I77" s="41"/>
      <c r="J77" s="41"/>
      <c r="K77" s="41"/>
      <c r="L77" s="41"/>
      <c r="M77" s="41"/>
      <c r="N77" s="41"/>
      <c r="O77" s="6"/>
      <c r="P77" s="41"/>
      <c r="Q77" s="41">
        <f t="shared" si="2"/>
        <v>0</v>
      </c>
      <c r="R77" s="41" t="str">
        <f t="shared" si="3"/>
        <v/>
      </c>
    </row>
    <row r="78" spans="1:18" x14ac:dyDescent="0.2">
      <c r="A78" s="4">
        <v>70</v>
      </c>
      <c r="B78" s="5"/>
      <c r="C78" s="6"/>
      <c r="D78" s="6"/>
      <c r="E78" s="7"/>
      <c r="F78" s="41"/>
      <c r="G78" s="46"/>
      <c r="H78" s="39"/>
      <c r="I78" s="41"/>
      <c r="J78" s="41"/>
      <c r="K78" s="41"/>
      <c r="L78" s="41"/>
      <c r="M78" s="41"/>
      <c r="N78" s="41"/>
      <c r="O78" s="6"/>
      <c r="P78" s="41"/>
      <c r="Q78" s="41">
        <f t="shared" si="2"/>
        <v>0</v>
      </c>
      <c r="R78" s="41" t="str">
        <f t="shared" si="3"/>
        <v/>
      </c>
    </row>
    <row r="79" spans="1:18" x14ac:dyDescent="0.2">
      <c r="A79" s="4">
        <v>71</v>
      </c>
      <c r="B79" s="5"/>
      <c r="C79" s="6"/>
      <c r="D79" s="6"/>
      <c r="E79" s="7"/>
      <c r="F79" s="41"/>
      <c r="G79" s="46"/>
      <c r="H79" s="39"/>
      <c r="I79" s="41"/>
      <c r="J79" s="41"/>
      <c r="K79" s="41"/>
      <c r="L79" s="41"/>
      <c r="M79" s="41"/>
      <c r="N79" s="41"/>
      <c r="O79" s="6"/>
      <c r="P79" s="41"/>
      <c r="Q79" s="41">
        <f t="shared" si="2"/>
        <v>0</v>
      </c>
      <c r="R79" s="41" t="str">
        <f t="shared" si="3"/>
        <v/>
      </c>
    </row>
    <row r="80" spans="1:18" x14ac:dyDescent="0.2">
      <c r="A80" s="4">
        <v>72</v>
      </c>
      <c r="B80" s="5"/>
      <c r="C80" s="6"/>
      <c r="D80" s="6"/>
      <c r="E80" s="7"/>
      <c r="F80" s="41"/>
      <c r="G80" s="46"/>
      <c r="H80" s="39"/>
      <c r="I80" s="41"/>
      <c r="J80" s="41"/>
      <c r="K80" s="41"/>
      <c r="L80" s="41"/>
      <c r="M80" s="41"/>
      <c r="N80" s="41"/>
      <c r="O80" s="6"/>
      <c r="P80" s="41"/>
      <c r="Q80" s="41">
        <f t="shared" si="2"/>
        <v>0</v>
      </c>
      <c r="R80" s="41" t="str">
        <f t="shared" si="3"/>
        <v/>
      </c>
    </row>
    <row r="81" spans="1:18" x14ac:dyDescent="0.2">
      <c r="A81" s="4">
        <v>73</v>
      </c>
      <c r="B81" s="5"/>
      <c r="C81" s="6"/>
      <c r="D81" s="6"/>
      <c r="E81" s="7"/>
      <c r="F81" s="41"/>
      <c r="G81" s="46"/>
      <c r="H81" s="39"/>
      <c r="I81" s="41"/>
      <c r="J81" s="41"/>
      <c r="K81" s="41"/>
      <c r="L81" s="41"/>
      <c r="M81" s="41"/>
      <c r="N81" s="41"/>
      <c r="O81" s="6"/>
      <c r="P81" s="41"/>
      <c r="Q81" s="41">
        <f t="shared" si="2"/>
        <v>0</v>
      </c>
      <c r="R81" s="41" t="str">
        <f t="shared" si="3"/>
        <v/>
      </c>
    </row>
    <row r="82" spans="1:18" x14ac:dyDescent="0.2">
      <c r="A82" s="4">
        <v>74</v>
      </c>
      <c r="B82" s="5"/>
      <c r="C82" s="6"/>
      <c r="D82" s="6"/>
      <c r="E82" s="7"/>
      <c r="F82" s="41"/>
      <c r="G82" s="46"/>
      <c r="H82" s="39"/>
      <c r="I82" s="41"/>
      <c r="J82" s="41"/>
      <c r="K82" s="41"/>
      <c r="L82" s="41"/>
      <c r="M82" s="41"/>
      <c r="N82" s="41"/>
      <c r="O82" s="6"/>
      <c r="P82" s="41"/>
      <c r="Q82" s="41">
        <f t="shared" si="2"/>
        <v>0</v>
      </c>
      <c r="R82" s="41" t="str">
        <f t="shared" si="3"/>
        <v/>
      </c>
    </row>
    <row r="83" spans="1:18" x14ac:dyDescent="0.2">
      <c r="A83" s="4">
        <v>75</v>
      </c>
      <c r="B83" s="5"/>
      <c r="C83" s="6"/>
      <c r="D83" s="6"/>
      <c r="E83" s="7"/>
      <c r="F83" s="41"/>
      <c r="G83" s="46"/>
      <c r="H83" s="39"/>
      <c r="I83" s="41"/>
      <c r="J83" s="41"/>
      <c r="K83" s="41"/>
      <c r="L83" s="41"/>
      <c r="M83" s="41"/>
      <c r="N83" s="41"/>
      <c r="O83" s="6"/>
      <c r="P83" s="41"/>
      <c r="Q83" s="41">
        <f t="shared" si="2"/>
        <v>0</v>
      </c>
      <c r="R83" s="41" t="str">
        <f t="shared" si="3"/>
        <v/>
      </c>
    </row>
    <row r="84" spans="1:18" x14ac:dyDescent="0.2">
      <c r="A84" s="4">
        <v>76</v>
      </c>
      <c r="B84" s="5"/>
      <c r="C84" s="6"/>
      <c r="D84" s="6"/>
      <c r="E84" s="7"/>
      <c r="F84" s="41"/>
      <c r="G84" s="46"/>
      <c r="H84" s="39"/>
      <c r="I84" s="41"/>
      <c r="J84" s="41"/>
      <c r="K84" s="41"/>
      <c r="L84" s="41"/>
      <c r="M84" s="41"/>
      <c r="N84" s="41"/>
      <c r="O84" s="6"/>
      <c r="P84" s="41"/>
      <c r="Q84" s="41">
        <f t="shared" si="2"/>
        <v>0</v>
      </c>
      <c r="R84" s="41" t="str">
        <f t="shared" si="3"/>
        <v/>
      </c>
    </row>
    <row r="85" spans="1:18" x14ac:dyDescent="0.2">
      <c r="A85" s="4">
        <v>77</v>
      </c>
      <c r="B85" s="5"/>
      <c r="C85" s="6"/>
      <c r="D85" s="6"/>
      <c r="E85" s="7"/>
      <c r="F85" s="41"/>
      <c r="G85" s="46"/>
      <c r="H85" s="39"/>
      <c r="I85" s="41"/>
      <c r="J85" s="41"/>
      <c r="K85" s="41"/>
      <c r="L85" s="41"/>
      <c r="M85" s="41"/>
      <c r="N85" s="41"/>
      <c r="O85" s="6"/>
      <c r="P85" s="41"/>
      <c r="Q85" s="41">
        <f t="shared" si="2"/>
        <v>0</v>
      </c>
      <c r="R85" s="41" t="str">
        <f t="shared" si="3"/>
        <v/>
      </c>
    </row>
    <row r="86" spans="1:18" x14ac:dyDescent="0.2">
      <c r="A86" s="4">
        <v>78</v>
      </c>
      <c r="B86" s="5"/>
      <c r="C86" s="6"/>
      <c r="D86" s="6"/>
      <c r="E86" s="7"/>
      <c r="F86" s="41"/>
      <c r="G86" s="46"/>
      <c r="H86" s="39"/>
      <c r="I86" s="41"/>
      <c r="J86" s="41"/>
      <c r="K86" s="41"/>
      <c r="L86" s="41"/>
      <c r="M86" s="41"/>
      <c r="N86" s="41"/>
      <c r="O86" s="6"/>
      <c r="P86" s="41"/>
      <c r="Q86" s="41">
        <f t="shared" si="2"/>
        <v>0</v>
      </c>
      <c r="R86" s="41" t="str">
        <f t="shared" si="3"/>
        <v/>
      </c>
    </row>
    <row r="87" spans="1:18" x14ac:dyDescent="0.2">
      <c r="A87" s="4">
        <v>79</v>
      </c>
      <c r="B87" s="5"/>
      <c r="C87" s="6"/>
      <c r="D87" s="6"/>
      <c r="E87" s="7"/>
      <c r="F87" s="41"/>
      <c r="G87" s="46"/>
      <c r="H87" s="39"/>
      <c r="I87" s="41"/>
      <c r="J87" s="41"/>
      <c r="K87" s="41"/>
      <c r="L87" s="41"/>
      <c r="M87" s="41"/>
      <c r="N87" s="41"/>
      <c r="O87" s="6"/>
      <c r="P87" s="41"/>
      <c r="Q87" s="41">
        <f t="shared" si="2"/>
        <v>0</v>
      </c>
      <c r="R87" s="41" t="str">
        <f t="shared" si="3"/>
        <v/>
      </c>
    </row>
    <row r="88" spans="1:18" x14ac:dyDescent="0.2">
      <c r="A88" s="4">
        <v>80</v>
      </c>
      <c r="B88" s="5"/>
      <c r="C88" s="6"/>
      <c r="D88" s="6"/>
      <c r="E88" s="7"/>
      <c r="F88" s="41"/>
      <c r="G88" s="46"/>
      <c r="H88" s="39"/>
      <c r="I88" s="41"/>
      <c r="J88" s="41"/>
      <c r="K88" s="41"/>
      <c r="L88" s="41"/>
      <c r="M88" s="41"/>
      <c r="N88" s="41"/>
      <c r="O88" s="6"/>
      <c r="P88" s="41"/>
      <c r="Q88" s="41">
        <f t="shared" si="2"/>
        <v>0</v>
      </c>
      <c r="R88" s="41" t="str">
        <f t="shared" si="3"/>
        <v/>
      </c>
    </row>
    <row r="89" spans="1:18" x14ac:dyDescent="0.2">
      <c r="A89" s="4">
        <v>81</v>
      </c>
      <c r="B89" s="5"/>
      <c r="C89" s="6"/>
      <c r="D89" s="6"/>
      <c r="E89" s="7"/>
      <c r="F89" s="41"/>
      <c r="G89" s="46"/>
      <c r="H89" s="39"/>
      <c r="I89" s="41"/>
      <c r="J89" s="41"/>
      <c r="K89" s="41"/>
      <c r="L89" s="41"/>
      <c r="M89" s="41"/>
      <c r="N89" s="41"/>
      <c r="O89" s="6"/>
      <c r="P89" s="41"/>
      <c r="Q89" s="41">
        <f t="shared" si="2"/>
        <v>0</v>
      </c>
      <c r="R89" s="41" t="str">
        <f t="shared" si="3"/>
        <v/>
      </c>
    </row>
    <row r="90" spans="1:18" x14ac:dyDescent="0.2">
      <c r="A90" s="4">
        <v>82</v>
      </c>
      <c r="B90" s="5"/>
      <c r="C90" s="6"/>
      <c r="D90" s="6"/>
      <c r="E90" s="7"/>
      <c r="F90" s="41"/>
      <c r="G90" s="46"/>
      <c r="H90" s="39"/>
      <c r="I90" s="41"/>
      <c r="J90" s="41"/>
      <c r="K90" s="41"/>
      <c r="L90" s="41"/>
      <c r="M90" s="41"/>
      <c r="N90" s="41"/>
      <c r="O90" s="6"/>
      <c r="P90" s="41"/>
      <c r="Q90" s="41">
        <f t="shared" si="2"/>
        <v>0</v>
      </c>
      <c r="R90" s="41" t="str">
        <f t="shared" si="3"/>
        <v/>
      </c>
    </row>
    <row r="91" spans="1:18" x14ac:dyDescent="0.2">
      <c r="A91" s="4">
        <v>83</v>
      </c>
      <c r="B91" s="5"/>
      <c r="C91" s="6"/>
      <c r="D91" s="6"/>
      <c r="E91" s="7"/>
      <c r="F91" s="41"/>
      <c r="G91" s="46"/>
      <c r="H91" s="39"/>
      <c r="I91" s="41"/>
      <c r="J91" s="41"/>
      <c r="K91" s="41"/>
      <c r="L91" s="41"/>
      <c r="M91" s="41"/>
      <c r="N91" s="41"/>
      <c r="O91" s="6"/>
      <c r="P91" s="41"/>
      <c r="Q91" s="41">
        <f t="shared" si="2"/>
        <v>0</v>
      </c>
      <c r="R91" s="41" t="str">
        <f t="shared" si="3"/>
        <v/>
      </c>
    </row>
    <row r="92" spans="1:18" x14ac:dyDescent="0.2">
      <c r="A92" s="4">
        <v>84</v>
      </c>
      <c r="B92" s="5"/>
      <c r="C92" s="6"/>
      <c r="D92" s="6"/>
      <c r="E92" s="7"/>
      <c r="F92" s="41"/>
      <c r="G92" s="46"/>
      <c r="H92" s="39"/>
      <c r="I92" s="41"/>
      <c r="J92" s="41"/>
      <c r="K92" s="41"/>
      <c r="L92" s="41"/>
      <c r="M92" s="41"/>
      <c r="N92" s="41"/>
      <c r="O92" s="6"/>
      <c r="P92" s="41"/>
      <c r="Q92" s="41">
        <f t="shared" si="2"/>
        <v>0</v>
      </c>
      <c r="R92" s="41" t="str">
        <f t="shared" si="3"/>
        <v/>
      </c>
    </row>
    <row r="93" spans="1:18" x14ac:dyDescent="0.2">
      <c r="A93" s="4">
        <v>85</v>
      </c>
      <c r="B93" s="5"/>
      <c r="C93" s="6"/>
      <c r="D93" s="6"/>
      <c r="E93" s="7"/>
      <c r="F93" s="41"/>
      <c r="G93" s="46"/>
      <c r="H93" s="39"/>
      <c r="I93" s="41"/>
      <c r="J93" s="41"/>
      <c r="K93" s="41"/>
      <c r="L93" s="41"/>
      <c r="M93" s="41"/>
      <c r="N93" s="41"/>
      <c r="O93" s="6"/>
      <c r="P93" s="41"/>
      <c r="Q93" s="41">
        <f t="shared" si="2"/>
        <v>0</v>
      </c>
      <c r="R93" s="41" t="str">
        <f t="shared" si="3"/>
        <v/>
      </c>
    </row>
    <row r="94" spans="1:18" x14ac:dyDescent="0.2">
      <c r="A94" s="4">
        <v>86</v>
      </c>
      <c r="B94" s="5"/>
      <c r="C94" s="6"/>
      <c r="D94" s="6"/>
      <c r="E94" s="7"/>
      <c r="F94" s="41"/>
      <c r="G94" s="46"/>
      <c r="H94" s="39"/>
      <c r="I94" s="41"/>
      <c r="J94" s="41"/>
      <c r="K94" s="41"/>
      <c r="L94" s="41"/>
      <c r="M94" s="41"/>
      <c r="N94" s="41"/>
      <c r="O94" s="6"/>
      <c r="P94" s="41"/>
      <c r="Q94" s="41">
        <f t="shared" si="2"/>
        <v>0</v>
      </c>
      <c r="R94" s="41" t="str">
        <f t="shared" si="3"/>
        <v/>
      </c>
    </row>
    <row r="95" spans="1:18" x14ac:dyDescent="0.2">
      <c r="A95" s="4">
        <v>87</v>
      </c>
      <c r="B95" s="5"/>
      <c r="C95" s="6"/>
      <c r="D95" s="6"/>
      <c r="E95" s="7"/>
      <c r="F95" s="41"/>
      <c r="G95" s="46"/>
      <c r="H95" s="39"/>
      <c r="I95" s="41"/>
      <c r="J95" s="41"/>
      <c r="K95" s="41"/>
      <c r="L95" s="41"/>
      <c r="M95" s="41"/>
      <c r="N95" s="41"/>
      <c r="O95" s="6"/>
      <c r="P95" s="41"/>
      <c r="Q95" s="41">
        <f t="shared" si="2"/>
        <v>0</v>
      </c>
      <c r="R95" s="41" t="str">
        <f t="shared" si="3"/>
        <v/>
      </c>
    </row>
    <row r="96" spans="1:18" x14ac:dyDescent="0.2">
      <c r="A96" s="4">
        <v>88</v>
      </c>
      <c r="B96" s="5"/>
      <c r="C96" s="6"/>
      <c r="D96" s="6"/>
      <c r="E96" s="7"/>
      <c r="F96" s="41"/>
      <c r="G96" s="46"/>
      <c r="H96" s="39"/>
      <c r="I96" s="41"/>
      <c r="J96" s="41"/>
      <c r="K96" s="41"/>
      <c r="L96" s="41"/>
      <c r="M96" s="41"/>
      <c r="N96" s="41"/>
      <c r="O96" s="6"/>
      <c r="P96" s="41"/>
      <c r="Q96" s="41">
        <f t="shared" si="2"/>
        <v>0</v>
      </c>
      <c r="R96" s="41" t="str">
        <f t="shared" si="3"/>
        <v/>
      </c>
    </row>
    <row r="97" spans="1:18" x14ac:dyDescent="0.2">
      <c r="A97" s="4">
        <v>89</v>
      </c>
      <c r="B97" s="5"/>
      <c r="C97" s="6"/>
      <c r="D97" s="6"/>
      <c r="E97" s="7"/>
      <c r="F97" s="41"/>
      <c r="G97" s="46"/>
      <c r="H97" s="39"/>
      <c r="I97" s="41"/>
      <c r="J97" s="41"/>
      <c r="K97" s="41"/>
      <c r="L97" s="41"/>
      <c r="M97" s="41"/>
      <c r="N97" s="41"/>
      <c r="O97" s="6"/>
      <c r="P97" s="41"/>
      <c r="Q97" s="41">
        <f t="shared" si="2"/>
        <v>0</v>
      </c>
      <c r="R97" s="41" t="str">
        <f t="shared" si="3"/>
        <v/>
      </c>
    </row>
    <row r="98" spans="1:18" x14ac:dyDescent="0.2">
      <c r="A98" s="4">
        <v>90</v>
      </c>
      <c r="B98" s="5"/>
      <c r="C98" s="6"/>
      <c r="D98" s="6"/>
      <c r="E98" s="7"/>
      <c r="F98" s="41"/>
      <c r="G98" s="46"/>
      <c r="H98" s="39"/>
      <c r="I98" s="41"/>
      <c r="J98" s="41"/>
      <c r="K98" s="41"/>
      <c r="L98" s="41"/>
      <c r="M98" s="41"/>
      <c r="N98" s="41"/>
      <c r="O98" s="6"/>
      <c r="P98" s="41"/>
      <c r="Q98" s="41">
        <f t="shared" si="2"/>
        <v>0</v>
      </c>
      <c r="R98" s="41" t="str">
        <f t="shared" si="3"/>
        <v/>
      </c>
    </row>
    <row r="99" spans="1:18" x14ac:dyDescent="0.2">
      <c r="A99" s="4">
        <v>91</v>
      </c>
      <c r="B99" s="5"/>
      <c r="C99" s="6"/>
      <c r="D99" s="6"/>
      <c r="E99" s="7"/>
      <c r="F99" s="41"/>
      <c r="G99" s="46"/>
      <c r="H99" s="39"/>
      <c r="I99" s="41"/>
      <c r="J99" s="41"/>
      <c r="K99" s="41"/>
      <c r="L99" s="41"/>
      <c r="M99" s="41"/>
      <c r="N99" s="41"/>
      <c r="O99" s="6"/>
      <c r="P99" s="41"/>
      <c r="Q99" s="41">
        <f t="shared" si="2"/>
        <v>0</v>
      </c>
      <c r="R99" s="41" t="str">
        <f t="shared" si="3"/>
        <v/>
      </c>
    </row>
    <row r="100" spans="1:18" x14ac:dyDescent="0.2">
      <c r="A100" s="4">
        <v>92</v>
      </c>
      <c r="B100" s="5"/>
      <c r="C100" s="6"/>
      <c r="D100" s="6"/>
      <c r="E100" s="7"/>
      <c r="F100" s="41"/>
      <c r="G100" s="46"/>
      <c r="H100" s="39"/>
      <c r="I100" s="41"/>
      <c r="J100" s="41"/>
      <c r="K100" s="41"/>
      <c r="L100" s="41"/>
      <c r="M100" s="41"/>
      <c r="N100" s="41"/>
      <c r="O100" s="6"/>
      <c r="P100" s="41"/>
      <c r="Q100" s="41">
        <f t="shared" si="2"/>
        <v>0</v>
      </c>
      <c r="R100" s="41" t="str">
        <f t="shared" si="3"/>
        <v/>
      </c>
    </row>
    <row r="101" spans="1:18" x14ac:dyDescent="0.2">
      <c r="A101" s="4">
        <v>93</v>
      </c>
      <c r="B101" s="5"/>
      <c r="C101" s="6"/>
      <c r="D101" s="6"/>
      <c r="E101" s="7"/>
      <c r="F101" s="41"/>
      <c r="G101" s="46"/>
      <c r="H101" s="39"/>
      <c r="I101" s="41"/>
      <c r="J101" s="41"/>
      <c r="K101" s="41"/>
      <c r="L101" s="41"/>
      <c r="M101" s="41"/>
      <c r="N101" s="41"/>
      <c r="O101" s="6"/>
      <c r="P101" s="41"/>
      <c r="Q101" s="41">
        <f t="shared" si="2"/>
        <v>0</v>
      </c>
      <c r="R101" s="41" t="str">
        <f t="shared" si="3"/>
        <v/>
      </c>
    </row>
    <row r="102" spans="1:18" x14ac:dyDescent="0.2">
      <c r="A102" s="4">
        <v>94</v>
      </c>
      <c r="B102" s="5"/>
      <c r="C102" s="6"/>
      <c r="D102" s="6"/>
      <c r="E102" s="7"/>
      <c r="F102" s="41"/>
      <c r="G102" s="46"/>
      <c r="H102" s="39"/>
      <c r="I102" s="41"/>
      <c r="J102" s="41"/>
      <c r="K102" s="41"/>
      <c r="L102" s="41"/>
      <c r="M102" s="41"/>
      <c r="N102" s="41"/>
      <c r="O102" s="6"/>
      <c r="P102" s="41"/>
      <c r="Q102" s="41">
        <f t="shared" si="2"/>
        <v>0</v>
      </c>
      <c r="R102" s="41" t="str">
        <f t="shared" si="3"/>
        <v/>
      </c>
    </row>
    <row r="103" spans="1:18" x14ac:dyDescent="0.2">
      <c r="A103" s="4">
        <v>95</v>
      </c>
      <c r="B103" s="5"/>
      <c r="C103" s="6"/>
      <c r="D103" s="6"/>
      <c r="E103" s="7"/>
      <c r="F103" s="41"/>
      <c r="G103" s="46"/>
      <c r="H103" s="39"/>
      <c r="I103" s="41"/>
      <c r="J103" s="41"/>
      <c r="K103" s="41"/>
      <c r="L103" s="41"/>
      <c r="M103" s="41"/>
      <c r="N103" s="41"/>
      <c r="O103" s="6"/>
      <c r="P103" s="41"/>
      <c r="Q103" s="41">
        <f t="shared" si="2"/>
        <v>0</v>
      </c>
      <c r="R103" s="41" t="str">
        <f t="shared" si="3"/>
        <v/>
      </c>
    </row>
    <row r="104" spans="1:18" x14ac:dyDescent="0.2">
      <c r="A104" s="4">
        <v>96</v>
      </c>
      <c r="B104" s="5"/>
      <c r="C104" s="6"/>
      <c r="D104" s="6"/>
      <c r="E104" s="7"/>
      <c r="F104" s="41"/>
      <c r="G104" s="46"/>
      <c r="H104" s="39"/>
      <c r="I104" s="41"/>
      <c r="J104" s="41"/>
      <c r="K104" s="41"/>
      <c r="L104" s="41"/>
      <c r="M104" s="41"/>
      <c r="N104" s="41"/>
      <c r="O104" s="6"/>
      <c r="P104" s="41"/>
      <c r="Q104" s="41">
        <f t="shared" si="2"/>
        <v>0</v>
      </c>
      <c r="R104" s="41" t="str">
        <f t="shared" si="3"/>
        <v/>
      </c>
    </row>
    <row r="105" spans="1:18" x14ac:dyDescent="0.2">
      <c r="A105" s="4">
        <v>97</v>
      </c>
      <c r="B105" s="5"/>
      <c r="C105" s="6"/>
      <c r="D105" s="6"/>
      <c r="E105" s="7"/>
      <c r="F105" s="41"/>
      <c r="G105" s="46"/>
      <c r="H105" s="39"/>
      <c r="I105" s="41"/>
      <c r="J105" s="41"/>
      <c r="K105" s="41"/>
      <c r="L105" s="41"/>
      <c r="M105" s="41"/>
      <c r="N105" s="41"/>
      <c r="O105" s="6"/>
      <c r="P105" s="41"/>
      <c r="Q105" s="41">
        <f t="shared" si="2"/>
        <v>0</v>
      </c>
      <c r="R105" s="41" t="str">
        <f t="shared" si="3"/>
        <v/>
      </c>
    </row>
    <row r="106" spans="1:18" x14ac:dyDescent="0.2">
      <c r="A106" s="4">
        <v>98</v>
      </c>
      <c r="B106" s="5"/>
      <c r="C106" s="6"/>
      <c r="D106" s="6"/>
      <c r="E106" s="7"/>
      <c r="F106" s="41"/>
      <c r="G106" s="46"/>
      <c r="H106" s="39"/>
      <c r="I106" s="41"/>
      <c r="J106" s="41"/>
      <c r="K106" s="41"/>
      <c r="L106" s="41"/>
      <c r="M106" s="41"/>
      <c r="N106" s="41"/>
      <c r="O106" s="6"/>
      <c r="P106" s="41"/>
      <c r="Q106" s="41">
        <f t="shared" si="2"/>
        <v>0</v>
      </c>
      <c r="R106" s="41" t="str">
        <f t="shared" si="3"/>
        <v/>
      </c>
    </row>
    <row r="107" spans="1:18" x14ac:dyDescent="0.2">
      <c r="A107" s="4">
        <v>99</v>
      </c>
      <c r="B107" s="5"/>
      <c r="C107" s="6"/>
      <c r="D107" s="6"/>
      <c r="E107" s="7"/>
      <c r="F107" s="41"/>
      <c r="G107" s="46"/>
      <c r="H107" s="39"/>
      <c r="I107" s="41"/>
      <c r="J107" s="41"/>
      <c r="K107" s="41"/>
      <c r="L107" s="41"/>
      <c r="M107" s="41"/>
      <c r="N107" s="41"/>
      <c r="O107" s="6"/>
      <c r="P107" s="41"/>
      <c r="Q107" s="41">
        <f t="shared" si="2"/>
        <v>0</v>
      </c>
      <c r="R107" s="41" t="str">
        <f t="shared" si="3"/>
        <v/>
      </c>
    </row>
    <row r="108" spans="1:18" x14ac:dyDescent="0.2">
      <c r="A108" s="4">
        <v>100</v>
      </c>
      <c r="B108" s="5"/>
      <c r="C108" s="6"/>
      <c r="D108" s="6"/>
      <c r="E108" s="7"/>
      <c r="F108" s="41"/>
      <c r="G108" s="46"/>
      <c r="H108" s="39"/>
      <c r="I108" s="41"/>
      <c r="J108" s="41"/>
      <c r="K108" s="41"/>
      <c r="L108" s="41"/>
      <c r="M108" s="41"/>
      <c r="N108" s="41"/>
      <c r="O108" s="6"/>
      <c r="P108" s="41"/>
      <c r="Q108" s="41">
        <f t="shared" si="2"/>
        <v>0</v>
      </c>
      <c r="R108" s="41" t="str">
        <f t="shared" si="3"/>
        <v/>
      </c>
    </row>
    <row r="109" spans="1:18" x14ac:dyDescent="0.2">
      <c r="A109" s="4">
        <v>101</v>
      </c>
      <c r="B109" s="5"/>
      <c r="C109" s="6"/>
      <c r="D109" s="6"/>
      <c r="E109" s="7"/>
      <c r="F109" s="41"/>
      <c r="G109" s="46"/>
      <c r="H109" s="39"/>
      <c r="I109" s="41"/>
      <c r="J109" s="41"/>
      <c r="K109" s="41"/>
      <c r="L109" s="41"/>
      <c r="M109" s="41"/>
      <c r="N109" s="41"/>
      <c r="O109" s="6"/>
      <c r="P109" s="41"/>
      <c r="Q109" s="41">
        <f t="shared" si="2"/>
        <v>0</v>
      </c>
      <c r="R109" s="41" t="str">
        <f t="shared" si="3"/>
        <v/>
      </c>
    </row>
    <row r="110" spans="1:18" x14ac:dyDescent="0.2">
      <c r="A110" s="4">
        <v>102</v>
      </c>
      <c r="B110" s="5"/>
      <c r="C110" s="6"/>
      <c r="D110" s="6"/>
      <c r="E110" s="7"/>
      <c r="F110" s="41"/>
      <c r="G110" s="46"/>
      <c r="H110" s="39"/>
      <c r="I110" s="41"/>
      <c r="J110" s="41"/>
      <c r="K110" s="41"/>
      <c r="L110" s="41"/>
      <c r="M110" s="41"/>
      <c r="N110" s="41"/>
      <c r="O110" s="6"/>
      <c r="P110" s="41"/>
      <c r="Q110" s="41">
        <f t="shared" si="2"/>
        <v>0</v>
      </c>
      <c r="R110" s="41" t="str">
        <f t="shared" si="3"/>
        <v/>
      </c>
    </row>
    <row r="111" spans="1:18" x14ac:dyDescent="0.2">
      <c r="A111" s="4">
        <v>103</v>
      </c>
      <c r="B111" s="5"/>
      <c r="C111" s="6"/>
      <c r="D111" s="6"/>
      <c r="E111" s="7"/>
      <c r="F111" s="41"/>
      <c r="G111" s="46"/>
      <c r="H111" s="39"/>
      <c r="I111" s="41"/>
      <c r="J111" s="41"/>
      <c r="K111" s="41"/>
      <c r="L111" s="41"/>
      <c r="M111" s="41"/>
      <c r="N111" s="41"/>
      <c r="O111" s="6"/>
      <c r="P111" s="41"/>
      <c r="Q111" s="41">
        <f t="shared" si="2"/>
        <v>0</v>
      </c>
      <c r="R111" s="41" t="str">
        <f t="shared" si="3"/>
        <v/>
      </c>
    </row>
    <row r="112" spans="1:18" x14ac:dyDescent="0.2">
      <c r="A112" s="4">
        <v>104</v>
      </c>
      <c r="B112" s="5"/>
      <c r="C112" s="6"/>
      <c r="D112" s="6"/>
      <c r="E112" s="7"/>
      <c r="F112" s="41"/>
      <c r="G112" s="46"/>
      <c r="H112" s="39"/>
      <c r="I112" s="41"/>
      <c r="J112" s="41"/>
      <c r="K112" s="41"/>
      <c r="L112" s="41"/>
      <c r="M112" s="41"/>
      <c r="N112" s="41"/>
      <c r="O112" s="6"/>
      <c r="P112" s="41"/>
      <c r="Q112" s="41">
        <f t="shared" si="2"/>
        <v>0</v>
      </c>
      <c r="R112" s="41" t="str">
        <f t="shared" si="3"/>
        <v/>
      </c>
    </row>
    <row r="113" spans="1:18" x14ac:dyDescent="0.2">
      <c r="A113" s="4">
        <v>105</v>
      </c>
      <c r="B113" s="5"/>
      <c r="C113" s="6"/>
      <c r="D113" s="6"/>
      <c r="E113" s="7"/>
      <c r="F113" s="41"/>
      <c r="G113" s="46"/>
      <c r="H113" s="39"/>
      <c r="I113" s="41"/>
      <c r="J113" s="41"/>
      <c r="K113" s="41"/>
      <c r="L113" s="41"/>
      <c r="M113" s="41"/>
      <c r="N113" s="41"/>
      <c r="O113" s="6"/>
      <c r="P113" s="41"/>
      <c r="Q113" s="41">
        <f t="shared" si="2"/>
        <v>0</v>
      </c>
      <c r="R113" s="41" t="str">
        <f t="shared" si="3"/>
        <v/>
      </c>
    </row>
    <row r="114" spans="1:18" x14ac:dyDescent="0.2">
      <c r="A114" s="4">
        <v>106</v>
      </c>
      <c r="B114" s="5"/>
      <c r="C114" s="6"/>
      <c r="D114" s="6"/>
      <c r="E114" s="7"/>
      <c r="F114" s="41"/>
      <c r="G114" s="46"/>
      <c r="H114" s="39"/>
      <c r="I114" s="41"/>
      <c r="J114" s="41"/>
      <c r="K114" s="41"/>
      <c r="L114" s="41"/>
      <c r="M114" s="41"/>
      <c r="N114" s="41"/>
      <c r="O114" s="6"/>
      <c r="P114" s="41"/>
      <c r="Q114" s="41">
        <f t="shared" si="2"/>
        <v>0</v>
      </c>
      <c r="R114" s="41" t="str">
        <f t="shared" si="3"/>
        <v/>
      </c>
    </row>
    <row r="115" spans="1:18" x14ac:dyDescent="0.2">
      <c r="A115" s="4">
        <v>107</v>
      </c>
      <c r="B115" s="5"/>
      <c r="C115" s="6"/>
      <c r="D115" s="6"/>
      <c r="E115" s="7"/>
      <c r="F115" s="41"/>
      <c r="G115" s="46"/>
      <c r="H115" s="39"/>
      <c r="I115" s="41"/>
      <c r="J115" s="41"/>
      <c r="K115" s="41"/>
      <c r="L115" s="41"/>
      <c r="M115" s="41"/>
      <c r="N115" s="41"/>
      <c r="O115" s="6"/>
      <c r="P115" s="41"/>
      <c r="Q115" s="41">
        <f t="shared" si="2"/>
        <v>0</v>
      </c>
      <c r="R115" s="41" t="str">
        <f t="shared" si="3"/>
        <v/>
      </c>
    </row>
    <row r="116" spans="1:18" x14ac:dyDescent="0.2">
      <c r="A116" s="4">
        <v>108</v>
      </c>
      <c r="B116" s="5"/>
      <c r="C116" s="6"/>
      <c r="D116" s="6"/>
      <c r="E116" s="7"/>
      <c r="F116" s="41"/>
      <c r="G116" s="46"/>
      <c r="H116" s="39"/>
      <c r="I116" s="41"/>
      <c r="J116" s="41"/>
      <c r="K116" s="41"/>
      <c r="L116" s="41"/>
      <c r="M116" s="41"/>
      <c r="N116" s="41"/>
      <c r="O116" s="6"/>
      <c r="P116" s="41"/>
      <c r="Q116" s="41">
        <f t="shared" si="2"/>
        <v>0</v>
      </c>
      <c r="R116" s="41" t="str">
        <f t="shared" si="3"/>
        <v/>
      </c>
    </row>
    <row r="117" spans="1:18" x14ac:dyDescent="0.2">
      <c r="A117" s="4">
        <v>109</v>
      </c>
      <c r="B117" s="5"/>
      <c r="C117" s="6"/>
      <c r="D117" s="6"/>
      <c r="E117" s="7"/>
      <c r="F117" s="41"/>
      <c r="G117" s="46"/>
      <c r="H117" s="39"/>
      <c r="I117" s="41"/>
      <c r="J117" s="41"/>
      <c r="K117" s="41"/>
      <c r="L117" s="41"/>
      <c r="M117" s="41"/>
      <c r="N117" s="41"/>
      <c r="O117" s="6"/>
      <c r="P117" s="41"/>
      <c r="Q117" s="41">
        <f t="shared" si="2"/>
        <v>0</v>
      </c>
      <c r="R117" s="41" t="str">
        <f t="shared" si="3"/>
        <v/>
      </c>
    </row>
    <row r="118" spans="1:18" x14ac:dyDescent="0.2">
      <c r="A118" s="4">
        <v>110</v>
      </c>
      <c r="B118" s="5"/>
      <c r="C118" s="6"/>
      <c r="D118" s="6"/>
      <c r="E118" s="7"/>
      <c r="F118" s="41"/>
      <c r="G118" s="46"/>
      <c r="H118" s="39"/>
      <c r="I118" s="41"/>
      <c r="J118" s="41"/>
      <c r="K118" s="41"/>
      <c r="L118" s="41"/>
      <c r="M118" s="41"/>
      <c r="N118" s="41"/>
      <c r="O118" s="6"/>
      <c r="P118" s="41"/>
      <c r="Q118" s="41">
        <f t="shared" si="2"/>
        <v>0</v>
      </c>
      <c r="R118" s="41" t="str">
        <f t="shared" si="3"/>
        <v/>
      </c>
    </row>
    <row r="119" spans="1:18" x14ac:dyDescent="0.2">
      <c r="A119" s="4">
        <v>111</v>
      </c>
      <c r="B119" s="5"/>
      <c r="C119" s="6"/>
      <c r="D119" s="6"/>
      <c r="E119" s="7"/>
      <c r="F119" s="41"/>
      <c r="G119" s="46"/>
      <c r="H119" s="39"/>
      <c r="I119" s="41"/>
      <c r="J119" s="41"/>
      <c r="K119" s="41"/>
      <c r="L119" s="41"/>
      <c r="M119" s="41"/>
      <c r="N119" s="41"/>
      <c r="O119" s="6"/>
      <c r="P119" s="41"/>
      <c r="Q119" s="41">
        <f t="shared" si="2"/>
        <v>0</v>
      </c>
      <c r="R119" s="41" t="str">
        <f t="shared" si="3"/>
        <v/>
      </c>
    </row>
    <row r="120" spans="1:18" x14ac:dyDescent="0.2">
      <c r="A120" s="4">
        <v>112</v>
      </c>
      <c r="B120" s="5"/>
      <c r="C120" s="6"/>
      <c r="D120" s="6"/>
      <c r="E120" s="7"/>
      <c r="F120" s="41"/>
      <c r="G120" s="46"/>
      <c r="H120" s="39"/>
      <c r="I120" s="41"/>
      <c r="J120" s="41"/>
      <c r="K120" s="41"/>
      <c r="L120" s="41"/>
      <c r="M120" s="41"/>
      <c r="N120" s="41"/>
      <c r="O120" s="6"/>
      <c r="P120" s="41"/>
      <c r="Q120" s="41">
        <f t="shared" si="2"/>
        <v>0</v>
      </c>
      <c r="R120" s="41" t="str">
        <f t="shared" si="3"/>
        <v/>
      </c>
    </row>
    <row r="121" spans="1:18" x14ac:dyDescent="0.2">
      <c r="A121" s="4">
        <v>113</v>
      </c>
      <c r="B121" s="5"/>
      <c r="C121" s="6"/>
      <c r="D121" s="6"/>
      <c r="E121" s="7"/>
      <c r="F121" s="41"/>
      <c r="G121" s="46"/>
      <c r="H121" s="39"/>
      <c r="I121" s="41"/>
      <c r="J121" s="41"/>
      <c r="K121" s="41"/>
      <c r="L121" s="41"/>
      <c r="M121" s="41"/>
      <c r="N121" s="41"/>
      <c r="O121" s="6"/>
      <c r="P121" s="41"/>
      <c r="Q121" s="41">
        <f t="shared" si="2"/>
        <v>0</v>
      </c>
      <c r="R121" s="41" t="str">
        <f t="shared" si="3"/>
        <v/>
      </c>
    </row>
    <row r="122" spans="1:18" x14ac:dyDescent="0.2">
      <c r="A122" s="4">
        <v>114</v>
      </c>
      <c r="B122" s="5"/>
      <c r="C122" s="6"/>
      <c r="D122" s="6"/>
      <c r="E122" s="7"/>
      <c r="F122" s="41"/>
      <c r="G122" s="46"/>
      <c r="H122" s="39"/>
      <c r="I122" s="41"/>
      <c r="J122" s="41"/>
      <c r="K122" s="41"/>
      <c r="L122" s="41"/>
      <c r="M122" s="41"/>
      <c r="N122" s="41"/>
      <c r="O122" s="6"/>
      <c r="P122" s="41"/>
      <c r="Q122" s="41">
        <f t="shared" si="2"/>
        <v>0</v>
      </c>
      <c r="R122" s="41" t="str">
        <f t="shared" si="3"/>
        <v/>
      </c>
    </row>
    <row r="123" spans="1:18" x14ac:dyDescent="0.2">
      <c r="A123" s="4">
        <v>115</v>
      </c>
      <c r="B123" s="5"/>
      <c r="C123" s="6"/>
      <c r="D123" s="6"/>
      <c r="E123" s="7"/>
      <c r="F123" s="41"/>
      <c r="G123" s="46"/>
      <c r="H123" s="39"/>
      <c r="I123" s="41"/>
      <c r="J123" s="41"/>
      <c r="K123" s="41"/>
      <c r="L123" s="41"/>
      <c r="M123" s="41"/>
      <c r="N123" s="41"/>
      <c r="O123" s="6"/>
      <c r="P123" s="41"/>
      <c r="Q123" s="41">
        <f t="shared" si="2"/>
        <v>0</v>
      </c>
      <c r="R123" s="41" t="str">
        <f t="shared" si="3"/>
        <v/>
      </c>
    </row>
    <row r="124" spans="1:18" x14ac:dyDescent="0.2">
      <c r="A124" s="4">
        <v>116</v>
      </c>
      <c r="B124" s="5"/>
      <c r="C124" s="6"/>
      <c r="D124" s="6"/>
      <c r="E124" s="7"/>
      <c r="F124" s="41"/>
      <c r="G124" s="46"/>
      <c r="H124" s="39"/>
      <c r="I124" s="41"/>
      <c r="J124" s="41"/>
      <c r="K124" s="41"/>
      <c r="L124" s="41"/>
      <c r="M124" s="41"/>
      <c r="N124" s="41"/>
      <c r="O124" s="6"/>
      <c r="P124" s="41"/>
      <c r="Q124" s="41">
        <f t="shared" si="2"/>
        <v>0</v>
      </c>
      <c r="R124" s="41" t="str">
        <f t="shared" si="3"/>
        <v/>
      </c>
    </row>
    <row r="125" spans="1:18" x14ac:dyDescent="0.2">
      <c r="A125" s="4">
        <v>117</v>
      </c>
      <c r="B125" s="5"/>
      <c r="C125" s="6"/>
      <c r="D125" s="6"/>
      <c r="E125" s="7"/>
      <c r="F125" s="41"/>
      <c r="G125" s="46"/>
      <c r="H125" s="39"/>
      <c r="I125" s="41"/>
      <c r="J125" s="41"/>
      <c r="K125" s="41"/>
      <c r="L125" s="41"/>
      <c r="M125" s="41"/>
      <c r="N125" s="41"/>
      <c r="O125" s="6"/>
      <c r="P125" s="41"/>
      <c r="Q125" s="41">
        <f t="shared" si="2"/>
        <v>0</v>
      </c>
      <c r="R125" s="41" t="str">
        <f t="shared" si="3"/>
        <v/>
      </c>
    </row>
    <row r="126" spans="1:18" x14ac:dyDescent="0.2">
      <c r="A126" s="4">
        <v>118</v>
      </c>
      <c r="B126" s="5"/>
      <c r="C126" s="6"/>
      <c r="D126" s="6"/>
      <c r="E126" s="7"/>
      <c r="F126" s="41"/>
      <c r="G126" s="46"/>
      <c r="H126" s="39"/>
      <c r="I126" s="41"/>
      <c r="J126" s="41"/>
      <c r="K126" s="41"/>
      <c r="L126" s="41"/>
      <c r="M126" s="41"/>
      <c r="N126" s="41"/>
      <c r="O126" s="6"/>
      <c r="P126" s="41"/>
      <c r="Q126" s="41">
        <f t="shared" si="2"/>
        <v>0</v>
      </c>
      <c r="R126" s="41" t="str">
        <f t="shared" si="3"/>
        <v/>
      </c>
    </row>
    <row r="127" spans="1:18" x14ac:dyDescent="0.2">
      <c r="A127" s="4">
        <v>119</v>
      </c>
      <c r="B127" s="5"/>
      <c r="C127" s="6"/>
      <c r="D127" s="6"/>
      <c r="E127" s="7"/>
      <c r="F127" s="41"/>
      <c r="G127" s="46"/>
      <c r="H127" s="39"/>
      <c r="I127" s="41"/>
      <c r="J127" s="41"/>
      <c r="K127" s="41"/>
      <c r="L127" s="41"/>
      <c r="M127" s="41"/>
      <c r="N127" s="41"/>
      <c r="O127" s="6"/>
      <c r="P127" s="41"/>
      <c r="Q127" s="41">
        <f t="shared" si="2"/>
        <v>0</v>
      </c>
      <c r="R127" s="41" t="str">
        <f t="shared" si="3"/>
        <v/>
      </c>
    </row>
    <row r="128" spans="1:18" x14ac:dyDescent="0.2">
      <c r="A128" s="4">
        <v>120</v>
      </c>
      <c r="B128" s="5"/>
      <c r="C128" s="6"/>
      <c r="D128" s="6"/>
      <c r="E128" s="7"/>
      <c r="F128" s="41"/>
      <c r="G128" s="46"/>
      <c r="H128" s="39"/>
      <c r="I128" s="41"/>
      <c r="J128" s="41"/>
      <c r="K128" s="41"/>
      <c r="L128" s="41"/>
      <c r="M128" s="41"/>
      <c r="N128" s="41"/>
      <c r="O128" s="6"/>
      <c r="P128" s="41"/>
      <c r="Q128" s="41">
        <f t="shared" si="2"/>
        <v>0</v>
      </c>
      <c r="R128" s="41" t="str">
        <f t="shared" si="3"/>
        <v/>
      </c>
    </row>
    <row r="129" spans="1:18" x14ac:dyDescent="0.2">
      <c r="A129" s="4">
        <v>121</v>
      </c>
      <c r="B129" s="5"/>
      <c r="C129" s="6"/>
      <c r="D129" s="6"/>
      <c r="E129" s="7"/>
      <c r="F129" s="41"/>
      <c r="G129" s="46"/>
      <c r="H129" s="39"/>
      <c r="I129" s="41"/>
      <c r="J129" s="41"/>
      <c r="K129" s="41"/>
      <c r="L129" s="41"/>
      <c r="M129" s="41"/>
      <c r="N129" s="41"/>
      <c r="O129" s="6"/>
      <c r="P129" s="41"/>
      <c r="Q129" s="41">
        <f t="shared" si="2"/>
        <v>0</v>
      </c>
      <c r="R129" s="41" t="str">
        <f t="shared" si="3"/>
        <v/>
      </c>
    </row>
    <row r="130" spans="1:18" x14ac:dyDescent="0.2">
      <c r="A130" s="4">
        <v>122</v>
      </c>
      <c r="B130" s="5"/>
      <c r="C130" s="6"/>
      <c r="D130" s="6"/>
      <c r="E130" s="7"/>
      <c r="F130" s="41"/>
      <c r="G130" s="46"/>
      <c r="H130" s="39"/>
      <c r="I130" s="41"/>
      <c r="J130" s="41"/>
      <c r="K130" s="41"/>
      <c r="L130" s="41"/>
      <c r="M130" s="41"/>
      <c r="N130" s="41"/>
      <c r="O130" s="6"/>
      <c r="P130" s="41"/>
      <c r="Q130" s="41">
        <f t="shared" si="2"/>
        <v>0</v>
      </c>
      <c r="R130" s="41" t="str">
        <f t="shared" si="3"/>
        <v/>
      </c>
    </row>
    <row r="131" spans="1:18" x14ac:dyDescent="0.2">
      <c r="A131" s="4">
        <v>123</v>
      </c>
      <c r="B131" s="5"/>
      <c r="C131" s="6"/>
      <c r="D131" s="6"/>
      <c r="E131" s="7"/>
      <c r="F131" s="41"/>
      <c r="G131" s="46"/>
      <c r="H131" s="39"/>
      <c r="I131" s="41"/>
      <c r="J131" s="41"/>
      <c r="K131" s="41"/>
      <c r="L131" s="41"/>
      <c r="M131" s="41"/>
      <c r="N131" s="41"/>
      <c r="O131" s="6"/>
      <c r="P131" s="41"/>
      <c r="Q131" s="41">
        <f t="shared" si="2"/>
        <v>0</v>
      </c>
      <c r="R131" s="41" t="str">
        <f t="shared" si="3"/>
        <v/>
      </c>
    </row>
    <row r="132" spans="1:18" x14ac:dyDescent="0.2">
      <c r="A132" s="4">
        <v>124</v>
      </c>
      <c r="B132" s="5"/>
      <c r="C132" s="6"/>
      <c r="D132" s="6"/>
      <c r="E132" s="7"/>
      <c r="F132" s="41"/>
      <c r="G132" s="46"/>
      <c r="H132" s="39"/>
      <c r="I132" s="41"/>
      <c r="J132" s="41"/>
      <c r="K132" s="41"/>
      <c r="L132" s="41"/>
      <c r="M132" s="41"/>
      <c r="N132" s="41"/>
      <c r="O132" s="6"/>
      <c r="P132" s="41"/>
      <c r="Q132" s="41">
        <f t="shared" si="2"/>
        <v>0</v>
      </c>
      <c r="R132" s="41" t="str">
        <f t="shared" si="3"/>
        <v/>
      </c>
    </row>
    <row r="133" spans="1:18" x14ac:dyDescent="0.2">
      <c r="A133" s="4">
        <v>125</v>
      </c>
      <c r="B133" s="5"/>
      <c r="C133" s="6"/>
      <c r="D133" s="6"/>
      <c r="E133" s="7"/>
      <c r="F133" s="41"/>
      <c r="G133" s="46"/>
      <c r="H133" s="39"/>
      <c r="I133" s="41"/>
      <c r="J133" s="41"/>
      <c r="K133" s="41"/>
      <c r="L133" s="41"/>
      <c r="M133" s="41"/>
      <c r="N133" s="41"/>
      <c r="O133" s="6"/>
      <c r="P133" s="41"/>
      <c r="Q133" s="41">
        <f t="shared" si="2"/>
        <v>0</v>
      </c>
      <c r="R133" s="41" t="str">
        <f t="shared" si="3"/>
        <v/>
      </c>
    </row>
    <row r="134" spans="1:18" x14ac:dyDescent="0.2">
      <c r="A134" s="4">
        <v>126</v>
      </c>
      <c r="B134" s="5"/>
      <c r="C134" s="6"/>
      <c r="D134" s="6"/>
      <c r="E134" s="7"/>
      <c r="F134" s="41"/>
      <c r="G134" s="46"/>
      <c r="H134" s="39"/>
      <c r="I134" s="41"/>
      <c r="J134" s="41"/>
      <c r="K134" s="41"/>
      <c r="L134" s="41"/>
      <c r="M134" s="41"/>
      <c r="N134" s="41"/>
      <c r="O134" s="6"/>
      <c r="P134" s="41"/>
      <c r="Q134" s="41">
        <f t="shared" si="2"/>
        <v>0</v>
      </c>
      <c r="R134" s="41" t="str">
        <f t="shared" si="3"/>
        <v/>
      </c>
    </row>
    <row r="135" spans="1:18" x14ac:dyDescent="0.2">
      <c r="A135" s="4">
        <v>127</v>
      </c>
      <c r="B135" s="5"/>
      <c r="C135" s="6"/>
      <c r="D135" s="6"/>
      <c r="E135" s="7"/>
      <c r="F135" s="41"/>
      <c r="G135" s="46"/>
      <c r="H135" s="39"/>
      <c r="I135" s="41"/>
      <c r="J135" s="41"/>
      <c r="K135" s="41"/>
      <c r="L135" s="41"/>
      <c r="M135" s="41"/>
      <c r="N135" s="41"/>
      <c r="O135" s="6"/>
      <c r="P135" s="41"/>
      <c r="Q135" s="41">
        <f t="shared" si="2"/>
        <v>0</v>
      </c>
      <c r="R135" s="41" t="str">
        <f t="shared" si="3"/>
        <v/>
      </c>
    </row>
    <row r="136" spans="1:18" x14ac:dyDescent="0.2">
      <c r="A136" s="4">
        <v>128</v>
      </c>
      <c r="B136" s="5"/>
      <c r="C136" s="6"/>
      <c r="D136" s="6"/>
      <c r="E136" s="7"/>
      <c r="F136" s="41"/>
      <c r="G136" s="46"/>
      <c r="H136" s="39"/>
      <c r="I136" s="41"/>
      <c r="J136" s="41"/>
      <c r="K136" s="41"/>
      <c r="L136" s="41"/>
      <c r="M136" s="41"/>
      <c r="N136" s="41"/>
      <c r="O136" s="6"/>
      <c r="P136" s="41"/>
      <c r="Q136" s="41">
        <f t="shared" si="2"/>
        <v>0</v>
      </c>
      <c r="R136" s="41" t="str">
        <f t="shared" si="3"/>
        <v/>
      </c>
    </row>
    <row r="137" spans="1:18" x14ac:dyDescent="0.2">
      <c r="A137" s="4">
        <v>129</v>
      </c>
      <c r="B137" s="5"/>
      <c r="C137" s="6"/>
      <c r="D137" s="6"/>
      <c r="E137" s="7"/>
      <c r="F137" s="41"/>
      <c r="G137" s="46"/>
      <c r="H137" s="39"/>
      <c r="I137" s="41"/>
      <c r="J137" s="41"/>
      <c r="K137" s="41"/>
      <c r="L137" s="41"/>
      <c r="M137" s="41"/>
      <c r="N137" s="41"/>
      <c r="O137" s="6"/>
      <c r="P137" s="41"/>
      <c r="Q137" s="41">
        <f t="shared" si="2"/>
        <v>0</v>
      </c>
      <c r="R137" s="41" t="str">
        <f t="shared" si="3"/>
        <v/>
      </c>
    </row>
    <row r="138" spans="1:18" x14ac:dyDescent="0.2">
      <c r="A138" s="4">
        <v>130</v>
      </c>
      <c r="B138" s="5"/>
      <c r="C138" s="6"/>
      <c r="D138" s="6"/>
      <c r="E138" s="7"/>
      <c r="F138" s="41"/>
      <c r="G138" s="46"/>
      <c r="H138" s="39"/>
      <c r="I138" s="41"/>
      <c r="J138" s="41"/>
      <c r="K138" s="41"/>
      <c r="L138" s="41"/>
      <c r="M138" s="41"/>
      <c r="N138" s="41"/>
      <c r="O138" s="6"/>
      <c r="P138" s="41"/>
      <c r="Q138" s="41">
        <f t="shared" ref="Q138:Q201" si="4">E138*F138</f>
        <v>0</v>
      </c>
      <c r="R138" s="41" t="str">
        <f t="shared" si="3"/>
        <v/>
      </c>
    </row>
    <row r="139" spans="1:18" x14ac:dyDescent="0.2">
      <c r="A139" s="4">
        <v>131</v>
      </c>
      <c r="B139" s="5"/>
      <c r="C139" s="6"/>
      <c r="D139" s="6"/>
      <c r="E139" s="7"/>
      <c r="F139" s="41"/>
      <c r="G139" s="46"/>
      <c r="H139" s="39"/>
      <c r="I139" s="41"/>
      <c r="J139" s="41"/>
      <c r="K139" s="41"/>
      <c r="L139" s="41"/>
      <c r="M139" s="41"/>
      <c r="N139" s="41"/>
      <c r="O139" s="6"/>
      <c r="P139" s="41"/>
      <c r="Q139" s="41">
        <f t="shared" si="4"/>
        <v>0</v>
      </c>
      <c r="R139" s="41" t="str">
        <f t="shared" ref="R139:R202" si="5">IF(O139=$U$3,(Q139*G139)+(Q139*H139)+(E139*J139)+(L139)+I139+K139+M139+N139+Q139,IF(O139=$U$4,-P139,""))</f>
        <v/>
      </c>
    </row>
    <row r="140" spans="1:18" x14ac:dyDescent="0.2">
      <c r="A140" s="4">
        <v>132</v>
      </c>
      <c r="B140" s="5"/>
      <c r="C140" s="6"/>
      <c r="D140" s="6"/>
      <c r="E140" s="7"/>
      <c r="F140" s="41"/>
      <c r="G140" s="46"/>
      <c r="H140" s="39"/>
      <c r="I140" s="41"/>
      <c r="J140" s="41"/>
      <c r="K140" s="41"/>
      <c r="L140" s="41"/>
      <c r="M140" s="41"/>
      <c r="N140" s="41"/>
      <c r="O140" s="6"/>
      <c r="P140" s="41"/>
      <c r="Q140" s="41">
        <f t="shared" si="4"/>
        <v>0</v>
      </c>
      <c r="R140" s="41" t="str">
        <f t="shared" si="5"/>
        <v/>
      </c>
    </row>
    <row r="141" spans="1:18" x14ac:dyDescent="0.2">
      <c r="A141" s="4">
        <v>133</v>
      </c>
      <c r="B141" s="5"/>
      <c r="C141" s="6"/>
      <c r="D141" s="6"/>
      <c r="E141" s="7"/>
      <c r="F141" s="41"/>
      <c r="G141" s="46"/>
      <c r="H141" s="39"/>
      <c r="I141" s="41"/>
      <c r="J141" s="41"/>
      <c r="K141" s="41"/>
      <c r="L141" s="41"/>
      <c r="M141" s="41"/>
      <c r="N141" s="41"/>
      <c r="O141" s="6"/>
      <c r="P141" s="41"/>
      <c r="Q141" s="41">
        <f t="shared" si="4"/>
        <v>0</v>
      </c>
      <c r="R141" s="41" t="str">
        <f t="shared" si="5"/>
        <v/>
      </c>
    </row>
    <row r="142" spans="1:18" x14ac:dyDescent="0.2">
      <c r="A142" s="4">
        <v>134</v>
      </c>
      <c r="B142" s="5"/>
      <c r="C142" s="6"/>
      <c r="D142" s="6"/>
      <c r="E142" s="7"/>
      <c r="F142" s="41"/>
      <c r="G142" s="46"/>
      <c r="H142" s="39"/>
      <c r="I142" s="41"/>
      <c r="J142" s="41"/>
      <c r="K142" s="41"/>
      <c r="L142" s="41"/>
      <c r="M142" s="41"/>
      <c r="N142" s="41"/>
      <c r="O142" s="6"/>
      <c r="P142" s="41"/>
      <c r="Q142" s="41">
        <f t="shared" si="4"/>
        <v>0</v>
      </c>
      <c r="R142" s="41" t="str">
        <f t="shared" si="5"/>
        <v/>
      </c>
    </row>
    <row r="143" spans="1:18" x14ac:dyDescent="0.2">
      <c r="A143" s="4">
        <v>135</v>
      </c>
      <c r="B143" s="5"/>
      <c r="C143" s="6"/>
      <c r="D143" s="6"/>
      <c r="E143" s="7"/>
      <c r="F143" s="41"/>
      <c r="G143" s="46"/>
      <c r="H143" s="39"/>
      <c r="I143" s="41"/>
      <c r="J143" s="41"/>
      <c r="K143" s="41"/>
      <c r="L143" s="41"/>
      <c r="M143" s="41"/>
      <c r="N143" s="41"/>
      <c r="O143" s="6"/>
      <c r="P143" s="41"/>
      <c r="Q143" s="41">
        <f t="shared" si="4"/>
        <v>0</v>
      </c>
      <c r="R143" s="41" t="str">
        <f t="shared" si="5"/>
        <v/>
      </c>
    </row>
    <row r="144" spans="1:18" x14ac:dyDescent="0.2">
      <c r="A144" s="4">
        <v>136</v>
      </c>
      <c r="B144" s="5"/>
      <c r="C144" s="6"/>
      <c r="D144" s="6"/>
      <c r="E144" s="7"/>
      <c r="F144" s="41"/>
      <c r="G144" s="46"/>
      <c r="H144" s="39"/>
      <c r="I144" s="41"/>
      <c r="J144" s="41"/>
      <c r="K144" s="41"/>
      <c r="L144" s="41"/>
      <c r="M144" s="41"/>
      <c r="N144" s="41"/>
      <c r="O144" s="6"/>
      <c r="P144" s="41"/>
      <c r="Q144" s="41">
        <f t="shared" si="4"/>
        <v>0</v>
      </c>
      <c r="R144" s="41" t="str">
        <f t="shared" si="5"/>
        <v/>
      </c>
    </row>
    <row r="145" spans="1:18" x14ac:dyDescent="0.2">
      <c r="A145" s="4">
        <v>137</v>
      </c>
      <c r="B145" s="5"/>
      <c r="C145" s="6"/>
      <c r="D145" s="6"/>
      <c r="E145" s="7"/>
      <c r="F145" s="41"/>
      <c r="G145" s="46"/>
      <c r="H145" s="39"/>
      <c r="I145" s="41"/>
      <c r="J145" s="41"/>
      <c r="K145" s="41"/>
      <c r="L145" s="41"/>
      <c r="M145" s="41"/>
      <c r="N145" s="41"/>
      <c r="O145" s="6"/>
      <c r="P145" s="41"/>
      <c r="Q145" s="41">
        <f t="shared" si="4"/>
        <v>0</v>
      </c>
      <c r="R145" s="41" t="str">
        <f t="shared" si="5"/>
        <v/>
      </c>
    </row>
    <row r="146" spans="1:18" x14ac:dyDescent="0.2">
      <c r="A146" s="4">
        <v>138</v>
      </c>
      <c r="B146" s="5"/>
      <c r="C146" s="6"/>
      <c r="D146" s="6"/>
      <c r="E146" s="7"/>
      <c r="F146" s="41"/>
      <c r="G146" s="46"/>
      <c r="H146" s="39"/>
      <c r="I146" s="41"/>
      <c r="J146" s="41"/>
      <c r="K146" s="41"/>
      <c r="L146" s="41"/>
      <c r="M146" s="41"/>
      <c r="N146" s="41"/>
      <c r="O146" s="6"/>
      <c r="P146" s="41"/>
      <c r="Q146" s="41">
        <f t="shared" si="4"/>
        <v>0</v>
      </c>
      <c r="R146" s="41" t="str">
        <f t="shared" si="5"/>
        <v/>
      </c>
    </row>
    <row r="147" spans="1:18" x14ac:dyDescent="0.2">
      <c r="A147" s="4">
        <v>139</v>
      </c>
      <c r="B147" s="5"/>
      <c r="C147" s="6"/>
      <c r="D147" s="6"/>
      <c r="E147" s="7"/>
      <c r="F147" s="41"/>
      <c r="G147" s="46"/>
      <c r="H147" s="39"/>
      <c r="I147" s="41"/>
      <c r="J147" s="41"/>
      <c r="K147" s="41"/>
      <c r="L147" s="41"/>
      <c r="M147" s="41"/>
      <c r="N147" s="41"/>
      <c r="O147" s="6"/>
      <c r="P147" s="41"/>
      <c r="Q147" s="41">
        <f t="shared" si="4"/>
        <v>0</v>
      </c>
      <c r="R147" s="41" t="str">
        <f t="shared" si="5"/>
        <v/>
      </c>
    </row>
    <row r="148" spans="1:18" x14ac:dyDescent="0.2">
      <c r="A148" s="4">
        <v>140</v>
      </c>
      <c r="B148" s="5"/>
      <c r="C148" s="6"/>
      <c r="D148" s="6"/>
      <c r="E148" s="7"/>
      <c r="F148" s="41"/>
      <c r="G148" s="46"/>
      <c r="H148" s="39"/>
      <c r="I148" s="41"/>
      <c r="J148" s="41"/>
      <c r="K148" s="41"/>
      <c r="L148" s="41"/>
      <c r="M148" s="41"/>
      <c r="N148" s="41"/>
      <c r="O148" s="6"/>
      <c r="P148" s="41"/>
      <c r="Q148" s="41">
        <f t="shared" si="4"/>
        <v>0</v>
      </c>
      <c r="R148" s="41" t="str">
        <f t="shared" si="5"/>
        <v/>
      </c>
    </row>
    <row r="149" spans="1:18" x14ac:dyDescent="0.2">
      <c r="A149" s="4">
        <v>141</v>
      </c>
      <c r="B149" s="5"/>
      <c r="C149" s="6"/>
      <c r="D149" s="6"/>
      <c r="E149" s="7"/>
      <c r="F149" s="41"/>
      <c r="G149" s="46"/>
      <c r="H149" s="39"/>
      <c r="I149" s="41"/>
      <c r="J149" s="41"/>
      <c r="K149" s="41"/>
      <c r="L149" s="41"/>
      <c r="M149" s="41"/>
      <c r="N149" s="41"/>
      <c r="O149" s="6"/>
      <c r="P149" s="41"/>
      <c r="Q149" s="41">
        <f t="shared" si="4"/>
        <v>0</v>
      </c>
      <c r="R149" s="41" t="str">
        <f t="shared" si="5"/>
        <v/>
      </c>
    </row>
    <row r="150" spans="1:18" x14ac:dyDescent="0.2">
      <c r="A150" s="4">
        <v>142</v>
      </c>
      <c r="B150" s="5"/>
      <c r="C150" s="6"/>
      <c r="D150" s="6"/>
      <c r="E150" s="7"/>
      <c r="F150" s="41"/>
      <c r="G150" s="46"/>
      <c r="H150" s="39"/>
      <c r="I150" s="41"/>
      <c r="J150" s="41"/>
      <c r="K150" s="41"/>
      <c r="L150" s="41"/>
      <c r="M150" s="41"/>
      <c r="N150" s="41"/>
      <c r="O150" s="6"/>
      <c r="P150" s="41"/>
      <c r="Q150" s="41">
        <f t="shared" si="4"/>
        <v>0</v>
      </c>
      <c r="R150" s="41" t="str">
        <f t="shared" si="5"/>
        <v/>
      </c>
    </row>
    <row r="151" spans="1:18" x14ac:dyDescent="0.2">
      <c r="A151" s="4">
        <v>143</v>
      </c>
      <c r="B151" s="5"/>
      <c r="C151" s="6"/>
      <c r="D151" s="6"/>
      <c r="E151" s="7"/>
      <c r="F151" s="41"/>
      <c r="G151" s="46"/>
      <c r="H151" s="39"/>
      <c r="I151" s="41"/>
      <c r="J151" s="41"/>
      <c r="K151" s="41"/>
      <c r="L151" s="41"/>
      <c r="M151" s="41"/>
      <c r="N151" s="41"/>
      <c r="O151" s="6"/>
      <c r="P151" s="41"/>
      <c r="Q151" s="41">
        <f t="shared" si="4"/>
        <v>0</v>
      </c>
      <c r="R151" s="41" t="str">
        <f t="shared" si="5"/>
        <v/>
      </c>
    </row>
    <row r="152" spans="1:18" x14ac:dyDescent="0.2">
      <c r="A152" s="4">
        <v>144</v>
      </c>
      <c r="B152" s="5"/>
      <c r="C152" s="6"/>
      <c r="D152" s="6"/>
      <c r="E152" s="7"/>
      <c r="F152" s="41"/>
      <c r="G152" s="46"/>
      <c r="H152" s="39"/>
      <c r="I152" s="41"/>
      <c r="J152" s="41"/>
      <c r="K152" s="41"/>
      <c r="L152" s="41"/>
      <c r="M152" s="41"/>
      <c r="N152" s="41"/>
      <c r="O152" s="6"/>
      <c r="P152" s="41"/>
      <c r="Q152" s="41">
        <f t="shared" si="4"/>
        <v>0</v>
      </c>
      <c r="R152" s="41" t="str">
        <f t="shared" si="5"/>
        <v/>
      </c>
    </row>
    <row r="153" spans="1:18" x14ac:dyDescent="0.2">
      <c r="A153" s="4">
        <v>145</v>
      </c>
      <c r="B153" s="5"/>
      <c r="C153" s="6"/>
      <c r="D153" s="6"/>
      <c r="E153" s="7"/>
      <c r="F153" s="41"/>
      <c r="G153" s="46"/>
      <c r="H153" s="39"/>
      <c r="I153" s="41"/>
      <c r="J153" s="41"/>
      <c r="K153" s="41"/>
      <c r="L153" s="41"/>
      <c r="M153" s="41"/>
      <c r="N153" s="41"/>
      <c r="O153" s="6"/>
      <c r="P153" s="41"/>
      <c r="Q153" s="41">
        <f t="shared" si="4"/>
        <v>0</v>
      </c>
      <c r="R153" s="41" t="str">
        <f t="shared" si="5"/>
        <v/>
      </c>
    </row>
    <row r="154" spans="1:18" x14ac:dyDescent="0.2">
      <c r="A154" s="4">
        <v>146</v>
      </c>
      <c r="B154" s="5"/>
      <c r="C154" s="6"/>
      <c r="D154" s="6"/>
      <c r="E154" s="7"/>
      <c r="F154" s="41"/>
      <c r="G154" s="46"/>
      <c r="H154" s="39"/>
      <c r="I154" s="41"/>
      <c r="J154" s="41"/>
      <c r="K154" s="41"/>
      <c r="L154" s="41"/>
      <c r="M154" s="41"/>
      <c r="N154" s="41"/>
      <c r="O154" s="6"/>
      <c r="P154" s="41"/>
      <c r="Q154" s="41">
        <f t="shared" si="4"/>
        <v>0</v>
      </c>
      <c r="R154" s="41" t="str">
        <f t="shared" si="5"/>
        <v/>
      </c>
    </row>
    <row r="155" spans="1:18" x14ac:dyDescent="0.2">
      <c r="A155" s="4">
        <v>147</v>
      </c>
      <c r="B155" s="5"/>
      <c r="C155" s="6"/>
      <c r="D155" s="6"/>
      <c r="E155" s="7"/>
      <c r="F155" s="41"/>
      <c r="G155" s="46"/>
      <c r="H155" s="39"/>
      <c r="I155" s="41"/>
      <c r="J155" s="41"/>
      <c r="K155" s="41"/>
      <c r="L155" s="41"/>
      <c r="M155" s="41"/>
      <c r="N155" s="41"/>
      <c r="O155" s="6"/>
      <c r="P155" s="41"/>
      <c r="Q155" s="41">
        <f t="shared" si="4"/>
        <v>0</v>
      </c>
      <c r="R155" s="41" t="str">
        <f t="shared" si="5"/>
        <v/>
      </c>
    </row>
    <row r="156" spans="1:18" x14ac:dyDescent="0.2">
      <c r="A156" s="4">
        <v>148</v>
      </c>
      <c r="B156" s="5"/>
      <c r="C156" s="6"/>
      <c r="D156" s="6"/>
      <c r="E156" s="7"/>
      <c r="F156" s="41"/>
      <c r="G156" s="46"/>
      <c r="H156" s="39"/>
      <c r="I156" s="41"/>
      <c r="J156" s="41"/>
      <c r="K156" s="41"/>
      <c r="L156" s="41"/>
      <c r="M156" s="41"/>
      <c r="N156" s="41"/>
      <c r="O156" s="6"/>
      <c r="P156" s="41"/>
      <c r="Q156" s="41">
        <f t="shared" si="4"/>
        <v>0</v>
      </c>
      <c r="R156" s="41" t="str">
        <f t="shared" si="5"/>
        <v/>
      </c>
    </row>
    <row r="157" spans="1:18" x14ac:dyDescent="0.2">
      <c r="A157" s="4">
        <v>149</v>
      </c>
      <c r="B157" s="5"/>
      <c r="C157" s="6"/>
      <c r="D157" s="6"/>
      <c r="E157" s="7"/>
      <c r="F157" s="41"/>
      <c r="G157" s="46"/>
      <c r="H157" s="39"/>
      <c r="I157" s="41"/>
      <c r="J157" s="41"/>
      <c r="K157" s="41"/>
      <c r="L157" s="41"/>
      <c r="M157" s="41"/>
      <c r="N157" s="41"/>
      <c r="O157" s="6"/>
      <c r="P157" s="41"/>
      <c r="Q157" s="41">
        <f t="shared" si="4"/>
        <v>0</v>
      </c>
      <c r="R157" s="41" t="str">
        <f t="shared" si="5"/>
        <v/>
      </c>
    </row>
    <row r="158" spans="1:18" x14ac:dyDescent="0.2">
      <c r="A158" s="4">
        <v>150</v>
      </c>
      <c r="B158" s="5"/>
      <c r="C158" s="6"/>
      <c r="D158" s="6"/>
      <c r="E158" s="7"/>
      <c r="F158" s="41"/>
      <c r="G158" s="46"/>
      <c r="H158" s="39"/>
      <c r="I158" s="41"/>
      <c r="J158" s="41"/>
      <c r="K158" s="41"/>
      <c r="L158" s="41"/>
      <c r="M158" s="41"/>
      <c r="N158" s="41"/>
      <c r="O158" s="6"/>
      <c r="P158" s="41"/>
      <c r="Q158" s="41">
        <f t="shared" si="4"/>
        <v>0</v>
      </c>
      <c r="R158" s="41" t="str">
        <f t="shared" si="5"/>
        <v/>
      </c>
    </row>
    <row r="159" spans="1:18" x14ac:dyDescent="0.2">
      <c r="A159" s="4">
        <v>151</v>
      </c>
      <c r="B159" s="5"/>
      <c r="C159" s="6"/>
      <c r="D159" s="6"/>
      <c r="E159" s="7"/>
      <c r="F159" s="41"/>
      <c r="G159" s="46"/>
      <c r="H159" s="39"/>
      <c r="I159" s="41"/>
      <c r="J159" s="41"/>
      <c r="K159" s="41"/>
      <c r="L159" s="41"/>
      <c r="M159" s="41"/>
      <c r="N159" s="41"/>
      <c r="O159" s="6"/>
      <c r="P159" s="41"/>
      <c r="Q159" s="41">
        <f t="shared" si="4"/>
        <v>0</v>
      </c>
      <c r="R159" s="41" t="str">
        <f t="shared" si="5"/>
        <v/>
      </c>
    </row>
    <row r="160" spans="1:18" x14ac:dyDescent="0.2">
      <c r="A160" s="4">
        <v>152</v>
      </c>
      <c r="B160" s="5"/>
      <c r="C160" s="6"/>
      <c r="D160" s="6"/>
      <c r="E160" s="7"/>
      <c r="F160" s="41"/>
      <c r="G160" s="46"/>
      <c r="H160" s="39"/>
      <c r="I160" s="41"/>
      <c r="J160" s="41"/>
      <c r="K160" s="41"/>
      <c r="L160" s="41"/>
      <c r="M160" s="41"/>
      <c r="N160" s="41"/>
      <c r="O160" s="6"/>
      <c r="P160" s="41"/>
      <c r="Q160" s="41">
        <f t="shared" si="4"/>
        <v>0</v>
      </c>
      <c r="R160" s="41" t="str">
        <f t="shared" si="5"/>
        <v/>
      </c>
    </row>
    <row r="161" spans="1:18" x14ac:dyDescent="0.2">
      <c r="A161" s="4">
        <v>153</v>
      </c>
      <c r="B161" s="5"/>
      <c r="C161" s="6"/>
      <c r="D161" s="6"/>
      <c r="E161" s="7"/>
      <c r="F161" s="41"/>
      <c r="G161" s="46"/>
      <c r="H161" s="39"/>
      <c r="I161" s="41"/>
      <c r="J161" s="41"/>
      <c r="K161" s="41"/>
      <c r="L161" s="41"/>
      <c r="M161" s="41"/>
      <c r="N161" s="41"/>
      <c r="O161" s="6"/>
      <c r="P161" s="41"/>
      <c r="Q161" s="41">
        <f t="shared" si="4"/>
        <v>0</v>
      </c>
      <c r="R161" s="41" t="str">
        <f t="shared" si="5"/>
        <v/>
      </c>
    </row>
    <row r="162" spans="1:18" x14ac:dyDescent="0.2">
      <c r="A162" s="4">
        <v>154</v>
      </c>
      <c r="B162" s="5"/>
      <c r="C162" s="6"/>
      <c r="D162" s="6"/>
      <c r="E162" s="7"/>
      <c r="F162" s="41"/>
      <c r="G162" s="46"/>
      <c r="H162" s="39"/>
      <c r="I162" s="41"/>
      <c r="J162" s="41"/>
      <c r="K162" s="41"/>
      <c r="L162" s="41"/>
      <c r="M162" s="41"/>
      <c r="N162" s="41"/>
      <c r="O162" s="6"/>
      <c r="P162" s="41"/>
      <c r="Q162" s="41">
        <f t="shared" si="4"/>
        <v>0</v>
      </c>
      <c r="R162" s="41" t="str">
        <f t="shared" si="5"/>
        <v/>
      </c>
    </row>
    <row r="163" spans="1:18" x14ac:dyDescent="0.2">
      <c r="A163" s="4">
        <v>155</v>
      </c>
      <c r="B163" s="5"/>
      <c r="C163" s="6"/>
      <c r="D163" s="6"/>
      <c r="E163" s="7"/>
      <c r="F163" s="41"/>
      <c r="G163" s="46"/>
      <c r="H163" s="39"/>
      <c r="I163" s="41"/>
      <c r="J163" s="41"/>
      <c r="K163" s="41"/>
      <c r="L163" s="41"/>
      <c r="M163" s="41"/>
      <c r="N163" s="41"/>
      <c r="O163" s="6"/>
      <c r="P163" s="41"/>
      <c r="Q163" s="41">
        <f t="shared" si="4"/>
        <v>0</v>
      </c>
      <c r="R163" s="41" t="str">
        <f t="shared" si="5"/>
        <v/>
      </c>
    </row>
    <row r="164" spans="1:18" x14ac:dyDescent="0.2">
      <c r="A164" s="4">
        <v>156</v>
      </c>
      <c r="B164" s="5"/>
      <c r="C164" s="6"/>
      <c r="D164" s="6"/>
      <c r="E164" s="7"/>
      <c r="F164" s="41"/>
      <c r="G164" s="46"/>
      <c r="H164" s="39"/>
      <c r="I164" s="41"/>
      <c r="J164" s="41"/>
      <c r="K164" s="41"/>
      <c r="L164" s="41"/>
      <c r="M164" s="41"/>
      <c r="N164" s="41"/>
      <c r="O164" s="6"/>
      <c r="P164" s="41"/>
      <c r="Q164" s="41">
        <f t="shared" si="4"/>
        <v>0</v>
      </c>
      <c r="R164" s="41" t="str">
        <f t="shared" si="5"/>
        <v/>
      </c>
    </row>
    <row r="165" spans="1:18" x14ac:dyDescent="0.2">
      <c r="A165" s="4">
        <v>157</v>
      </c>
      <c r="B165" s="5"/>
      <c r="C165" s="6"/>
      <c r="D165" s="6"/>
      <c r="E165" s="7"/>
      <c r="F165" s="41"/>
      <c r="G165" s="46"/>
      <c r="H165" s="39"/>
      <c r="I165" s="41"/>
      <c r="J165" s="41"/>
      <c r="K165" s="41"/>
      <c r="L165" s="41"/>
      <c r="M165" s="41"/>
      <c r="N165" s="41"/>
      <c r="O165" s="6"/>
      <c r="P165" s="41"/>
      <c r="Q165" s="41">
        <f t="shared" si="4"/>
        <v>0</v>
      </c>
      <c r="R165" s="41" t="str">
        <f t="shared" si="5"/>
        <v/>
      </c>
    </row>
    <row r="166" spans="1:18" x14ac:dyDescent="0.2">
      <c r="A166" s="4">
        <v>158</v>
      </c>
      <c r="B166" s="5"/>
      <c r="C166" s="6"/>
      <c r="D166" s="6"/>
      <c r="E166" s="7"/>
      <c r="F166" s="41"/>
      <c r="G166" s="46"/>
      <c r="H166" s="39"/>
      <c r="I166" s="41"/>
      <c r="J166" s="41"/>
      <c r="K166" s="41"/>
      <c r="L166" s="41"/>
      <c r="M166" s="41"/>
      <c r="N166" s="41"/>
      <c r="O166" s="6"/>
      <c r="P166" s="41"/>
      <c r="Q166" s="41">
        <f t="shared" si="4"/>
        <v>0</v>
      </c>
      <c r="R166" s="41" t="str">
        <f t="shared" si="5"/>
        <v/>
      </c>
    </row>
    <row r="167" spans="1:18" x14ac:dyDescent="0.2">
      <c r="A167" s="4">
        <v>159</v>
      </c>
      <c r="B167" s="5"/>
      <c r="C167" s="6"/>
      <c r="D167" s="6"/>
      <c r="E167" s="7"/>
      <c r="F167" s="41"/>
      <c r="G167" s="46"/>
      <c r="H167" s="39"/>
      <c r="I167" s="41"/>
      <c r="J167" s="41"/>
      <c r="K167" s="41"/>
      <c r="L167" s="41"/>
      <c r="M167" s="41"/>
      <c r="N167" s="41"/>
      <c r="O167" s="6"/>
      <c r="P167" s="41"/>
      <c r="Q167" s="41">
        <f t="shared" si="4"/>
        <v>0</v>
      </c>
      <c r="R167" s="41" t="str">
        <f t="shared" si="5"/>
        <v/>
      </c>
    </row>
    <row r="168" spans="1:18" x14ac:dyDescent="0.2">
      <c r="A168" s="4">
        <v>160</v>
      </c>
      <c r="B168" s="5"/>
      <c r="C168" s="6"/>
      <c r="D168" s="6"/>
      <c r="E168" s="7"/>
      <c r="F168" s="41"/>
      <c r="G168" s="46"/>
      <c r="H168" s="39"/>
      <c r="I168" s="41"/>
      <c r="J168" s="41"/>
      <c r="K168" s="41"/>
      <c r="L168" s="41"/>
      <c r="M168" s="41"/>
      <c r="N168" s="41"/>
      <c r="O168" s="6"/>
      <c r="P168" s="41"/>
      <c r="Q168" s="41">
        <f t="shared" si="4"/>
        <v>0</v>
      </c>
      <c r="R168" s="41" t="str">
        <f t="shared" si="5"/>
        <v/>
      </c>
    </row>
    <row r="169" spans="1:18" x14ac:dyDescent="0.2">
      <c r="A169" s="4">
        <v>161</v>
      </c>
      <c r="B169" s="5"/>
      <c r="C169" s="6"/>
      <c r="D169" s="6"/>
      <c r="E169" s="7"/>
      <c r="F169" s="41"/>
      <c r="G169" s="46"/>
      <c r="H169" s="39"/>
      <c r="I169" s="41"/>
      <c r="J169" s="41"/>
      <c r="K169" s="41"/>
      <c r="L169" s="41"/>
      <c r="M169" s="41"/>
      <c r="N169" s="41"/>
      <c r="O169" s="6"/>
      <c r="P169" s="41"/>
      <c r="Q169" s="41">
        <f t="shared" si="4"/>
        <v>0</v>
      </c>
      <c r="R169" s="41" t="str">
        <f t="shared" si="5"/>
        <v/>
      </c>
    </row>
    <row r="170" spans="1:18" x14ac:dyDescent="0.2">
      <c r="A170" s="4">
        <v>162</v>
      </c>
      <c r="B170" s="5"/>
      <c r="C170" s="6"/>
      <c r="D170" s="6"/>
      <c r="E170" s="7"/>
      <c r="F170" s="41"/>
      <c r="G170" s="46"/>
      <c r="H170" s="39"/>
      <c r="I170" s="41"/>
      <c r="J170" s="41"/>
      <c r="K170" s="41"/>
      <c r="L170" s="41"/>
      <c r="M170" s="41"/>
      <c r="N170" s="41"/>
      <c r="O170" s="6"/>
      <c r="P170" s="41"/>
      <c r="Q170" s="41">
        <f t="shared" si="4"/>
        <v>0</v>
      </c>
      <c r="R170" s="41" t="str">
        <f t="shared" si="5"/>
        <v/>
      </c>
    </row>
    <row r="171" spans="1:18" x14ac:dyDescent="0.2">
      <c r="A171" s="4">
        <v>163</v>
      </c>
      <c r="B171" s="5"/>
      <c r="C171" s="6"/>
      <c r="D171" s="6"/>
      <c r="E171" s="7"/>
      <c r="F171" s="41"/>
      <c r="G171" s="46"/>
      <c r="H171" s="39"/>
      <c r="I171" s="41"/>
      <c r="J171" s="41"/>
      <c r="K171" s="41"/>
      <c r="L171" s="41"/>
      <c r="M171" s="41"/>
      <c r="N171" s="41"/>
      <c r="O171" s="6"/>
      <c r="P171" s="41"/>
      <c r="Q171" s="41">
        <f t="shared" si="4"/>
        <v>0</v>
      </c>
      <c r="R171" s="41" t="str">
        <f t="shared" si="5"/>
        <v/>
      </c>
    </row>
    <row r="172" spans="1:18" x14ac:dyDescent="0.2">
      <c r="A172" s="4">
        <v>164</v>
      </c>
      <c r="B172" s="5"/>
      <c r="C172" s="6"/>
      <c r="D172" s="6"/>
      <c r="E172" s="7"/>
      <c r="F172" s="41"/>
      <c r="G172" s="46"/>
      <c r="H172" s="39"/>
      <c r="I172" s="41"/>
      <c r="J172" s="41"/>
      <c r="K172" s="41"/>
      <c r="L172" s="41"/>
      <c r="M172" s="41"/>
      <c r="N172" s="41"/>
      <c r="O172" s="6"/>
      <c r="P172" s="41"/>
      <c r="Q172" s="41">
        <f t="shared" si="4"/>
        <v>0</v>
      </c>
      <c r="R172" s="41" t="str">
        <f t="shared" si="5"/>
        <v/>
      </c>
    </row>
    <row r="173" spans="1:18" x14ac:dyDescent="0.2">
      <c r="A173" s="4">
        <v>165</v>
      </c>
      <c r="B173" s="5"/>
      <c r="C173" s="6"/>
      <c r="D173" s="6"/>
      <c r="E173" s="7"/>
      <c r="F173" s="41"/>
      <c r="G173" s="46"/>
      <c r="H173" s="39"/>
      <c r="I173" s="41"/>
      <c r="J173" s="41"/>
      <c r="K173" s="41"/>
      <c r="L173" s="41"/>
      <c r="M173" s="41"/>
      <c r="N173" s="41"/>
      <c r="O173" s="6"/>
      <c r="P173" s="41"/>
      <c r="Q173" s="41">
        <f t="shared" si="4"/>
        <v>0</v>
      </c>
      <c r="R173" s="41" t="str">
        <f t="shared" si="5"/>
        <v/>
      </c>
    </row>
    <row r="174" spans="1:18" x14ac:dyDescent="0.2">
      <c r="A174" s="4">
        <v>166</v>
      </c>
      <c r="B174" s="5"/>
      <c r="C174" s="6"/>
      <c r="D174" s="6"/>
      <c r="E174" s="7"/>
      <c r="F174" s="41"/>
      <c r="G174" s="46"/>
      <c r="H174" s="39"/>
      <c r="I174" s="41"/>
      <c r="J174" s="41"/>
      <c r="K174" s="41"/>
      <c r="L174" s="41"/>
      <c r="M174" s="41"/>
      <c r="N174" s="41"/>
      <c r="O174" s="6"/>
      <c r="P174" s="41"/>
      <c r="Q174" s="41">
        <f t="shared" si="4"/>
        <v>0</v>
      </c>
      <c r="R174" s="41" t="str">
        <f t="shared" si="5"/>
        <v/>
      </c>
    </row>
    <row r="175" spans="1:18" x14ac:dyDescent="0.2">
      <c r="A175" s="4">
        <v>167</v>
      </c>
      <c r="B175" s="5"/>
      <c r="C175" s="6"/>
      <c r="D175" s="6"/>
      <c r="E175" s="7"/>
      <c r="F175" s="41"/>
      <c r="G175" s="46"/>
      <c r="H175" s="39"/>
      <c r="I175" s="41"/>
      <c r="J175" s="41"/>
      <c r="K175" s="41"/>
      <c r="L175" s="41"/>
      <c r="M175" s="41"/>
      <c r="N175" s="41"/>
      <c r="O175" s="6"/>
      <c r="P175" s="41"/>
      <c r="Q175" s="41">
        <f t="shared" si="4"/>
        <v>0</v>
      </c>
      <c r="R175" s="41" t="str">
        <f t="shared" si="5"/>
        <v/>
      </c>
    </row>
    <row r="176" spans="1:18" x14ac:dyDescent="0.2">
      <c r="A176" s="4">
        <v>168</v>
      </c>
      <c r="B176" s="5"/>
      <c r="C176" s="6"/>
      <c r="D176" s="6"/>
      <c r="E176" s="7"/>
      <c r="F176" s="41"/>
      <c r="G176" s="46"/>
      <c r="H176" s="39"/>
      <c r="I176" s="41"/>
      <c r="J176" s="41"/>
      <c r="K176" s="41"/>
      <c r="L176" s="41"/>
      <c r="M176" s="41"/>
      <c r="N176" s="41"/>
      <c r="O176" s="6"/>
      <c r="P176" s="41"/>
      <c r="Q176" s="41">
        <f t="shared" si="4"/>
        <v>0</v>
      </c>
      <c r="R176" s="41" t="str">
        <f t="shared" si="5"/>
        <v/>
      </c>
    </row>
    <row r="177" spans="1:18" x14ac:dyDescent="0.2">
      <c r="A177" s="4">
        <v>169</v>
      </c>
      <c r="B177" s="5"/>
      <c r="C177" s="6"/>
      <c r="D177" s="6"/>
      <c r="E177" s="7"/>
      <c r="F177" s="41"/>
      <c r="G177" s="46"/>
      <c r="H177" s="39"/>
      <c r="I177" s="41"/>
      <c r="J177" s="41"/>
      <c r="K177" s="41"/>
      <c r="L177" s="41"/>
      <c r="M177" s="41"/>
      <c r="N177" s="41"/>
      <c r="O177" s="6"/>
      <c r="P177" s="41"/>
      <c r="Q177" s="41">
        <f t="shared" si="4"/>
        <v>0</v>
      </c>
      <c r="R177" s="41" t="str">
        <f t="shared" si="5"/>
        <v/>
      </c>
    </row>
    <row r="178" spans="1:18" x14ac:dyDescent="0.2">
      <c r="A178" s="4">
        <v>170</v>
      </c>
      <c r="B178" s="5"/>
      <c r="C178" s="6"/>
      <c r="D178" s="6"/>
      <c r="E178" s="7"/>
      <c r="F178" s="41"/>
      <c r="G178" s="46"/>
      <c r="H178" s="39"/>
      <c r="I178" s="41"/>
      <c r="J178" s="41"/>
      <c r="K178" s="41"/>
      <c r="L178" s="41"/>
      <c r="M178" s="41"/>
      <c r="N178" s="41"/>
      <c r="O178" s="6"/>
      <c r="P178" s="41"/>
      <c r="Q178" s="41">
        <f t="shared" si="4"/>
        <v>0</v>
      </c>
      <c r="R178" s="41" t="str">
        <f t="shared" si="5"/>
        <v/>
      </c>
    </row>
    <row r="179" spans="1:18" x14ac:dyDescent="0.2">
      <c r="A179" s="4">
        <v>171</v>
      </c>
      <c r="B179" s="5"/>
      <c r="C179" s="6"/>
      <c r="D179" s="6"/>
      <c r="E179" s="7"/>
      <c r="F179" s="41"/>
      <c r="G179" s="46"/>
      <c r="H179" s="39"/>
      <c r="I179" s="41"/>
      <c r="J179" s="41"/>
      <c r="K179" s="41"/>
      <c r="L179" s="41"/>
      <c r="M179" s="41"/>
      <c r="N179" s="41"/>
      <c r="O179" s="6"/>
      <c r="P179" s="41"/>
      <c r="Q179" s="41">
        <f t="shared" si="4"/>
        <v>0</v>
      </c>
      <c r="R179" s="41" t="str">
        <f t="shared" si="5"/>
        <v/>
      </c>
    </row>
    <row r="180" spans="1:18" x14ac:dyDescent="0.2">
      <c r="A180" s="4">
        <v>172</v>
      </c>
      <c r="B180" s="5"/>
      <c r="C180" s="6"/>
      <c r="D180" s="6"/>
      <c r="E180" s="7"/>
      <c r="F180" s="41"/>
      <c r="G180" s="46"/>
      <c r="H180" s="39"/>
      <c r="I180" s="41"/>
      <c r="J180" s="41"/>
      <c r="K180" s="41"/>
      <c r="L180" s="41"/>
      <c r="M180" s="41"/>
      <c r="N180" s="41"/>
      <c r="O180" s="6"/>
      <c r="P180" s="41"/>
      <c r="Q180" s="41">
        <f t="shared" si="4"/>
        <v>0</v>
      </c>
      <c r="R180" s="41" t="str">
        <f t="shared" si="5"/>
        <v/>
      </c>
    </row>
    <row r="181" spans="1:18" x14ac:dyDescent="0.2">
      <c r="A181" s="4">
        <v>173</v>
      </c>
      <c r="B181" s="5"/>
      <c r="C181" s="6"/>
      <c r="D181" s="6"/>
      <c r="E181" s="7"/>
      <c r="F181" s="41"/>
      <c r="G181" s="46"/>
      <c r="H181" s="39"/>
      <c r="I181" s="41"/>
      <c r="J181" s="41"/>
      <c r="K181" s="41"/>
      <c r="L181" s="41"/>
      <c r="M181" s="41"/>
      <c r="N181" s="41"/>
      <c r="O181" s="6"/>
      <c r="P181" s="41"/>
      <c r="Q181" s="41">
        <f t="shared" si="4"/>
        <v>0</v>
      </c>
      <c r="R181" s="41" t="str">
        <f t="shared" si="5"/>
        <v/>
      </c>
    </row>
    <row r="182" spans="1:18" x14ac:dyDescent="0.2">
      <c r="A182" s="4">
        <v>174</v>
      </c>
      <c r="B182" s="5"/>
      <c r="C182" s="6"/>
      <c r="D182" s="6"/>
      <c r="E182" s="7"/>
      <c r="F182" s="41"/>
      <c r="G182" s="46"/>
      <c r="H182" s="39"/>
      <c r="I182" s="41"/>
      <c r="J182" s="41"/>
      <c r="K182" s="41"/>
      <c r="L182" s="41"/>
      <c r="M182" s="41"/>
      <c r="N182" s="41"/>
      <c r="O182" s="6"/>
      <c r="P182" s="41"/>
      <c r="Q182" s="41">
        <f t="shared" si="4"/>
        <v>0</v>
      </c>
      <c r="R182" s="41" t="str">
        <f t="shared" si="5"/>
        <v/>
      </c>
    </row>
    <row r="183" spans="1:18" x14ac:dyDescent="0.2">
      <c r="A183" s="4">
        <v>175</v>
      </c>
      <c r="B183" s="5"/>
      <c r="C183" s="6"/>
      <c r="D183" s="6"/>
      <c r="E183" s="7"/>
      <c r="F183" s="41"/>
      <c r="G183" s="46"/>
      <c r="H183" s="39"/>
      <c r="I183" s="41"/>
      <c r="J183" s="41"/>
      <c r="K183" s="41"/>
      <c r="L183" s="41"/>
      <c r="M183" s="41"/>
      <c r="N183" s="41"/>
      <c r="O183" s="6"/>
      <c r="P183" s="41"/>
      <c r="Q183" s="41">
        <f t="shared" si="4"/>
        <v>0</v>
      </c>
      <c r="R183" s="41" t="str">
        <f t="shared" si="5"/>
        <v/>
      </c>
    </row>
    <row r="184" spans="1:18" x14ac:dyDescent="0.2">
      <c r="A184" s="4">
        <v>176</v>
      </c>
      <c r="B184" s="5"/>
      <c r="C184" s="6"/>
      <c r="D184" s="6"/>
      <c r="E184" s="7"/>
      <c r="F184" s="41"/>
      <c r="G184" s="46"/>
      <c r="H184" s="39"/>
      <c r="I184" s="41"/>
      <c r="J184" s="41"/>
      <c r="K184" s="41"/>
      <c r="L184" s="41"/>
      <c r="M184" s="41"/>
      <c r="N184" s="41"/>
      <c r="O184" s="6"/>
      <c r="P184" s="41"/>
      <c r="Q184" s="41">
        <f t="shared" si="4"/>
        <v>0</v>
      </c>
      <c r="R184" s="41" t="str">
        <f t="shared" si="5"/>
        <v/>
      </c>
    </row>
    <row r="185" spans="1:18" x14ac:dyDescent="0.2">
      <c r="A185" s="4">
        <v>177</v>
      </c>
      <c r="B185" s="5"/>
      <c r="C185" s="6"/>
      <c r="D185" s="6"/>
      <c r="E185" s="7"/>
      <c r="F185" s="41"/>
      <c r="G185" s="46"/>
      <c r="H185" s="39"/>
      <c r="I185" s="41"/>
      <c r="J185" s="41"/>
      <c r="K185" s="41"/>
      <c r="L185" s="41"/>
      <c r="M185" s="41"/>
      <c r="N185" s="41"/>
      <c r="O185" s="6"/>
      <c r="P185" s="41"/>
      <c r="Q185" s="41">
        <f t="shared" si="4"/>
        <v>0</v>
      </c>
      <c r="R185" s="41" t="str">
        <f t="shared" si="5"/>
        <v/>
      </c>
    </row>
    <row r="186" spans="1:18" x14ac:dyDescent="0.2">
      <c r="A186" s="4">
        <v>178</v>
      </c>
      <c r="B186" s="5"/>
      <c r="C186" s="6"/>
      <c r="D186" s="6"/>
      <c r="E186" s="7"/>
      <c r="F186" s="41"/>
      <c r="G186" s="46"/>
      <c r="H186" s="39"/>
      <c r="I186" s="41"/>
      <c r="J186" s="41"/>
      <c r="K186" s="41"/>
      <c r="L186" s="41"/>
      <c r="M186" s="41"/>
      <c r="N186" s="41"/>
      <c r="O186" s="6"/>
      <c r="P186" s="41"/>
      <c r="Q186" s="41">
        <f t="shared" si="4"/>
        <v>0</v>
      </c>
      <c r="R186" s="41" t="str">
        <f t="shared" si="5"/>
        <v/>
      </c>
    </row>
    <row r="187" spans="1:18" x14ac:dyDescent="0.2">
      <c r="A187" s="4">
        <v>179</v>
      </c>
      <c r="B187" s="5"/>
      <c r="C187" s="6"/>
      <c r="D187" s="6"/>
      <c r="E187" s="7"/>
      <c r="F187" s="41"/>
      <c r="G187" s="46"/>
      <c r="H187" s="39"/>
      <c r="I187" s="41"/>
      <c r="J187" s="41"/>
      <c r="K187" s="41"/>
      <c r="L187" s="41"/>
      <c r="M187" s="41"/>
      <c r="N187" s="41"/>
      <c r="O187" s="6"/>
      <c r="P187" s="41"/>
      <c r="Q187" s="41">
        <f t="shared" si="4"/>
        <v>0</v>
      </c>
      <c r="R187" s="41" t="str">
        <f t="shared" si="5"/>
        <v/>
      </c>
    </row>
    <row r="188" spans="1:18" x14ac:dyDescent="0.2">
      <c r="A188" s="4">
        <v>180</v>
      </c>
      <c r="B188" s="5"/>
      <c r="C188" s="6"/>
      <c r="D188" s="6"/>
      <c r="E188" s="7"/>
      <c r="F188" s="41"/>
      <c r="G188" s="46"/>
      <c r="H188" s="39"/>
      <c r="I188" s="41"/>
      <c r="J188" s="41"/>
      <c r="K188" s="41"/>
      <c r="L188" s="41"/>
      <c r="M188" s="41"/>
      <c r="N188" s="41"/>
      <c r="O188" s="6"/>
      <c r="P188" s="41"/>
      <c r="Q188" s="41">
        <f t="shared" si="4"/>
        <v>0</v>
      </c>
      <c r="R188" s="41" t="str">
        <f t="shared" si="5"/>
        <v/>
      </c>
    </row>
    <row r="189" spans="1:18" x14ac:dyDescent="0.2">
      <c r="A189" s="4">
        <v>181</v>
      </c>
      <c r="B189" s="5"/>
      <c r="C189" s="6"/>
      <c r="D189" s="6"/>
      <c r="E189" s="7"/>
      <c r="F189" s="41"/>
      <c r="G189" s="46"/>
      <c r="H189" s="39"/>
      <c r="I189" s="41"/>
      <c r="J189" s="41"/>
      <c r="K189" s="41"/>
      <c r="L189" s="41"/>
      <c r="M189" s="41"/>
      <c r="N189" s="41"/>
      <c r="O189" s="6"/>
      <c r="P189" s="41"/>
      <c r="Q189" s="41">
        <f t="shared" si="4"/>
        <v>0</v>
      </c>
      <c r="R189" s="41" t="str">
        <f t="shared" si="5"/>
        <v/>
      </c>
    </row>
    <row r="190" spans="1:18" x14ac:dyDescent="0.2">
      <c r="A190" s="4">
        <v>182</v>
      </c>
      <c r="B190" s="5"/>
      <c r="C190" s="6"/>
      <c r="D190" s="6"/>
      <c r="E190" s="7"/>
      <c r="F190" s="41"/>
      <c r="G190" s="46"/>
      <c r="H190" s="39"/>
      <c r="I190" s="41"/>
      <c r="J190" s="41"/>
      <c r="K190" s="41"/>
      <c r="L190" s="41"/>
      <c r="M190" s="41"/>
      <c r="N190" s="41"/>
      <c r="O190" s="6"/>
      <c r="P190" s="41"/>
      <c r="Q190" s="41">
        <f t="shared" si="4"/>
        <v>0</v>
      </c>
      <c r="R190" s="41" t="str">
        <f t="shared" si="5"/>
        <v/>
      </c>
    </row>
    <row r="191" spans="1:18" x14ac:dyDescent="0.2">
      <c r="A191" s="4">
        <v>183</v>
      </c>
      <c r="B191" s="5"/>
      <c r="C191" s="6"/>
      <c r="D191" s="6"/>
      <c r="E191" s="7"/>
      <c r="F191" s="41"/>
      <c r="G191" s="46"/>
      <c r="H191" s="39"/>
      <c r="I191" s="41"/>
      <c r="J191" s="41"/>
      <c r="K191" s="41"/>
      <c r="L191" s="41"/>
      <c r="M191" s="41"/>
      <c r="N191" s="41"/>
      <c r="O191" s="6"/>
      <c r="P191" s="41"/>
      <c r="Q191" s="41">
        <f t="shared" si="4"/>
        <v>0</v>
      </c>
      <c r="R191" s="41" t="str">
        <f t="shared" si="5"/>
        <v/>
      </c>
    </row>
    <row r="192" spans="1:18" x14ac:dyDescent="0.2">
      <c r="A192" s="4">
        <v>184</v>
      </c>
      <c r="B192" s="5"/>
      <c r="C192" s="6"/>
      <c r="D192" s="6"/>
      <c r="E192" s="7"/>
      <c r="F192" s="41"/>
      <c r="G192" s="46"/>
      <c r="H192" s="39"/>
      <c r="I192" s="41"/>
      <c r="J192" s="41"/>
      <c r="K192" s="41"/>
      <c r="L192" s="41"/>
      <c r="M192" s="41"/>
      <c r="N192" s="41"/>
      <c r="O192" s="6"/>
      <c r="P192" s="41"/>
      <c r="Q192" s="41">
        <f t="shared" si="4"/>
        <v>0</v>
      </c>
      <c r="R192" s="41" t="str">
        <f t="shared" si="5"/>
        <v/>
      </c>
    </row>
    <row r="193" spans="1:18" x14ac:dyDescent="0.2">
      <c r="A193" s="4">
        <v>185</v>
      </c>
      <c r="B193" s="5"/>
      <c r="C193" s="6"/>
      <c r="D193" s="6"/>
      <c r="E193" s="7"/>
      <c r="F193" s="41"/>
      <c r="G193" s="46"/>
      <c r="H193" s="39"/>
      <c r="I193" s="41"/>
      <c r="J193" s="41"/>
      <c r="K193" s="41"/>
      <c r="L193" s="41"/>
      <c r="M193" s="41"/>
      <c r="N193" s="41"/>
      <c r="O193" s="6"/>
      <c r="P193" s="41"/>
      <c r="Q193" s="41">
        <f t="shared" si="4"/>
        <v>0</v>
      </c>
      <c r="R193" s="41" t="str">
        <f t="shared" si="5"/>
        <v/>
      </c>
    </row>
    <row r="194" spans="1:18" x14ac:dyDescent="0.2">
      <c r="A194" s="4">
        <v>186</v>
      </c>
      <c r="B194" s="5"/>
      <c r="C194" s="6"/>
      <c r="D194" s="6"/>
      <c r="E194" s="7"/>
      <c r="F194" s="41"/>
      <c r="G194" s="46"/>
      <c r="H194" s="39"/>
      <c r="I194" s="41"/>
      <c r="J194" s="41"/>
      <c r="K194" s="41"/>
      <c r="L194" s="41"/>
      <c r="M194" s="41"/>
      <c r="N194" s="41"/>
      <c r="O194" s="6"/>
      <c r="P194" s="41"/>
      <c r="Q194" s="41">
        <f t="shared" si="4"/>
        <v>0</v>
      </c>
      <c r="R194" s="41" t="str">
        <f t="shared" si="5"/>
        <v/>
      </c>
    </row>
    <row r="195" spans="1:18" x14ac:dyDescent="0.2">
      <c r="A195" s="4">
        <v>187</v>
      </c>
      <c r="B195" s="5"/>
      <c r="C195" s="6"/>
      <c r="D195" s="6"/>
      <c r="E195" s="7"/>
      <c r="F195" s="41"/>
      <c r="G195" s="46"/>
      <c r="H195" s="39"/>
      <c r="I195" s="41"/>
      <c r="J195" s="41"/>
      <c r="K195" s="41"/>
      <c r="L195" s="41"/>
      <c r="M195" s="41"/>
      <c r="N195" s="41"/>
      <c r="O195" s="6"/>
      <c r="P195" s="41"/>
      <c r="Q195" s="41">
        <f t="shared" si="4"/>
        <v>0</v>
      </c>
      <c r="R195" s="41" t="str">
        <f t="shared" si="5"/>
        <v/>
      </c>
    </row>
    <row r="196" spans="1:18" x14ac:dyDescent="0.2">
      <c r="A196" s="4">
        <v>188</v>
      </c>
      <c r="B196" s="5"/>
      <c r="C196" s="6"/>
      <c r="D196" s="6"/>
      <c r="E196" s="7"/>
      <c r="F196" s="41"/>
      <c r="G196" s="46"/>
      <c r="H196" s="39"/>
      <c r="I196" s="41"/>
      <c r="J196" s="41"/>
      <c r="K196" s="41"/>
      <c r="L196" s="41"/>
      <c r="M196" s="41"/>
      <c r="N196" s="41"/>
      <c r="O196" s="6"/>
      <c r="P196" s="41"/>
      <c r="Q196" s="41">
        <f t="shared" si="4"/>
        <v>0</v>
      </c>
      <c r="R196" s="41" t="str">
        <f t="shared" si="5"/>
        <v/>
      </c>
    </row>
    <row r="197" spans="1:18" x14ac:dyDescent="0.2">
      <c r="A197" s="4">
        <v>189</v>
      </c>
      <c r="B197" s="5"/>
      <c r="C197" s="6"/>
      <c r="D197" s="6"/>
      <c r="E197" s="7"/>
      <c r="F197" s="41"/>
      <c r="G197" s="46"/>
      <c r="H197" s="39"/>
      <c r="I197" s="41"/>
      <c r="J197" s="41"/>
      <c r="K197" s="41"/>
      <c r="L197" s="41"/>
      <c r="M197" s="41"/>
      <c r="N197" s="41"/>
      <c r="O197" s="6"/>
      <c r="P197" s="41"/>
      <c r="Q197" s="41">
        <f t="shared" si="4"/>
        <v>0</v>
      </c>
      <c r="R197" s="41" t="str">
        <f t="shared" si="5"/>
        <v/>
      </c>
    </row>
    <row r="198" spans="1:18" x14ac:dyDescent="0.2">
      <c r="A198" s="4">
        <v>190</v>
      </c>
      <c r="B198" s="5"/>
      <c r="C198" s="6"/>
      <c r="D198" s="6"/>
      <c r="E198" s="7"/>
      <c r="F198" s="41"/>
      <c r="G198" s="46"/>
      <c r="H198" s="39"/>
      <c r="I198" s="41"/>
      <c r="J198" s="41"/>
      <c r="K198" s="41"/>
      <c r="L198" s="41"/>
      <c r="M198" s="41"/>
      <c r="N198" s="41"/>
      <c r="O198" s="6"/>
      <c r="P198" s="41"/>
      <c r="Q198" s="41">
        <f t="shared" si="4"/>
        <v>0</v>
      </c>
      <c r="R198" s="41" t="str">
        <f t="shared" si="5"/>
        <v/>
      </c>
    </row>
    <row r="199" spans="1:18" x14ac:dyDescent="0.2">
      <c r="A199" s="4">
        <v>191</v>
      </c>
      <c r="B199" s="5"/>
      <c r="C199" s="6"/>
      <c r="D199" s="6"/>
      <c r="E199" s="7"/>
      <c r="F199" s="41"/>
      <c r="G199" s="46"/>
      <c r="H199" s="39"/>
      <c r="I199" s="41"/>
      <c r="J199" s="41"/>
      <c r="K199" s="41"/>
      <c r="L199" s="41"/>
      <c r="M199" s="41"/>
      <c r="N199" s="41"/>
      <c r="O199" s="6"/>
      <c r="P199" s="41"/>
      <c r="Q199" s="41">
        <f t="shared" si="4"/>
        <v>0</v>
      </c>
      <c r="R199" s="41" t="str">
        <f t="shared" si="5"/>
        <v/>
      </c>
    </row>
    <row r="200" spans="1:18" x14ac:dyDescent="0.2">
      <c r="A200" s="4">
        <v>192</v>
      </c>
      <c r="B200" s="5"/>
      <c r="C200" s="6"/>
      <c r="D200" s="6"/>
      <c r="E200" s="7"/>
      <c r="F200" s="41"/>
      <c r="G200" s="46"/>
      <c r="H200" s="39"/>
      <c r="I200" s="41"/>
      <c r="J200" s="41"/>
      <c r="K200" s="41"/>
      <c r="L200" s="41"/>
      <c r="M200" s="41"/>
      <c r="N200" s="41"/>
      <c r="O200" s="6"/>
      <c r="P200" s="41"/>
      <c r="Q200" s="41">
        <f t="shared" si="4"/>
        <v>0</v>
      </c>
      <c r="R200" s="41" t="str">
        <f t="shared" si="5"/>
        <v/>
      </c>
    </row>
    <row r="201" spans="1:18" x14ac:dyDescent="0.2">
      <c r="A201" s="4">
        <v>193</v>
      </c>
      <c r="B201" s="5"/>
      <c r="C201" s="6"/>
      <c r="D201" s="6"/>
      <c r="E201" s="7"/>
      <c r="F201" s="41"/>
      <c r="G201" s="46"/>
      <c r="H201" s="39"/>
      <c r="I201" s="41"/>
      <c r="J201" s="41"/>
      <c r="K201" s="41"/>
      <c r="L201" s="41"/>
      <c r="M201" s="41"/>
      <c r="N201" s="41"/>
      <c r="O201" s="6"/>
      <c r="P201" s="41"/>
      <c r="Q201" s="41">
        <f t="shared" si="4"/>
        <v>0</v>
      </c>
      <c r="R201" s="41" t="str">
        <f t="shared" si="5"/>
        <v/>
      </c>
    </row>
    <row r="202" spans="1:18" x14ac:dyDescent="0.2">
      <c r="A202" s="4">
        <v>194</v>
      </c>
      <c r="B202" s="5"/>
      <c r="C202" s="6"/>
      <c r="D202" s="6"/>
      <c r="E202" s="7"/>
      <c r="F202" s="41"/>
      <c r="G202" s="46"/>
      <c r="H202" s="39"/>
      <c r="I202" s="41"/>
      <c r="J202" s="41"/>
      <c r="K202" s="41"/>
      <c r="L202" s="41"/>
      <c r="M202" s="41"/>
      <c r="N202" s="41"/>
      <c r="O202" s="6"/>
      <c r="P202" s="41"/>
      <c r="Q202" s="41">
        <f t="shared" ref="Q202:Q208" si="6">E202*F202</f>
        <v>0</v>
      </c>
      <c r="R202" s="41" t="str">
        <f t="shared" si="5"/>
        <v/>
      </c>
    </row>
    <row r="203" spans="1:18" x14ac:dyDescent="0.2">
      <c r="A203" s="4">
        <v>195</v>
      </c>
      <c r="B203" s="5"/>
      <c r="C203" s="6"/>
      <c r="D203" s="6"/>
      <c r="E203" s="7"/>
      <c r="F203" s="41"/>
      <c r="G203" s="46"/>
      <c r="H203" s="39"/>
      <c r="I203" s="41"/>
      <c r="J203" s="41"/>
      <c r="K203" s="41"/>
      <c r="L203" s="41"/>
      <c r="M203" s="41"/>
      <c r="N203" s="41"/>
      <c r="O203" s="6"/>
      <c r="P203" s="41"/>
      <c r="Q203" s="41">
        <f t="shared" si="6"/>
        <v>0</v>
      </c>
      <c r="R203" s="41" t="str">
        <f t="shared" ref="R203:R208" si="7">IF(O203=$U$3,(Q203*G203)+(Q203*H203)+(E203*J203)+(L203)+I203+K203+M203+N203+Q203,IF(O203=$U$4,-P203,""))</f>
        <v/>
      </c>
    </row>
    <row r="204" spans="1:18" x14ac:dyDescent="0.2">
      <c r="A204" s="4">
        <v>196</v>
      </c>
      <c r="B204" s="5"/>
      <c r="C204" s="6"/>
      <c r="D204" s="6"/>
      <c r="E204" s="7"/>
      <c r="F204" s="41"/>
      <c r="G204" s="46"/>
      <c r="H204" s="39"/>
      <c r="I204" s="41"/>
      <c r="J204" s="41"/>
      <c r="K204" s="41"/>
      <c r="L204" s="41"/>
      <c r="M204" s="41"/>
      <c r="N204" s="41"/>
      <c r="O204" s="6"/>
      <c r="P204" s="41"/>
      <c r="Q204" s="41">
        <f t="shared" si="6"/>
        <v>0</v>
      </c>
      <c r="R204" s="41" t="str">
        <f t="shared" si="7"/>
        <v/>
      </c>
    </row>
    <row r="205" spans="1:18" x14ac:dyDescent="0.2">
      <c r="A205" s="4">
        <v>197</v>
      </c>
      <c r="B205" s="5"/>
      <c r="C205" s="6"/>
      <c r="D205" s="6"/>
      <c r="E205" s="7"/>
      <c r="F205" s="41"/>
      <c r="G205" s="46"/>
      <c r="H205" s="39"/>
      <c r="I205" s="41"/>
      <c r="J205" s="41"/>
      <c r="K205" s="41"/>
      <c r="L205" s="41"/>
      <c r="M205" s="41"/>
      <c r="N205" s="41"/>
      <c r="O205" s="6"/>
      <c r="P205" s="41"/>
      <c r="Q205" s="41">
        <f t="shared" si="6"/>
        <v>0</v>
      </c>
      <c r="R205" s="41" t="str">
        <f t="shared" si="7"/>
        <v/>
      </c>
    </row>
    <row r="206" spans="1:18" x14ac:dyDescent="0.2">
      <c r="A206" s="4">
        <v>198</v>
      </c>
      <c r="B206" s="5"/>
      <c r="C206" s="6"/>
      <c r="D206" s="6"/>
      <c r="E206" s="7"/>
      <c r="F206" s="41"/>
      <c r="G206" s="46"/>
      <c r="H206" s="39"/>
      <c r="I206" s="41"/>
      <c r="J206" s="41"/>
      <c r="K206" s="41"/>
      <c r="L206" s="41"/>
      <c r="M206" s="41"/>
      <c r="N206" s="41"/>
      <c r="O206" s="6"/>
      <c r="P206" s="41"/>
      <c r="Q206" s="41">
        <f t="shared" si="6"/>
        <v>0</v>
      </c>
      <c r="R206" s="41" t="str">
        <f t="shared" si="7"/>
        <v/>
      </c>
    </row>
    <row r="207" spans="1:18" x14ac:dyDescent="0.2">
      <c r="A207" s="4">
        <v>199</v>
      </c>
      <c r="B207" s="5"/>
      <c r="C207" s="6"/>
      <c r="D207" s="6"/>
      <c r="E207" s="7"/>
      <c r="F207" s="41"/>
      <c r="G207" s="46"/>
      <c r="H207" s="39"/>
      <c r="I207" s="41"/>
      <c r="J207" s="41"/>
      <c r="K207" s="41"/>
      <c r="L207" s="41"/>
      <c r="M207" s="41"/>
      <c r="N207" s="41"/>
      <c r="O207" s="6"/>
      <c r="P207" s="41"/>
      <c r="Q207" s="41">
        <f t="shared" si="6"/>
        <v>0</v>
      </c>
      <c r="R207" s="41" t="str">
        <f t="shared" si="7"/>
        <v/>
      </c>
    </row>
    <row r="208" spans="1:18" x14ac:dyDescent="0.2">
      <c r="A208" s="4">
        <v>200</v>
      </c>
      <c r="B208" s="5"/>
      <c r="C208" s="6"/>
      <c r="D208" s="6"/>
      <c r="E208" s="7"/>
      <c r="F208" s="41"/>
      <c r="G208" s="46"/>
      <c r="H208" s="39"/>
      <c r="I208" s="41"/>
      <c r="J208" s="41"/>
      <c r="K208" s="41"/>
      <c r="L208" s="41"/>
      <c r="M208" s="41"/>
      <c r="N208" s="41"/>
      <c r="O208" s="6"/>
      <c r="P208" s="41"/>
      <c r="Q208" s="41">
        <f t="shared" si="6"/>
        <v>0</v>
      </c>
      <c r="R208" s="41" t="str">
        <f t="shared" si="7"/>
        <v/>
      </c>
    </row>
  </sheetData>
  <autoFilter ref="A8:R208" xr:uid="{00000000-0009-0000-0000-000009000000}"/>
  <mergeCells count="2">
    <mergeCell ref="A1:C1"/>
    <mergeCell ref="E1:G1"/>
  </mergeCells>
  <conditionalFormatting sqref="R1:R1048576">
    <cfRule type="cellIs" dxfId="2" priority="3" operator="equal">
      <formula>"ERROR"</formula>
    </cfRule>
  </conditionalFormatting>
  <conditionalFormatting sqref="D4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1">
    <dataValidation type="list" allowBlank="1" showInputMessage="1" showErrorMessage="1" sqref="O9:O1048576" xr:uid="{39D75AD7-21F4-F644-8E2E-0C65B2E40AC5}">
      <formula1>$U$3:$U$4</formula1>
    </dataValidation>
  </dataValidations>
  <hyperlinks>
    <hyperlink ref="E1:G1" location="'Master Sheet'!A1" display="GO BACK TO MASTER SHEET" xr:uid="{C040467A-3BDD-C845-A182-AC57696886AC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errorTitle="Invalid selection" error="Select a value from the list." promptTitle="Selection" prompt="Pick from the dropdown list." xr:uid="{66A21843-D7A8-5046-B57C-31F02DFED66E}">
          <x14:formula1>
            <xm:f>'Master Sheet'!$AJ$5:$AJ$6</xm:f>
          </x14:formula1>
          <xm:sqref>C9:C1048576</xm:sqref>
        </x14:dataValidation>
        <x14:dataValidation type="list" allowBlank="1" errorTitle="Invalid selection" error="Select a value from the list." promptTitle="Selection" prompt="Pick from the dropdown list." xr:uid="{6BE7D760-B169-5B49-87CC-A69524D3F602}">
          <x14:formula1>
            <xm:f>'Master Sheet'!$AE$5:$AE$28</xm:f>
          </x14:formula1>
          <xm:sqref>D9:D1048576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62</vt:i4>
      </vt:variant>
    </vt:vector>
  </HeadingPairs>
  <TitlesOfParts>
    <vt:vector size="62" baseType="lpstr">
      <vt:lpstr>Master Sheet</vt:lpstr>
      <vt:lpstr>Analytics</vt:lpstr>
      <vt:lpstr>Inventory</vt:lpstr>
      <vt:lpstr>V001</vt:lpstr>
      <vt:lpstr>C001</vt:lpstr>
      <vt:lpstr>T001</vt:lpstr>
      <vt:lpstr>T002</vt:lpstr>
      <vt:lpstr>L001</vt:lpstr>
      <vt:lpstr>L001 (2)</vt:lpstr>
      <vt:lpstr>L002</vt:lpstr>
      <vt:lpstr>L003</vt:lpstr>
      <vt:lpstr>V002</vt:lpstr>
      <vt:lpstr>V003</vt:lpstr>
      <vt:lpstr>V004</vt:lpstr>
      <vt:lpstr>V005</vt:lpstr>
      <vt:lpstr>V006</vt:lpstr>
      <vt:lpstr>V007</vt:lpstr>
      <vt:lpstr>V008</vt:lpstr>
      <vt:lpstr>V009</vt:lpstr>
      <vt:lpstr>V010</vt:lpstr>
      <vt:lpstr>V011</vt:lpstr>
      <vt:lpstr>V012</vt:lpstr>
      <vt:lpstr>V013</vt:lpstr>
      <vt:lpstr>V014</vt:lpstr>
      <vt:lpstr>V015</vt:lpstr>
      <vt:lpstr>V016</vt:lpstr>
      <vt:lpstr>V017</vt:lpstr>
      <vt:lpstr>V018</vt:lpstr>
      <vt:lpstr>V019</vt:lpstr>
      <vt:lpstr>V020</vt:lpstr>
      <vt:lpstr>V021</vt:lpstr>
      <vt:lpstr>V022</vt:lpstr>
      <vt:lpstr>V023</vt:lpstr>
      <vt:lpstr>C002</vt:lpstr>
      <vt:lpstr>C003</vt:lpstr>
      <vt:lpstr>C004</vt:lpstr>
      <vt:lpstr>C005</vt:lpstr>
      <vt:lpstr>C006</vt:lpstr>
      <vt:lpstr>C007</vt:lpstr>
      <vt:lpstr>C008</vt:lpstr>
      <vt:lpstr>C009</vt:lpstr>
      <vt:lpstr>C010</vt:lpstr>
      <vt:lpstr>C011</vt:lpstr>
      <vt:lpstr>C012</vt:lpstr>
      <vt:lpstr>C013</vt:lpstr>
      <vt:lpstr>C014</vt:lpstr>
      <vt:lpstr>C015</vt:lpstr>
      <vt:lpstr>C016</vt:lpstr>
      <vt:lpstr>C017</vt:lpstr>
      <vt:lpstr>C018</vt:lpstr>
      <vt:lpstr>C019</vt:lpstr>
      <vt:lpstr>C020</vt:lpstr>
      <vt:lpstr>C021</vt:lpstr>
      <vt:lpstr>C022</vt:lpstr>
      <vt:lpstr>C023</vt:lpstr>
      <vt:lpstr>C024</vt:lpstr>
      <vt:lpstr>C025</vt:lpstr>
      <vt:lpstr>C026</vt:lpstr>
      <vt:lpstr>C027</vt:lpstr>
      <vt:lpstr>C028</vt:lpstr>
      <vt:lpstr>C029</vt:lpstr>
      <vt:lpstr>C030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m.ahmed ehtisham</cp:lastModifiedBy>
  <dcterms:created xsi:type="dcterms:W3CDTF">2026-01-16T18:47:02Z</dcterms:created>
  <dcterms:modified xsi:type="dcterms:W3CDTF">2026-04-20T06:03:21Z</dcterms:modified>
</cp:coreProperties>
</file>